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D:\Desktop\CoEVaR\中国管理科学\code\data\宏观变量\"/>
    </mc:Choice>
  </mc:AlternateContent>
  <xr:revisionPtr revIDLastSave="0" documentId="13_ncr:1_{9F4FD1DB-FA8C-4849-A867-F1B59059724B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Sheet1!$A$1:$J$738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2" i="1"/>
</calcChain>
</file>

<file path=xl/sharedStrings.xml><?xml version="1.0" encoding="utf-8"?>
<sst xmlns="http://schemas.openxmlformats.org/spreadsheetml/2006/main" count="10" uniqueCount="10">
  <si>
    <t>Date</t>
    <phoneticPr fontId="1" type="noConversion"/>
  </si>
  <si>
    <t>EUR_USD</t>
    <phoneticPr fontId="1" type="noConversion"/>
  </si>
  <si>
    <t>GBP_USD</t>
    <phoneticPr fontId="1" type="noConversion"/>
  </si>
  <si>
    <t>VIX</t>
    <phoneticPr fontId="1" type="noConversion"/>
  </si>
  <si>
    <t>WTI</t>
    <phoneticPr fontId="1" type="noConversion"/>
  </si>
  <si>
    <t>GOLD</t>
    <phoneticPr fontId="1" type="noConversion"/>
  </si>
  <si>
    <t>dollar</t>
    <phoneticPr fontId="1" type="noConversion"/>
  </si>
  <si>
    <t>GAS</t>
    <phoneticPr fontId="1" type="noConversion"/>
  </si>
  <si>
    <t>Copper</t>
  </si>
  <si>
    <t>CNY_USD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</si>
</sst>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ktop\CoEVaR\&#20013;&#22269;&#31649;&#29702;&#31185;&#23398;\data\&#23439;&#35266;&#21464;&#37327;\&#40644;&#37329;&#26399;&#36135;&#21382;&#21490;&#25968;&#25454;.csv" TargetMode="External"/><Relationship Id="rId1" Type="http://schemas.openxmlformats.org/officeDocument/2006/relationships/externalLinkPath" Target="&#40644;&#37329;&#26399;&#36135;&#21382;&#21490;&#25968;&#25454;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黄金期货历史数据"/>
    </sheetNames>
    <sheetDataSet>
      <sheetData sheetId="0">
        <row r="1">
          <cell r="A1" t="str">
            <v>日期</v>
          </cell>
          <cell r="B1" t="str">
            <v>收盘</v>
          </cell>
        </row>
        <row r="2">
          <cell r="A2">
            <v>39957</v>
          </cell>
          <cell r="B2">
            <v>980.3</v>
          </cell>
        </row>
        <row r="3">
          <cell r="A3">
            <v>39964</v>
          </cell>
          <cell r="B3">
            <v>962.6</v>
          </cell>
        </row>
        <row r="4">
          <cell r="A4">
            <v>39971</v>
          </cell>
          <cell r="B4">
            <v>940.7</v>
          </cell>
        </row>
        <row r="5">
          <cell r="A5">
            <v>39978</v>
          </cell>
          <cell r="B5">
            <v>936.2</v>
          </cell>
        </row>
        <row r="6">
          <cell r="A6">
            <v>39985</v>
          </cell>
          <cell r="B6">
            <v>941</v>
          </cell>
        </row>
        <row r="7">
          <cell r="A7">
            <v>39992</v>
          </cell>
          <cell r="B7">
            <v>931.6</v>
          </cell>
        </row>
        <row r="8">
          <cell r="A8">
            <v>39996</v>
          </cell>
          <cell r="B8">
            <v>912.5</v>
          </cell>
        </row>
        <row r="9">
          <cell r="A9">
            <v>39999</v>
          </cell>
          <cell r="B9">
            <v>913.2</v>
          </cell>
        </row>
        <row r="10">
          <cell r="A10">
            <v>40006</v>
          </cell>
          <cell r="B10">
            <v>938.1</v>
          </cell>
        </row>
        <row r="11">
          <cell r="A11">
            <v>40013</v>
          </cell>
          <cell r="B11">
            <v>953.8</v>
          </cell>
        </row>
        <row r="12">
          <cell r="A12">
            <v>40020</v>
          </cell>
          <cell r="B12">
            <v>954.5</v>
          </cell>
        </row>
        <row r="13">
          <cell r="A13">
            <v>40027</v>
          </cell>
          <cell r="B13">
            <v>958.1</v>
          </cell>
        </row>
        <row r="14">
          <cell r="A14">
            <v>40034</v>
          </cell>
          <cell r="B14">
            <v>947.6</v>
          </cell>
        </row>
        <row r="15">
          <cell r="A15">
            <v>40041</v>
          </cell>
          <cell r="B15">
            <v>953.4</v>
          </cell>
        </row>
        <row r="16">
          <cell r="A16">
            <v>40048</v>
          </cell>
          <cell r="B16">
            <v>946</v>
          </cell>
        </row>
        <row r="17">
          <cell r="A17">
            <v>40055</v>
          </cell>
          <cell r="B17">
            <v>996</v>
          </cell>
        </row>
        <row r="18">
          <cell r="A18">
            <v>40062</v>
          </cell>
          <cell r="B18">
            <v>1005.8</v>
          </cell>
        </row>
        <row r="19">
          <cell r="A19">
            <v>40069</v>
          </cell>
          <cell r="B19">
            <v>1009.9</v>
          </cell>
        </row>
        <row r="20">
          <cell r="A20">
            <v>40076</v>
          </cell>
          <cell r="B20">
            <v>991.1</v>
          </cell>
        </row>
        <row r="21">
          <cell r="A21">
            <v>40083</v>
          </cell>
          <cell r="B21">
            <v>1004.3</v>
          </cell>
        </row>
        <row r="22">
          <cell r="A22">
            <v>40090</v>
          </cell>
          <cell r="B22">
            <v>1048.5999999999999</v>
          </cell>
        </row>
        <row r="23">
          <cell r="A23">
            <v>40097</v>
          </cell>
          <cell r="B23">
            <v>1051.5</v>
          </cell>
        </row>
        <row r="24">
          <cell r="A24">
            <v>40104</v>
          </cell>
          <cell r="B24">
            <v>1056.4000000000001</v>
          </cell>
        </row>
        <row r="25">
          <cell r="A25">
            <v>40111</v>
          </cell>
          <cell r="B25">
            <v>1040.9000000000001</v>
          </cell>
        </row>
        <row r="26">
          <cell r="A26">
            <v>40118</v>
          </cell>
          <cell r="B26">
            <v>1096.4000000000001</v>
          </cell>
        </row>
        <row r="27">
          <cell r="A27">
            <v>40125</v>
          </cell>
          <cell r="B27">
            <v>1117.4000000000001</v>
          </cell>
        </row>
        <row r="28">
          <cell r="A28">
            <v>40132</v>
          </cell>
          <cell r="B28">
            <v>1147.5999999999999</v>
          </cell>
        </row>
        <row r="29">
          <cell r="A29">
            <v>40139</v>
          </cell>
          <cell r="B29">
            <v>1175.5</v>
          </cell>
        </row>
        <row r="30">
          <cell r="A30">
            <v>40146</v>
          </cell>
          <cell r="B30">
            <v>1169.5</v>
          </cell>
        </row>
        <row r="31">
          <cell r="A31">
            <v>40153</v>
          </cell>
          <cell r="B31">
            <v>1119.9000000000001</v>
          </cell>
        </row>
        <row r="32">
          <cell r="A32">
            <v>40160</v>
          </cell>
          <cell r="B32">
            <v>1111.5</v>
          </cell>
        </row>
        <row r="33">
          <cell r="A33">
            <v>40167</v>
          </cell>
          <cell r="B33">
            <v>1104.8</v>
          </cell>
        </row>
        <row r="34">
          <cell r="A34">
            <v>40174</v>
          </cell>
          <cell r="B34">
            <v>1096.9000000000001</v>
          </cell>
        </row>
        <row r="35">
          <cell r="A35">
            <v>40181</v>
          </cell>
          <cell r="B35">
            <v>1139.5999999999999</v>
          </cell>
        </row>
        <row r="36">
          <cell r="A36">
            <v>40188</v>
          </cell>
          <cell r="B36">
            <v>1131.2</v>
          </cell>
        </row>
        <row r="37">
          <cell r="A37">
            <v>40195</v>
          </cell>
          <cell r="B37">
            <v>1090.3</v>
          </cell>
        </row>
        <row r="38">
          <cell r="A38">
            <v>40202</v>
          </cell>
          <cell r="B38">
            <v>1083.8</v>
          </cell>
        </row>
        <row r="39">
          <cell r="A39">
            <v>40209</v>
          </cell>
          <cell r="B39">
            <v>1052.8</v>
          </cell>
        </row>
        <row r="40">
          <cell r="A40">
            <v>40216</v>
          </cell>
          <cell r="B40">
            <v>1090</v>
          </cell>
        </row>
        <row r="41">
          <cell r="A41">
            <v>40223</v>
          </cell>
          <cell r="B41">
            <v>1122.0999999999999</v>
          </cell>
        </row>
        <row r="42">
          <cell r="A42">
            <v>40230</v>
          </cell>
          <cell r="B42">
            <v>1119.5</v>
          </cell>
        </row>
        <row r="43">
          <cell r="A43">
            <v>40237</v>
          </cell>
          <cell r="B43">
            <v>1135.8</v>
          </cell>
        </row>
        <row r="44">
          <cell r="A44">
            <v>40244</v>
          </cell>
          <cell r="B44">
            <v>1102.3</v>
          </cell>
        </row>
        <row r="45">
          <cell r="A45">
            <v>40251</v>
          </cell>
          <cell r="B45">
            <v>1108.2</v>
          </cell>
        </row>
        <row r="46">
          <cell r="A46">
            <v>40258</v>
          </cell>
          <cell r="B46">
            <v>1105</v>
          </cell>
        </row>
        <row r="47">
          <cell r="A47">
            <v>40265</v>
          </cell>
          <cell r="B47">
            <v>1126.0999999999999</v>
          </cell>
        </row>
        <row r="48">
          <cell r="A48">
            <v>40272</v>
          </cell>
          <cell r="B48">
            <v>1161.9000000000001</v>
          </cell>
        </row>
        <row r="49">
          <cell r="A49">
            <v>40279</v>
          </cell>
          <cell r="B49">
            <v>1136.9000000000001</v>
          </cell>
        </row>
        <row r="50">
          <cell r="A50">
            <v>40286</v>
          </cell>
          <cell r="B50">
            <v>1153.7</v>
          </cell>
        </row>
        <row r="51">
          <cell r="A51">
            <v>40293</v>
          </cell>
          <cell r="B51">
            <v>1181.4000000000001</v>
          </cell>
        </row>
        <row r="52">
          <cell r="A52">
            <v>40300</v>
          </cell>
          <cell r="B52">
            <v>1211.3</v>
          </cell>
        </row>
        <row r="53">
          <cell r="A53">
            <v>40307</v>
          </cell>
          <cell r="B53">
            <v>1228.7</v>
          </cell>
        </row>
        <row r="54">
          <cell r="A54">
            <v>40314</v>
          </cell>
          <cell r="B54">
            <v>1176.8</v>
          </cell>
        </row>
        <row r="55">
          <cell r="A55">
            <v>40321</v>
          </cell>
          <cell r="B55">
            <v>1215</v>
          </cell>
        </row>
        <row r="56">
          <cell r="A56">
            <v>40328</v>
          </cell>
          <cell r="B56">
            <v>1217.7</v>
          </cell>
        </row>
        <row r="57">
          <cell r="A57">
            <v>40335</v>
          </cell>
          <cell r="B57">
            <v>1230.2</v>
          </cell>
        </row>
        <row r="58">
          <cell r="A58">
            <v>40342</v>
          </cell>
          <cell r="B58">
            <v>1258.3</v>
          </cell>
        </row>
        <row r="59">
          <cell r="A59">
            <v>40349</v>
          </cell>
          <cell r="B59">
            <v>1256.2</v>
          </cell>
        </row>
        <row r="60">
          <cell r="A60">
            <v>40356</v>
          </cell>
          <cell r="B60">
            <v>1208.5999999999999</v>
          </cell>
        </row>
        <row r="61">
          <cell r="A61">
            <v>40363</v>
          </cell>
          <cell r="B61">
            <v>1210.8</v>
          </cell>
        </row>
        <row r="62">
          <cell r="A62">
            <v>40370</v>
          </cell>
          <cell r="B62">
            <v>1189.0999999999999</v>
          </cell>
        </row>
        <row r="63">
          <cell r="A63">
            <v>40377</v>
          </cell>
          <cell r="B63">
            <v>1188.9000000000001</v>
          </cell>
        </row>
        <row r="64">
          <cell r="A64">
            <v>40384</v>
          </cell>
          <cell r="B64">
            <v>1182.4000000000001</v>
          </cell>
        </row>
        <row r="65">
          <cell r="A65">
            <v>40391</v>
          </cell>
          <cell r="B65">
            <v>1204.0999999999999</v>
          </cell>
        </row>
        <row r="66">
          <cell r="A66">
            <v>40398</v>
          </cell>
          <cell r="B66">
            <v>1215.4000000000001</v>
          </cell>
        </row>
        <row r="67">
          <cell r="A67">
            <v>40405</v>
          </cell>
          <cell r="B67">
            <v>1227.5999999999999</v>
          </cell>
        </row>
        <row r="68">
          <cell r="A68">
            <v>40412</v>
          </cell>
          <cell r="B68">
            <v>1236.5999999999999</v>
          </cell>
        </row>
        <row r="69">
          <cell r="A69">
            <v>40419</v>
          </cell>
          <cell r="B69">
            <v>1250.7</v>
          </cell>
        </row>
        <row r="70">
          <cell r="A70">
            <v>40426</v>
          </cell>
          <cell r="B70">
            <v>1246.0999999999999</v>
          </cell>
        </row>
        <row r="71">
          <cell r="A71">
            <v>40433</v>
          </cell>
          <cell r="B71">
            <v>1276.8</v>
          </cell>
        </row>
        <row r="72">
          <cell r="A72">
            <v>40440</v>
          </cell>
          <cell r="B72">
            <v>1297.3</v>
          </cell>
        </row>
        <row r="73">
          <cell r="A73">
            <v>40447</v>
          </cell>
          <cell r="B73">
            <v>1317.8</v>
          </cell>
        </row>
        <row r="74">
          <cell r="A74">
            <v>40454</v>
          </cell>
          <cell r="B74">
            <v>1345.3</v>
          </cell>
        </row>
        <row r="75">
          <cell r="A75">
            <v>40461</v>
          </cell>
          <cell r="B75">
            <v>1372</v>
          </cell>
        </row>
        <row r="76">
          <cell r="A76">
            <v>40468</v>
          </cell>
          <cell r="B76">
            <v>1325.1</v>
          </cell>
        </row>
        <row r="77">
          <cell r="A77">
            <v>40475</v>
          </cell>
          <cell r="B77">
            <v>1358.7</v>
          </cell>
        </row>
        <row r="78">
          <cell r="A78">
            <v>40482</v>
          </cell>
          <cell r="B78">
            <v>1398.8</v>
          </cell>
        </row>
        <row r="79">
          <cell r="A79">
            <v>40489</v>
          </cell>
          <cell r="B79">
            <v>1366.6</v>
          </cell>
        </row>
        <row r="80">
          <cell r="A80">
            <v>40496</v>
          </cell>
          <cell r="B80">
            <v>1353.4</v>
          </cell>
        </row>
        <row r="81">
          <cell r="A81">
            <v>40503</v>
          </cell>
          <cell r="B81">
            <v>1363.4</v>
          </cell>
        </row>
        <row r="82">
          <cell r="A82">
            <v>40510</v>
          </cell>
          <cell r="B82">
            <v>1406.2</v>
          </cell>
        </row>
        <row r="83">
          <cell r="A83">
            <v>40517</v>
          </cell>
          <cell r="B83">
            <v>1384.9</v>
          </cell>
        </row>
        <row r="84">
          <cell r="A84">
            <v>40524</v>
          </cell>
          <cell r="B84">
            <v>1379.2</v>
          </cell>
        </row>
        <row r="85">
          <cell r="A85">
            <v>40531</v>
          </cell>
          <cell r="B85">
            <v>1380.5</v>
          </cell>
        </row>
        <row r="86">
          <cell r="A86">
            <v>40538</v>
          </cell>
          <cell r="B86">
            <v>1422.5</v>
          </cell>
        </row>
        <row r="87">
          <cell r="A87">
            <v>40545</v>
          </cell>
          <cell r="B87">
            <v>1369.8</v>
          </cell>
        </row>
        <row r="88">
          <cell r="A88">
            <v>40552</v>
          </cell>
          <cell r="B88">
            <v>1361.4</v>
          </cell>
        </row>
        <row r="89">
          <cell r="A89">
            <v>40559</v>
          </cell>
          <cell r="B89">
            <v>1341.8</v>
          </cell>
        </row>
        <row r="90">
          <cell r="A90">
            <v>40566</v>
          </cell>
          <cell r="B90">
            <v>1341.7</v>
          </cell>
        </row>
        <row r="91">
          <cell r="A91">
            <v>40573</v>
          </cell>
          <cell r="B91">
            <v>1349</v>
          </cell>
        </row>
        <row r="92">
          <cell r="A92">
            <v>40580</v>
          </cell>
          <cell r="B92">
            <v>1360.4</v>
          </cell>
        </row>
        <row r="93">
          <cell r="A93">
            <v>40587</v>
          </cell>
          <cell r="B93">
            <v>1388.6</v>
          </cell>
        </row>
        <row r="94">
          <cell r="A94">
            <v>40594</v>
          </cell>
          <cell r="B94">
            <v>1410.7</v>
          </cell>
        </row>
        <row r="95">
          <cell r="A95">
            <v>40601</v>
          </cell>
          <cell r="B95">
            <v>1429.3</v>
          </cell>
        </row>
        <row r="96">
          <cell r="A96">
            <v>40608</v>
          </cell>
          <cell r="B96">
            <v>1422.5</v>
          </cell>
        </row>
        <row r="97">
          <cell r="A97">
            <v>40615</v>
          </cell>
          <cell r="B97">
            <v>1416.8</v>
          </cell>
        </row>
        <row r="98">
          <cell r="A98">
            <v>40622</v>
          </cell>
          <cell r="B98">
            <v>1426.9</v>
          </cell>
        </row>
        <row r="99">
          <cell r="A99">
            <v>40629</v>
          </cell>
          <cell r="B99">
            <v>1428.9</v>
          </cell>
        </row>
        <row r="100">
          <cell r="A100">
            <v>40636</v>
          </cell>
          <cell r="B100">
            <v>1474.1</v>
          </cell>
        </row>
        <row r="101">
          <cell r="A101">
            <v>40643</v>
          </cell>
          <cell r="B101">
            <v>1486</v>
          </cell>
        </row>
        <row r="102">
          <cell r="A102">
            <v>40650</v>
          </cell>
          <cell r="B102">
            <v>1503.8</v>
          </cell>
        </row>
        <row r="103">
          <cell r="A103">
            <v>40657</v>
          </cell>
          <cell r="B103">
            <v>1557</v>
          </cell>
        </row>
        <row r="104">
          <cell r="A104">
            <v>40664</v>
          </cell>
          <cell r="B104">
            <v>1492.2</v>
          </cell>
        </row>
        <row r="105">
          <cell r="A105">
            <v>40671</v>
          </cell>
          <cell r="B105">
            <v>1494.2</v>
          </cell>
        </row>
        <row r="106">
          <cell r="A106">
            <v>40678</v>
          </cell>
          <cell r="B106">
            <v>1509.4</v>
          </cell>
        </row>
        <row r="107">
          <cell r="A107">
            <v>40685</v>
          </cell>
          <cell r="B107">
            <v>1537.3</v>
          </cell>
        </row>
        <row r="108">
          <cell r="A108">
            <v>40692</v>
          </cell>
          <cell r="B108">
            <v>1542.4</v>
          </cell>
        </row>
        <row r="109">
          <cell r="A109">
            <v>40699</v>
          </cell>
          <cell r="B109">
            <v>1529.2</v>
          </cell>
        </row>
        <row r="110">
          <cell r="A110">
            <v>40706</v>
          </cell>
          <cell r="B110">
            <v>1539.1</v>
          </cell>
        </row>
        <row r="111">
          <cell r="A111">
            <v>40713</v>
          </cell>
          <cell r="B111">
            <v>1500.9</v>
          </cell>
        </row>
        <row r="112">
          <cell r="A112">
            <v>40720</v>
          </cell>
          <cell r="B112">
            <v>1483.1</v>
          </cell>
        </row>
        <row r="113">
          <cell r="A113">
            <v>40727</v>
          </cell>
          <cell r="B113">
            <v>1542.3</v>
          </cell>
        </row>
        <row r="114">
          <cell r="A114">
            <v>40734</v>
          </cell>
          <cell r="B114">
            <v>1590.6</v>
          </cell>
        </row>
        <row r="115">
          <cell r="A115">
            <v>40741</v>
          </cell>
          <cell r="B115">
            <v>1602.2</v>
          </cell>
        </row>
        <row r="116">
          <cell r="A116">
            <v>40748</v>
          </cell>
          <cell r="B116">
            <v>1629.9</v>
          </cell>
        </row>
        <row r="117">
          <cell r="A117">
            <v>40755</v>
          </cell>
          <cell r="B117">
            <v>1650.2</v>
          </cell>
        </row>
        <row r="118">
          <cell r="A118">
            <v>40762</v>
          </cell>
          <cell r="B118">
            <v>1741</v>
          </cell>
        </row>
        <row r="119">
          <cell r="A119">
            <v>40769</v>
          </cell>
          <cell r="B119">
            <v>1850.1</v>
          </cell>
        </row>
        <row r="120">
          <cell r="A120">
            <v>40776</v>
          </cell>
          <cell r="B120">
            <v>1795.1</v>
          </cell>
        </row>
        <row r="121">
          <cell r="A121">
            <v>40783</v>
          </cell>
          <cell r="B121">
            <v>1875.5</v>
          </cell>
        </row>
        <row r="122">
          <cell r="A122">
            <v>40790</v>
          </cell>
          <cell r="B122">
            <v>1858.3</v>
          </cell>
        </row>
        <row r="123">
          <cell r="A123">
            <v>40797</v>
          </cell>
          <cell r="B123">
            <v>1813.5</v>
          </cell>
        </row>
        <row r="124">
          <cell r="A124">
            <v>40804</v>
          </cell>
          <cell r="B124">
            <v>1638.6</v>
          </cell>
        </row>
        <row r="125">
          <cell r="A125">
            <v>40811</v>
          </cell>
          <cell r="B125">
            <v>1622.3</v>
          </cell>
        </row>
        <row r="126">
          <cell r="A126">
            <v>40818</v>
          </cell>
          <cell r="B126">
            <v>1635.8</v>
          </cell>
        </row>
        <row r="127">
          <cell r="A127">
            <v>40825</v>
          </cell>
          <cell r="B127">
            <v>1683</v>
          </cell>
        </row>
        <row r="128">
          <cell r="A128">
            <v>40832</v>
          </cell>
          <cell r="B128">
            <v>1636.1</v>
          </cell>
        </row>
        <row r="129">
          <cell r="A129">
            <v>40839</v>
          </cell>
          <cell r="B129">
            <v>1749.3</v>
          </cell>
        </row>
        <row r="130">
          <cell r="A130">
            <v>40846</v>
          </cell>
          <cell r="B130">
            <v>1757.1</v>
          </cell>
        </row>
        <row r="131">
          <cell r="A131">
            <v>40853</v>
          </cell>
          <cell r="B131">
            <v>1789.2</v>
          </cell>
        </row>
        <row r="132">
          <cell r="A132">
            <v>40860</v>
          </cell>
          <cell r="B132">
            <v>1727</v>
          </cell>
        </row>
        <row r="133">
          <cell r="A133">
            <v>40867</v>
          </cell>
          <cell r="B133">
            <v>1687.3</v>
          </cell>
        </row>
        <row r="134">
          <cell r="A134">
            <v>40874</v>
          </cell>
          <cell r="B134">
            <v>1751.3</v>
          </cell>
        </row>
        <row r="135">
          <cell r="A135">
            <v>40881</v>
          </cell>
          <cell r="B135">
            <v>1716.8</v>
          </cell>
        </row>
        <row r="136">
          <cell r="A136">
            <v>40888</v>
          </cell>
          <cell r="B136">
            <v>1597.9</v>
          </cell>
        </row>
        <row r="137">
          <cell r="A137">
            <v>40895</v>
          </cell>
          <cell r="B137">
            <v>1606</v>
          </cell>
        </row>
        <row r="138">
          <cell r="A138">
            <v>40902</v>
          </cell>
          <cell r="B138">
            <v>1568</v>
          </cell>
        </row>
        <row r="139">
          <cell r="A139">
            <v>40903</v>
          </cell>
          <cell r="B139">
            <v>1566.8</v>
          </cell>
        </row>
        <row r="140">
          <cell r="A140">
            <v>40909</v>
          </cell>
          <cell r="B140">
            <v>1618.1</v>
          </cell>
        </row>
        <row r="141">
          <cell r="A141">
            <v>40910</v>
          </cell>
          <cell r="B141">
            <v>1616.8</v>
          </cell>
        </row>
        <row r="142">
          <cell r="A142">
            <v>40916</v>
          </cell>
          <cell r="B142">
            <v>1632.2</v>
          </cell>
        </row>
        <row r="143">
          <cell r="A143">
            <v>40923</v>
          </cell>
          <cell r="B143">
            <v>1665.2</v>
          </cell>
        </row>
        <row r="144">
          <cell r="A144">
            <v>40930</v>
          </cell>
          <cell r="B144">
            <v>1734</v>
          </cell>
        </row>
        <row r="145">
          <cell r="A145">
            <v>40937</v>
          </cell>
          <cell r="B145">
            <v>1740.3</v>
          </cell>
        </row>
        <row r="146">
          <cell r="A146">
            <v>40944</v>
          </cell>
          <cell r="B146">
            <v>1725.3</v>
          </cell>
        </row>
        <row r="147">
          <cell r="A147">
            <v>40951</v>
          </cell>
          <cell r="B147">
            <v>1725.9</v>
          </cell>
        </row>
        <row r="148">
          <cell r="A148">
            <v>40958</v>
          </cell>
          <cell r="B148">
            <v>1776.4</v>
          </cell>
        </row>
        <row r="149">
          <cell r="A149">
            <v>40965</v>
          </cell>
          <cell r="B149">
            <v>1711.1</v>
          </cell>
        </row>
        <row r="150">
          <cell r="A150">
            <v>40972</v>
          </cell>
          <cell r="B150">
            <v>1712.7</v>
          </cell>
        </row>
        <row r="151">
          <cell r="A151">
            <v>40979</v>
          </cell>
          <cell r="B151">
            <v>1656.6</v>
          </cell>
        </row>
        <row r="152">
          <cell r="A152">
            <v>40986</v>
          </cell>
          <cell r="B152">
            <v>1663.2</v>
          </cell>
        </row>
        <row r="153">
          <cell r="A153">
            <v>40993</v>
          </cell>
          <cell r="B153">
            <v>1671.9</v>
          </cell>
        </row>
        <row r="154">
          <cell r="A154">
            <v>41000</v>
          </cell>
          <cell r="B154">
            <v>1630.1</v>
          </cell>
        </row>
        <row r="155">
          <cell r="A155">
            <v>41007</v>
          </cell>
          <cell r="B155">
            <v>1660.2</v>
          </cell>
        </row>
        <row r="156">
          <cell r="A156">
            <v>41014</v>
          </cell>
          <cell r="B156">
            <v>1642.8</v>
          </cell>
        </row>
        <row r="157">
          <cell r="A157">
            <v>41021</v>
          </cell>
          <cell r="B157">
            <v>1666</v>
          </cell>
        </row>
        <row r="158">
          <cell r="A158">
            <v>41028</v>
          </cell>
          <cell r="B158">
            <v>1646.3</v>
          </cell>
        </row>
        <row r="159">
          <cell r="A159">
            <v>41035</v>
          </cell>
          <cell r="B159">
            <v>1585.1</v>
          </cell>
        </row>
        <row r="160">
          <cell r="A160">
            <v>41042</v>
          </cell>
          <cell r="B160">
            <v>1593</v>
          </cell>
        </row>
        <row r="161">
          <cell r="A161">
            <v>41049</v>
          </cell>
          <cell r="B161">
            <v>1570</v>
          </cell>
        </row>
        <row r="162">
          <cell r="A162">
            <v>41056</v>
          </cell>
          <cell r="B162">
            <v>1622.1</v>
          </cell>
        </row>
        <row r="163">
          <cell r="A163">
            <v>41063</v>
          </cell>
          <cell r="B163">
            <v>1591.4</v>
          </cell>
        </row>
        <row r="164">
          <cell r="A164">
            <v>41070</v>
          </cell>
          <cell r="B164">
            <v>1628.1</v>
          </cell>
        </row>
        <row r="165">
          <cell r="A165">
            <v>41077</v>
          </cell>
          <cell r="B165">
            <v>1566.9</v>
          </cell>
        </row>
        <row r="166">
          <cell r="A166">
            <v>41084</v>
          </cell>
          <cell r="B166">
            <v>1605.3</v>
          </cell>
        </row>
        <row r="167">
          <cell r="A167">
            <v>41091</v>
          </cell>
          <cell r="B167">
            <v>1580</v>
          </cell>
        </row>
        <row r="168">
          <cell r="A168">
            <v>41098</v>
          </cell>
          <cell r="B168">
            <v>1593.2</v>
          </cell>
        </row>
        <row r="169">
          <cell r="A169">
            <v>41105</v>
          </cell>
          <cell r="B169">
            <v>1583.9</v>
          </cell>
        </row>
        <row r="170">
          <cell r="A170">
            <v>41112</v>
          </cell>
          <cell r="B170">
            <v>1619.2</v>
          </cell>
        </row>
        <row r="171">
          <cell r="A171">
            <v>41119</v>
          </cell>
          <cell r="B171">
            <v>1607.1</v>
          </cell>
        </row>
        <row r="172">
          <cell r="A172">
            <v>41126</v>
          </cell>
          <cell r="B172">
            <v>1620.7</v>
          </cell>
        </row>
        <row r="173">
          <cell r="A173">
            <v>41133</v>
          </cell>
          <cell r="B173">
            <v>1617.3</v>
          </cell>
        </row>
        <row r="174">
          <cell r="A174">
            <v>41140</v>
          </cell>
          <cell r="B174">
            <v>1670.7</v>
          </cell>
        </row>
        <row r="175">
          <cell r="A175">
            <v>41147</v>
          </cell>
          <cell r="B175">
            <v>1686.4</v>
          </cell>
        </row>
        <row r="176">
          <cell r="A176">
            <v>41154</v>
          </cell>
          <cell r="B176">
            <v>1739.3</v>
          </cell>
        </row>
        <row r="177">
          <cell r="A177">
            <v>41161</v>
          </cell>
          <cell r="B177">
            <v>1771.4</v>
          </cell>
        </row>
        <row r="178">
          <cell r="A178">
            <v>41168</v>
          </cell>
          <cell r="B178">
            <v>1776.7</v>
          </cell>
        </row>
        <row r="179">
          <cell r="A179">
            <v>41175</v>
          </cell>
          <cell r="B179">
            <v>1773.9</v>
          </cell>
        </row>
        <row r="180">
          <cell r="A180">
            <v>41182</v>
          </cell>
          <cell r="B180">
            <v>1780.8</v>
          </cell>
        </row>
        <row r="181">
          <cell r="A181">
            <v>41189</v>
          </cell>
          <cell r="B181">
            <v>1759.7</v>
          </cell>
        </row>
        <row r="182">
          <cell r="A182">
            <v>41196</v>
          </cell>
          <cell r="B182">
            <v>1724</v>
          </cell>
        </row>
        <row r="183">
          <cell r="A183">
            <v>41203</v>
          </cell>
          <cell r="B183">
            <v>1711.9</v>
          </cell>
        </row>
        <row r="184">
          <cell r="A184">
            <v>41210</v>
          </cell>
          <cell r="B184">
            <v>1676.2</v>
          </cell>
        </row>
        <row r="185">
          <cell r="A185">
            <v>41217</v>
          </cell>
          <cell r="B185">
            <v>1731.9</v>
          </cell>
        </row>
        <row r="186">
          <cell r="A186">
            <v>41224</v>
          </cell>
          <cell r="B186">
            <v>1715.7</v>
          </cell>
        </row>
        <row r="187">
          <cell r="A187">
            <v>41231</v>
          </cell>
          <cell r="B187">
            <v>1752.5</v>
          </cell>
        </row>
        <row r="188">
          <cell r="A188">
            <v>41238</v>
          </cell>
          <cell r="B188">
            <v>1712.7</v>
          </cell>
        </row>
        <row r="189">
          <cell r="A189">
            <v>41245</v>
          </cell>
          <cell r="B189">
            <v>1705.5</v>
          </cell>
        </row>
        <row r="190">
          <cell r="A190">
            <v>41252</v>
          </cell>
          <cell r="B190">
            <v>1697</v>
          </cell>
        </row>
        <row r="191">
          <cell r="A191">
            <v>41259</v>
          </cell>
          <cell r="B191">
            <v>1660.1</v>
          </cell>
        </row>
        <row r="192">
          <cell r="A192">
            <v>41266</v>
          </cell>
          <cell r="B192">
            <v>1658.1</v>
          </cell>
        </row>
        <row r="193">
          <cell r="A193">
            <v>41273</v>
          </cell>
          <cell r="B193">
            <v>1649.9</v>
          </cell>
        </row>
        <row r="194">
          <cell r="A194">
            <v>41280</v>
          </cell>
          <cell r="B194">
            <v>1661.6</v>
          </cell>
        </row>
        <row r="195">
          <cell r="A195">
            <v>41287</v>
          </cell>
          <cell r="B195">
            <v>1688</v>
          </cell>
        </row>
        <row r="196">
          <cell r="A196">
            <v>41294</v>
          </cell>
          <cell r="B196">
            <v>1657.6</v>
          </cell>
        </row>
        <row r="197">
          <cell r="A197">
            <v>41301</v>
          </cell>
          <cell r="B197">
            <v>1670.6</v>
          </cell>
        </row>
        <row r="198">
          <cell r="A198">
            <v>41308</v>
          </cell>
          <cell r="B198">
            <v>1666.9</v>
          </cell>
        </row>
        <row r="199">
          <cell r="A199">
            <v>41315</v>
          </cell>
          <cell r="B199">
            <v>1609.5</v>
          </cell>
        </row>
        <row r="200">
          <cell r="A200">
            <v>41322</v>
          </cell>
          <cell r="B200">
            <v>1572.8</v>
          </cell>
        </row>
        <row r="201">
          <cell r="A201">
            <v>41329</v>
          </cell>
          <cell r="B201">
            <v>1573.1</v>
          </cell>
        </row>
        <row r="202">
          <cell r="A202">
            <v>41336</v>
          </cell>
          <cell r="B202">
            <v>1577.9</v>
          </cell>
        </row>
        <row r="203">
          <cell r="A203">
            <v>41343</v>
          </cell>
          <cell r="B203">
            <v>1593.6</v>
          </cell>
        </row>
        <row r="204">
          <cell r="A204">
            <v>41350</v>
          </cell>
          <cell r="B204">
            <v>1607</v>
          </cell>
        </row>
        <row r="205">
          <cell r="A205">
            <v>41357</v>
          </cell>
          <cell r="B205">
            <v>1595.7</v>
          </cell>
        </row>
        <row r="206">
          <cell r="A206">
            <v>41364</v>
          </cell>
          <cell r="B206">
            <v>1575.9</v>
          </cell>
        </row>
        <row r="207">
          <cell r="A207">
            <v>41371</v>
          </cell>
          <cell r="B207">
            <v>1501.4</v>
          </cell>
        </row>
        <row r="208">
          <cell r="A208">
            <v>41378</v>
          </cell>
          <cell r="B208">
            <v>1395.6</v>
          </cell>
        </row>
        <row r="209">
          <cell r="A209">
            <v>41385</v>
          </cell>
          <cell r="B209">
            <v>1453.6</v>
          </cell>
        </row>
        <row r="210">
          <cell r="A210">
            <v>41392</v>
          </cell>
          <cell r="B210">
            <v>1464.8</v>
          </cell>
        </row>
        <row r="211">
          <cell r="A211">
            <v>41399</v>
          </cell>
          <cell r="B211">
            <v>1437</v>
          </cell>
        </row>
        <row r="212">
          <cell r="A212">
            <v>41406</v>
          </cell>
          <cell r="B212">
            <v>1365.3</v>
          </cell>
        </row>
        <row r="213">
          <cell r="A213">
            <v>41413</v>
          </cell>
          <cell r="B213">
            <v>1387</v>
          </cell>
        </row>
        <row r="214">
          <cell r="A214">
            <v>41420</v>
          </cell>
          <cell r="B214">
            <v>1393</v>
          </cell>
        </row>
        <row r="215">
          <cell r="A215">
            <v>41427</v>
          </cell>
          <cell r="B215">
            <v>1383</v>
          </cell>
        </row>
        <row r="216">
          <cell r="A216">
            <v>41434</v>
          </cell>
          <cell r="B216">
            <v>1387.6</v>
          </cell>
        </row>
        <row r="217">
          <cell r="A217">
            <v>41441</v>
          </cell>
          <cell r="B217">
            <v>1292</v>
          </cell>
        </row>
        <row r="218">
          <cell r="A218">
            <v>41448</v>
          </cell>
          <cell r="B218">
            <v>1224.2</v>
          </cell>
        </row>
        <row r="219">
          <cell r="A219">
            <v>41455</v>
          </cell>
          <cell r="B219">
            <v>1213.3</v>
          </cell>
        </row>
        <row r="220">
          <cell r="A220">
            <v>41462</v>
          </cell>
          <cell r="B220">
            <v>1278.0999999999999</v>
          </cell>
        </row>
        <row r="221">
          <cell r="A221">
            <v>41469</v>
          </cell>
          <cell r="B221">
            <v>1293.2</v>
          </cell>
        </row>
        <row r="222">
          <cell r="A222">
            <v>41476</v>
          </cell>
          <cell r="B222">
            <v>1321.4</v>
          </cell>
        </row>
        <row r="223">
          <cell r="A223">
            <v>41483</v>
          </cell>
          <cell r="B223">
            <v>1310.3</v>
          </cell>
        </row>
        <row r="224">
          <cell r="A224">
            <v>41490</v>
          </cell>
          <cell r="B224">
            <v>1312.3</v>
          </cell>
        </row>
        <row r="225">
          <cell r="A225">
            <v>41497</v>
          </cell>
          <cell r="B225">
            <v>1371</v>
          </cell>
        </row>
        <row r="226">
          <cell r="A226">
            <v>41504</v>
          </cell>
          <cell r="B226">
            <v>1395.6</v>
          </cell>
        </row>
        <row r="227">
          <cell r="A227">
            <v>41511</v>
          </cell>
          <cell r="B227">
            <v>1395.9</v>
          </cell>
        </row>
        <row r="228">
          <cell r="A228">
            <v>41518</v>
          </cell>
          <cell r="B228">
            <v>1386.3</v>
          </cell>
        </row>
        <row r="229">
          <cell r="A229">
            <v>41525</v>
          </cell>
          <cell r="B229">
            <v>1308.4000000000001</v>
          </cell>
        </row>
        <row r="230">
          <cell r="A230">
            <v>41532</v>
          </cell>
          <cell r="B230">
            <v>1332.5</v>
          </cell>
        </row>
        <row r="231">
          <cell r="A231">
            <v>41539</v>
          </cell>
          <cell r="B231">
            <v>1339.2</v>
          </cell>
        </row>
        <row r="232">
          <cell r="A232">
            <v>41546</v>
          </cell>
          <cell r="B232">
            <v>1309.9000000000001</v>
          </cell>
        </row>
        <row r="233">
          <cell r="A233">
            <v>41553</v>
          </cell>
          <cell r="B233">
            <v>1268.2</v>
          </cell>
        </row>
        <row r="234">
          <cell r="A234">
            <v>41560</v>
          </cell>
          <cell r="B234">
            <v>1314.6</v>
          </cell>
        </row>
        <row r="235">
          <cell r="A235">
            <v>41567</v>
          </cell>
          <cell r="B235">
            <v>1352.5</v>
          </cell>
        </row>
        <row r="236">
          <cell r="A236">
            <v>41574</v>
          </cell>
          <cell r="B236">
            <v>1313.6</v>
          </cell>
        </row>
        <row r="237">
          <cell r="A237">
            <v>41581</v>
          </cell>
          <cell r="B237">
            <v>1285.0999999999999</v>
          </cell>
        </row>
        <row r="238">
          <cell r="A238">
            <v>41588</v>
          </cell>
          <cell r="B238">
            <v>1287.8</v>
          </cell>
        </row>
        <row r="239">
          <cell r="A239">
            <v>41595</v>
          </cell>
          <cell r="B239">
            <v>1244.3</v>
          </cell>
        </row>
        <row r="240">
          <cell r="A240">
            <v>41602</v>
          </cell>
          <cell r="B240">
            <v>1250.4000000000001</v>
          </cell>
        </row>
        <row r="241">
          <cell r="A241">
            <v>41609</v>
          </cell>
          <cell r="B241">
            <v>1229</v>
          </cell>
        </row>
        <row r="242">
          <cell r="A242">
            <v>41616</v>
          </cell>
          <cell r="B242">
            <v>1234.5999999999999</v>
          </cell>
        </row>
        <row r="243">
          <cell r="A243">
            <v>41623</v>
          </cell>
          <cell r="B243">
            <v>1203.7</v>
          </cell>
        </row>
        <row r="244">
          <cell r="A244">
            <v>41630</v>
          </cell>
          <cell r="B244">
            <v>1214</v>
          </cell>
        </row>
        <row r="245">
          <cell r="A245">
            <v>41637</v>
          </cell>
          <cell r="B245">
            <v>1239</v>
          </cell>
        </row>
        <row r="246">
          <cell r="A246">
            <v>41644</v>
          </cell>
          <cell r="B246">
            <v>1247.3</v>
          </cell>
        </row>
        <row r="247">
          <cell r="A247">
            <v>41651</v>
          </cell>
          <cell r="B247">
            <v>1252.0999999999999</v>
          </cell>
        </row>
        <row r="248">
          <cell r="A248">
            <v>41658</v>
          </cell>
          <cell r="B248">
            <v>1264.4000000000001</v>
          </cell>
        </row>
        <row r="249">
          <cell r="A249">
            <v>41665</v>
          </cell>
          <cell r="B249">
            <v>1239.8</v>
          </cell>
        </row>
        <row r="250">
          <cell r="A250">
            <v>41672</v>
          </cell>
          <cell r="B250">
            <v>1262.9000000000001</v>
          </cell>
        </row>
        <row r="251">
          <cell r="A251">
            <v>41679</v>
          </cell>
          <cell r="B251">
            <v>1318.6</v>
          </cell>
        </row>
        <row r="252">
          <cell r="A252">
            <v>41686</v>
          </cell>
          <cell r="B252">
            <v>1323.6</v>
          </cell>
        </row>
        <row r="253">
          <cell r="A253">
            <v>41693</v>
          </cell>
          <cell r="B253">
            <v>1321.7</v>
          </cell>
        </row>
        <row r="254">
          <cell r="A254">
            <v>41700</v>
          </cell>
          <cell r="B254">
            <v>1338.6</v>
          </cell>
        </row>
        <row r="255">
          <cell r="A255">
            <v>41707</v>
          </cell>
          <cell r="B255">
            <v>1379.2</v>
          </cell>
        </row>
        <row r="256">
          <cell r="A256">
            <v>41714</v>
          </cell>
          <cell r="B256">
            <v>1336</v>
          </cell>
        </row>
        <row r="257">
          <cell r="A257">
            <v>41721</v>
          </cell>
          <cell r="B257">
            <v>1294.3</v>
          </cell>
        </row>
        <row r="258">
          <cell r="A258">
            <v>41728</v>
          </cell>
          <cell r="B258">
            <v>1303.5</v>
          </cell>
        </row>
        <row r="259">
          <cell r="A259">
            <v>41735</v>
          </cell>
          <cell r="B259">
            <v>1319</v>
          </cell>
        </row>
        <row r="260">
          <cell r="A260">
            <v>41742</v>
          </cell>
          <cell r="B260">
            <v>1293.9000000000001</v>
          </cell>
        </row>
        <row r="261">
          <cell r="A261">
            <v>41749</v>
          </cell>
          <cell r="B261">
            <v>1300.8</v>
          </cell>
        </row>
        <row r="262">
          <cell r="A262">
            <v>41756</v>
          </cell>
          <cell r="B262">
            <v>1303.0999999999999</v>
          </cell>
        </row>
        <row r="263">
          <cell r="A263">
            <v>41763</v>
          </cell>
          <cell r="B263">
            <v>1287.8</v>
          </cell>
        </row>
        <row r="264">
          <cell r="A264">
            <v>41770</v>
          </cell>
          <cell r="B264">
            <v>1293.5</v>
          </cell>
        </row>
        <row r="265">
          <cell r="A265">
            <v>41777</v>
          </cell>
          <cell r="B265">
            <v>1291.8</v>
          </cell>
        </row>
        <row r="266">
          <cell r="A266">
            <v>41784</v>
          </cell>
          <cell r="B266">
            <v>1246</v>
          </cell>
        </row>
        <row r="267">
          <cell r="A267">
            <v>41791</v>
          </cell>
          <cell r="B267">
            <v>1252.5</v>
          </cell>
        </row>
        <row r="268">
          <cell r="A268">
            <v>41798</v>
          </cell>
          <cell r="B268">
            <v>1274.0999999999999</v>
          </cell>
        </row>
        <row r="269">
          <cell r="A269">
            <v>41805</v>
          </cell>
          <cell r="B269">
            <v>1316.6</v>
          </cell>
        </row>
        <row r="270">
          <cell r="A270">
            <v>41812</v>
          </cell>
          <cell r="B270">
            <v>1320.1</v>
          </cell>
        </row>
        <row r="271">
          <cell r="A271">
            <v>41819</v>
          </cell>
          <cell r="B271">
            <v>1321.1</v>
          </cell>
        </row>
        <row r="272">
          <cell r="A272">
            <v>41823</v>
          </cell>
          <cell r="B272">
            <v>1337.4</v>
          </cell>
        </row>
        <row r="273">
          <cell r="A273">
            <v>41826</v>
          </cell>
          <cell r="B273">
            <v>1338</v>
          </cell>
        </row>
        <row r="274">
          <cell r="A274">
            <v>41833</v>
          </cell>
          <cell r="B274">
            <v>1310</v>
          </cell>
        </row>
        <row r="275">
          <cell r="A275">
            <v>41840</v>
          </cell>
          <cell r="B275">
            <v>1304</v>
          </cell>
        </row>
        <row r="276">
          <cell r="A276">
            <v>41847</v>
          </cell>
          <cell r="B276">
            <v>1294.0999999999999</v>
          </cell>
        </row>
        <row r="277">
          <cell r="A277">
            <v>41854</v>
          </cell>
          <cell r="B277">
            <v>1310.0999999999999</v>
          </cell>
        </row>
        <row r="278">
          <cell r="A278">
            <v>41861</v>
          </cell>
          <cell r="B278">
            <v>1305.4000000000001</v>
          </cell>
        </row>
        <row r="279">
          <cell r="A279">
            <v>41868</v>
          </cell>
          <cell r="B279">
            <v>1279.3</v>
          </cell>
        </row>
        <row r="280">
          <cell r="A280">
            <v>41875</v>
          </cell>
          <cell r="B280">
            <v>1287.2</v>
          </cell>
        </row>
        <row r="281">
          <cell r="A281">
            <v>41882</v>
          </cell>
          <cell r="B281">
            <v>1266.9000000000001</v>
          </cell>
        </row>
        <row r="282">
          <cell r="A282">
            <v>41889</v>
          </cell>
          <cell r="B282">
            <v>1230.9000000000001</v>
          </cell>
        </row>
        <row r="283">
          <cell r="A283">
            <v>41896</v>
          </cell>
          <cell r="B283">
            <v>1216</v>
          </cell>
        </row>
        <row r="284">
          <cell r="A284">
            <v>41903</v>
          </cell>
          <cell r="B284">
            <v>1214.8</v>
          </cell>
        </row>
        <row r="285">
          <cell r="A285">
            <v>41910</v>
          </cell>
          <cell r="B285">
            <v>1192.9000000000001</v>
          </cell>
        </row>
        <row r="286">
          <cell r="A286">
            <v>41917</v>
          </cell>
          <cell r="B286">
            <v>1221.7</v>
          </cell>
        </row>
        <row r="287">
          <cell r="A287">
            <v>41924</v>
          </cell>
          <cell r="B287">
            <v>1239</v>
          </cell>
        </row>
        <row r="288">
          <cell r="A288">
            <v>41931</v>
          </cell>
          <cell r="B288">
            <v>1231.8</v>
          </cell>
        </row>
        <row r="289">
          <cell r="A289">
            <v>41938</v>
          </cell>
          <cell r="B289">
            <v>1172</v>
          </cell>
        </row>
        <row r="290">
          <cell r="A290">
            <v>41945</v>
          </cell>
          <cell r="B290">
            <v>1170.2</v>
          </cell>
        </row>
        <row r="291">
          <cell r="A291">
            <v>41952</v>
          </cell>
          <cell r="B291">
            <v>1185.9000000000001</v>
          </cell>
        </row>
        <row r="292">
          <cell r="A292">
            <v>41959</v>
          </cell>
          <cell r="B292">
            <v>1198</v>
          </cell>
        </row>
        <row r="293">
          <cell r="A293">
            <v>41966</v>
          </cell>
          <cell r="B293">
            <v>1175.5</v>
          </cell>
        </row>
        <row r="294">
          <cell r="A294">
            <v>41973</v>
          </cell>
          <cell r="B294">
            <v>1190.4000000000001</v>
          </cell>
        </row>
        <row r="295">
          <cell r="A295">
            <v>41980</v>
          </cell>
          <cell r="B295">
            <v>1222.5</v>
          </cell>
        </row>
        <row r="296">
          <cell r="A296">
            <v>41987</v>
          </cell>
          <cell r="B296">
            <v>1196</v>
          </cell>
        </row>
        <row r="297">
          <cell r="A297">
            <v>41994</v>
          </cell>
          <cell r="B297">
            <v>1195.3</v>
          </cell>
        </row>
        <row r="298">
          <cell r="A298">
            <v>42001</v>
          </cell>
          <cell r="B298">
            <v>1186.5999999999999</v>
          </cell>
        </row>
        <row r="299">
          <cell r="A299">
            <v>42008</v>
          </cell>
          <cell r="B299">
            <v>1216.5</v>
          </cell>
        </row>
        <row r="300">
          <cell r="A300">
            <v>42015</v>
          </cell>
          <cell r="B300">
            <v>1277.4000000000001</v>
          </cell>
        </row>
        <row r="301">
          <cell r="A301">
            <v>42022</v>
          </cell>
          <cell r="B301">
            <v>1293.2</v>
          </cell>
        </row>
        <row r="302">
          <cell r="A302">
            <v>42029</v>
          </cell>
          <cell r="B302">
            <v>1279.2</v>
          </cell>
        </row>
        <row r="303">
          <cell r="A303">
            <v>42036</v>
          </cell>
          <cell r="B303">
            <v>1234.5999999999999</v>
          </cell>
        </row>
        <row r="304">
          <cell r="A304">
            <v>42043</v>
          </cell>
          <cell r="B304">
            <v>1227.0999999999999</v>
          </cell>
        </row>
        <row r="305">
          <cell r="A305">
            <v>42050</v>
          </cell>
          <cell r="B305">
            <v>1204.9000000000001</v>
          </cell>
        </row>
        <row r="306">
          <cell r="A306">
            <v>42057</v>
          </cell>
          <cell r="B306">
            <v>1213.5</v>
          </cell>
        </row>
        <row r="307">
          <cell r="A307">
            <v>42064</v>
          </cell>
          <cell r="B307">
            <v>1164.8</v>
          </cell>
        </row>
        <row r="308">
          <cell r="A308">
            <v>42071</v>
          </cell>
          <cell r="B308">
            <v>1152.8</v>
          </cell>
        </row>
        <row r="309">
          <cell r="A309">
            <v>42078</v>
          </cell>
          <cell r="B309">
            <v>1185</v>
          </cell>
        </row>
        <row r="310">
          <cell r="A310">
            <v>42085</v>
          </cell>
          <cell r="B310">
            <v>1200.3</v>
          </cell>
        </row>
        <row r="311">
          <cell r="A311">
            <v>42092</v>
          </cell>
          <cell r="B311">
            <v>1200.9000000000001</v>
          </cell>
        </row>
        <row r="312">
          <cell r="A312">
            <v>42099</v>
          </cell>
          <cell r="B312">
            <v>1204.5999999999999</v>
          </cell>
        </row>
        <row r="313">
          <cell r="A313">
            <v>42106</v>
          </cell>
          <cell r="B313">
            <v>1203.0999999999999</v>
          </cell>
        </row>
        <row r="314">
          <cell r="A314">
            <v>42113</v>
          </cell>
          <cell r="B314">
            <v>1175</v>
          </cell>
        </row>
        <row r="315">
          <cell r="A315">
            <v>42120</v>
          </cell>
          <cell r="B315">
            <v>1175</v>
          </cell>
        </row>
        <row r="316">
          <cell r="A316">
            <v>42127</v>
          </cell>
          <cell r="B316">
            <v>1189.4000000000001</v>
          </cell>
        </row>
        <row r="317">
          <cell r="A317">
            <v>42134</v>
          </cell>
          <cell r="B317">
            <v>1225.8</v>
          </cell>
        </row>
        <row r="318">
          <cell r="A318">
            <v>42141</v>
          </cell>
          <cell r="B318">
            <v>1204.4000000000001</v>
          </cell>
        </row>
        <row r="319">
          <cell r="A319">
            <v>42148</v>
          </cell>
          <cell r="B319">
            <v>1189.8</v>
          </cell>
        </row>
        <row r="320">
          <cell r="A320">
            <v>42155</v>
          </cell>
          <cell r="B320">
            <v>1168.0999999999999</v>
          </cell>
        </row>
        <row r="321">
          <cell r="A321">
            <v>42162</v>
          </cell>
          <cell r="B321">
            <v>1179.2</v>
          </cell>
        </row>
        <row r="322">
          <cell r="A322">
            <v>42169</v>
          </cell>
          <cell r="B322">
            <v>1201.9000000000001</v>
          </cell>
        </row>
        <row r="323">
          <cell r="A323">
            <v>42176</v>
          </cell>
          <cell r="B323">
            <v>1173.2</v>
          </cell>
        </row>
        <row r="324">
          <cell r="A324">
            <v>42183</v>
          </cell>
          <cell r="B324">
            <v>1164.0999999999999</v>
          </cell>
        </row>
        <row r="325">
          <cell r="A325">
            <v>42187</v>
          </cell>
          <cell r="B325">
            <v>1157.9000000000001</v>
          </cell>
        </row>
        <row r="326">
          <cell r="A326">
            <v>42190</v>
          </cell>
          <cell r="B326">
            <v>1158.4000000000001</v>
          </cell>
        </row>
        <row r="327">
          <cell r="A327">
            <v>42197</v>
          </cell>
          <cell r="B327">
            <v>1132.2</v>
          </cell>
        </row>
        <row r="328">
          <cell r="A328">
            <v>42204</v>
          </cell>
          <cell r="B328">
            <v>1085.7</v>
          </cell>
        </row>
        <row r="329">
          <cell r="A329">
            <v>42211</v>
          </cell>
          <cell r="B329">
            <v>1094.7</v>
          </cell>
        </row>
        <row r="330">
          <cell r="A330">
            <v>42218</v>
          </cell>
          <cell r="B330">
            <v>1093.8</v>
          </cell>
        </row>
        <row r="331">
          <cell r="A331">
            <v>42225</v>
          </cell>
          <cell r="B331">
            <v>1112.4000000000001</v>
          </cell>
        </row>
        <row r="332">
          <cell r="A332">
            <v>42232</v>
          </cell>
          <cell r="B332">
            <v>1159.2</v>
          </cell>
        </row>
        <row r="333">
          <cell r="A333">
            <v>42239</v>
          </cell>
          <cell r="B333">
            <v>1133.7</v>
          </cell>
        </row>
        <row r="334">
          <cell r="A334">
            <v>42246</v>
          </cell>
          <cell r="B334">
            <v>1121.0999999999999</v>
          </cell>
        </row>
        <row r="335">
          <cell r="A335">
            <v>42253</v>
          </cell>
          <cell r="B335">
            <v>1103.3</v>
          </cell>
        </row>
        <row r="336">
          <cell r="A336">
            <v>42260</v>
          </cell>
          <cell r="B336">
            <v>1138</v>
          </cell>
        </row>
        <row r="337">
          <cell r="A337">
            <v>42267</v>
          </cell>
          <cell r="B337">
            <v>1145.5999999999999</v>
          </cell>
        </row>
        <row r="338">
          <cell r="A338">
            <v>42274</v>
          </cell>
          <cell r="B338">
            <v>1136.5999999999999</v>
          </cell>
        </row>
        <row r="339">
          <cell r="A339">
            <v>42281</v>
          </cell>
          <cell r="B339">
            <v>1155.9000000000001</v>
          </cell>
        </row>
        <row r="340">
          <cell r="A340">
            <v>42288</v>
          </cell>
          <cell r="B340">
            <v>1183.0999999999999</v>
          </cell>
        </row>
        <row r="341">
          <cell r="A341">
            <v>42295</v>
          </cell>
          <cell r="B341">
            <v>1162.8</v>
          </cell>
        </row>
        <row r="342">
          <cell r="A342">
            <v>42302</v>
          </cell>
          <cell r="B342">
            <v>1141.8</v>
          </cell>
        </row>
        <row r="343">
          <cell r="A343">
            <v>42309</v>
          </cell>
          <cell r="B343">
            <v>1088.0999999999999</v>
          </cell>
        </row>
        <row r="344">
          <cell r="A344">
            <v>42316</v>
          </cell>
          <cell r="B344">
            <v>1081.2</v>
          </cell>
        </row>
        <row r="345">
          <cell r="A345">
            <v>42323</v>
          </cell>
          <cell r="B345">
            <v>1076.3</v>
          </cell>
        </row>
        <row r="346">
          <cell r="A346">
            <v>42330</v>
          </cell>
          <cell r="B346">
            <v>1056.2</v>
          </cell>
        </row>
        <row r="347">
          <cell r="A347">
            <v>42337</v>
          </cell>
          <cell r="B347">
            <v>1084.0999999999999</v>
          </cell>
        </row>
        <row r="348">
          <cell r="A348">
            <v>42344</v>
          </cell>
          <cell r="B348">
            <v>1075.7</v>
          </cell>
        </row>
        <row r="349">
          <cell r="A349">
            <v>42351</v>
          </cell>
          <cell r="B349">
            <v>1065</v>
          </cell>
        </row>
        <row r="350">
          <cell r="A350">
            <v>42358</v>
          </cell>
          <cell r="B350">
            <v>1075.9000000000001</v>
          </cell>
        </row>
        <row r="351">
          <cell r="A351">
            <v>42365</v>
          </cell>
          <cell r="B351">
            <v>1060.5</v>
          </cell>
        </row>
        <row r="352">
          <cell r="A352">
            <v>42372</v>
          </cell>
          <cell r="B352">
            <v>1098.0999999999999</v>
          </cell>
        </row>
        <row r="353">
          <cell r="A353">
            <v>42379</v>
          </cell>
          <cell r="B353">
            <v>1090.7</v>
          </cell>
        </row>
        <row r="354">
          <cell r="A354">
            <v>42386</v>
          </cell>
          <cell r="B354">
            <v>1096</v>
          </cell>
        </row>
        <row r="355">
          <cell r="A355">
            <v>42393</v>
          </cell>
          <cell r="B355">
            <v>1116.4000000000001</v>
          </cell>
        </row>
        <row r="356">
          <cell r="A356">
            <v>42400</v>
          </cell>
          <cell r="B356">
            <v>1157.7</v>
          </cell>
        </row>
        <row r="357">
          <cell r="A357">
            <v>42407</v>
          </cell>
          <cell r="B357">
            <v>1239.4000000000001</v>
          </cell>
        </row>
        <row r="358">
          <cell r="A358">
            <v>42414</v>
          </cell>
          <cell r="B358">
            <v>1230.8</v>
          </cell>
        </row>
        <row r="359">
          <cell r="A359">
            <v>42421</v>
          </cell>
          <cell r="B359">
            <v>1220.7</v>
          </cell>
        </row>
        <row r="360">
          <cell r="A360">
            <v>42428</v>
          </cell>
          <cell r="B360">
            <v>1271.0999999999999</v>
          </cell>
        </row>
        <row r="361">
          <cell r="A361">
            <v>42435</v>
          </cell>
          <cell r="B361">
            <v>1259.9000000000001</v>
          </cell>
        </row>
        <row r="362">
          <cell r="A362">
            <v>42442</v>
          </cell>
          <cell r="B362">
            <v>1254.8</v>
          </cell>
        </row>
        <row r="363">
          <cell r="A363">
            <v>42449</v>
          </cell>
          <cell r="B363">
            <v>1222.2</v>
          </cell>
        </row>
        <row r="364">
          <cell r="A364">
            <v>42456</v>
          </cell>
          <cell r="B364">
            <v>1223.5</v>
          </cell>
        </row>
        <row r="365">
          <cell r="A365">
            <v>42463</v>
          </cell>
          <cell r="B365">
            <v>1243.8</v>
          </cell>
        </row>
        <row r="366">
          <cell r="A366">
            <v>42470</v>
          </cell>
          <cell r="B366">
            <v>1234.5999999999999</v>
          </cell>
        </row>
        <row r="367">
          <cell r="A367">
            <v>42477</v>
          </cell>
          <cell r="B367">
            <v>1230</v>
          </cell>
        </row>
        <row r="368">
          <cell r="A368">
            <v>42484</v>
          </cell>
          <cell r="B368">
            <v>1291.5</v>
          </cell>
        </row>
        <row r="369">
          <cell r="A369">
            <v>42491</v>
          </cell>
          <cell r="B369">
            <v>1295.0999999999999</v>
          </cell>
        </row>
        <row r="370">
          <cell r="A370">
            <v>42498</v>
          </cell>
          <cell r="B370">
            <v>1273.8</v>
          </cell>
        </row>
        <row r="371">
          <cell r="A371">
            <v>42505</v>
          </cell>
          <cell r="B371">
            <v>1254.4000000000001</v>
          </cell>
        </row>
        <row r="372">
          <cell r="A372">
            <v>42512</v>
          </cell>
          <cell r="B372">
            <v>1216.7</v>
          </cell>
        </row>
        <row r="373">
          <cell r="A373">
            <v>42519</v>
          </cell>
          <cell r="B373">
            <v>1242.9000000000001</v>
          </cell>
        </row>
        <row r="374">
          <cell r="A374">
            <v>42526</v>
          </cell>
          <cell r="B374">
            <v>1275.9000000000001</v>
          </cell>
        </row>
        <row r="375">
          <cell r="A375">
            <v>42533</v>
          </cell>
          <cell r="B375">
            <v>1294.8</v>
          </cell>
        </row>
        <row r="376">
          <cell r="A376">
            <v>42540</v>
          </cell>
          <cell r="B376">
            <v>1322.4</v>
          </cell>
        </row>
        <row r="377">
          <cell r="A377">
            <v>42547</v>
          </cell>
          <cell r="B377">
            <v>1340.4</v>
          </cell>
        </row>
        <row r="378">
          <cell r="A378">
            <v>42554</v>
          </cell>
          <cell r="B378">
            <v>1360.5</v>
          </cell>
        </row>
        <row r="379">
          <cell r="A379">
            <v>42561</v>
          </cell>
          <cell r="B379">
            <v>1329.3</v>
          </cell>
        </row>
        <row r="380">
          <cell r="A380">
            <v>42568</v>
          </cell>
          <cell r="B380">
            <v>1325.3</v>
          </cell>
        </row>
        <row r="381">
          <cell r="A381">
            <v>42575</v>
          </cell>
          <cell r="B381">
            <v>1353.1</v>
          </cell>
        </row>
        <row r="382">
          <cell r="A382">
            <v>42582</v>
          </cell>
          <cell r="B382">
            <v>1339.5</v>
          </cell>
        </row>
        <row r="383">
          <cell r="A383">
            <v>42589</v>
          </cell>
          <cell r="B383">
            <v>1338.9</v>
          </cell>
        </row>
        <row r="384">
          <cell r="A384">
            <v>42596</v>
          </cell>
          <cell r="B384">
            <v>1342.2</v>
          </cell>
        </row>
        <row r="385">
          <cell r="A385">
            <v>42603</v>
          </cell>
          <cell r="B385">
            <v>1322.6</v>
          </cell>
        </row>
        <row r="386">
          <cell r="A386">
            <v>42610</v>
          </cell>
          <cell r="B386">
            <v>1324.9</v>
          </cell>
        </row>
        <row r="387">
          <cell r="A387">
            <v>42617</v>
          </cell>
          <cell r="B387">
            <v>1332.1</v>
          </cell>
        </row>
        <row r="388">
          <cell r="A388">
            <v>42624</v>
          </cell>
          <cell r="B388">
            <v>1307.8</v>
          </cell>
        </row>
        <row r="389">
          <cell r="A389">
            <v>42631</v>
          </cell>
          <cell r="B389">
            <v>1339.3</v>
          </cell>
        </row>
        <row r="390">
          <cell r="A390">
            <v>42638</v>
          </cell>
          <cell r="B390">
            <v>1317.1</v>
          </cell>
        </row>
        <row r="391">
          <cell r="A391">
            <v>42645</v>
          </cell>
          <cell r="B391">
            <v>1251.9000000000001</v>
          </cell>
        </row>
        <row r="392">
          <cell r="A392">
            <v>42652</v>
          </cell>
          <cell r="B392">
            <v>1255.5</v>
          </cell>
        </row>
        <row r="393">
          <cell r="A393">
            <v>42659</v>
          </cell>
          <cell r="B393">
            <v>1267.7</v>
          </cell>
        </row>
        <row r="394">
          <cell r="A394">
            <v>42666</v>
          </cell>
          <cell r="B394">
            <v>1278.5999999999999</v>
          </cell>
        </row>
        <row r="395">
          <cell r="A395">
            <v>42673</v>
          </cell>
          <cell r="B395">
            <v>1306.5</v>
          </cell>
        </row>
        <row r="396">
          <cell r="A396">
            <v>42680</v>
          </cell>
          <cell r="B396">
            <v>1225.5999999999999</v>
          </cell>
        </row>
        <row r="397">
          <cell r="A397">
            <v>42687</v>
          </cell>
          <cell r="B397">
            <v>1210.0999999999999</v>
          </cell>
        </row>
        <row r="398">
          <cell r="A398">
            <v>42694</v>
          </cell>
          <cell r="B398">
            <v>1179.5999999999999</v>
          </cell>
        </row>
        <row r="399">
          <cell r="A399">
            <v>42701</v>
          </cell>
          <cell r="B399">
            <v>1177.8</v>
          </cell>
        </row>
        <row r="400">
          <cell r="A400">
            <v>42708</v>
          </cell>
          <cell r="B400">
            <v>1161.9000000000001</v>
          </cell>
        </row>
        <row r="401">
          <cell r="A401">
            <v>42715</v>
          </cell>
          <cell r="B401">
            <v>1137.4000000000001</v>
          </cell>
        </row>
        <row r="402">
          <cell r="A402">
            <v>42722</v>
          </cell>
          <cell r="B402">
            <v>1133.5999999999999</v>
          </cell>
        </row>
        <row r="403">
          <cell r="A403">
            <v>42729</v>
          </cell>
          <cell r="B403">
            <v>1152.9000000000001</v>
          </cell>
        </row>
        <row r="404">
          <cell r="A404">
            <v>42730</v>
          </cell>
          <cell r="B404">
            <v>1151.7</v>
          </cell>
        </row>
        <row r="405">
          <cell r="A405">
            <v>42736</v>
          </cell>
          <cell r="B405">
            <v>1174.8</v>
          </cell>
        </row>
        <row r="406">
          <cell r="A406">
            <v>42737</v>
          </cell>
          <cell r="B406">
            <v>1173.4000000000001</v>
          </cell>
        </row>
        <row r="407">
          <cell r="A407">
            <v>42743</v>
          </cell>
          <cell r="B407">
            <v>1197.5</v>
          </cell>
        </row>
        <row r="408">
          <cell r="A408">
            <v>42750</v>
          </cell>
          <cell r="B408">
            <v>1206</v>
          </cell>
        </row>
        <row r="409">
          <cell r="A409">
            <v>42757</v>
          </cell>
          <cell r="B409">
            <v>1189.8</v>
          </cell>
        </row>
        <row r="410">
          <cell r="A410">
            <v>42764</v>
          </cell>
          <cell r="B410">
            <v>1220.8</v>
          </cell>
        </row>
        <row r="411">
          <cell r="A411">
            <v>42771</v>
          </cell>
          <cell r="B411">
            <v>1235.9000000000001</v>
          </cell>
        </row>
        <row r="412">
          <cell r="A412">
            <v>42778</v>
          </cell>
          <cell r="B412">
            <v>1239.0999999999999</v>
          </cell>
        </row>
        <row r="413">
          <cell r="A413">
            <v>42785</v>
          </cell>
          <cell r="B413">
            <v>1258.3</v>
          </cell>
        </row>
        <row r="414">
          <cell r="A414">
            <v>42792</v>
          </cell>
          <cell r="B414">
            <v>1228.0999999999999</v>
          </cell>
        </row>
        <row r="415">
          <cell r="A415">
            <v>42799</v>
          </cell>
          <cell r="B415">
            <v>1203</v>
          </cell>
        </row>
        <row r="416">
          <cell r="A416">
            <v>42806</v>
          </cell>
          <cell r="B416">
            <v>1231.7</v>
          </cell>
        </row>
        <row r="417">
          <cell r="A417">
            <v>42813</v>
          </cell>
          <cell r="B417">
            <v>1250.0999999999999</v>
          </cell>
        </row>
        <row r="418">
          <cell r="A418">
            <v>42820</v>
          </cell>
          <cell r="B418">
            <v>1251.2</v>
          </cell>
        </row>
        <row r="419">
          <cell r="A419">
            <v>42827</v>
          </cell>
          <cell r="B419">
            <v>1257.3</v>
          </cell>
        </row>
        <row r="420">
          <cell r="A420">
            <v>42834</v>
          </cell>
          <cell r="B420">
            <v>1288.5</v>
          </cell>
        </row>
        <row r="421">
          <cell r="A421">
            <v>42841</v>
          </cell>
          <cell r="B421">
            <v>1289.0999999999999</v>
          </cell>
        </row>
        <row r="422">
          <cell r="A422">
            <v>42848</v>
          </cell>
          <cell r="B422">
            <v>1270</v>
          </cell>
        </row>
        <row r="423">
          <cell r="A423">
            <v>42855</v>
          </cell>
          <cell r="B423">
            <v>1228.5</v>
          </cell>
        </row>
        <row r="424">
          <cell r="A424">
            <v>42862</v>
          </cell>
          <cell r="B424">
            <v>1229.3</v>
          </cell>
        </row>
        <row r="425">
          <cell r="A425">
            <v>42869</v>
          </cell>
          <cell r="B425">
            <v>1255.2</v>
          </cell>
        </row>
        <row r="426">
          <cell r="A426">
            <v>42876</v>
          </cell>
          <cell r="B426">
            <v>1269.7</v>
          </cell>
        </row>
        <row r="427">
          <cell r="A427">
            <v>42883</v>
          </cell>
          <cell r="B427">
            <v>1280.2</v>
          </cell>
        </row>
        <row r="428">
          <cell r="A428">
            <v>42890</v>
          </cell>
          <cell r="B428">
            <v>1271.4000000000001</v>
          </cell>
        </row>
        <row r="429">
          <cell r="A429">
            <v>42897</v>
          </cell>
          <cell r="B429">
            <v>1256.5</v>
          </cell>
        </row>
        <row r="430">
          <cell r="A430">
            <v>42904</v>
          </cell>
          <cell r="B430">
            <v>1256.4000000000001</v>
          </cell>
        </row>
        <row r="431">
          <cell r="A431">
            <v>42911</v>
          </cell>
          <cell r="B431">
            <v>1244.0999999999999</v>
          </cell>
        </row>
        <row r="432">
          <cell r="A432">
            <v>42918</v>
          </cell>
          <cell r="B432">
            <v>1211.4000000000001</v>
          </cell>
        </row>
        <row r="433">
          <cell r="A433">
            <v>42925</v>
          </cell>
          <cell r="B433">
            <v>1229.0999999999999</v>
          </cell>
        </row>
        <row r="434">
          <cell r="A434">
            <v>42932</v>
          </cell>
          <cell r="B434">
            <v>1256</v>
          </cell>
        </row>
        <row r="435">
          <cell r="A435">
            <v>42939</v>
          </cell>
          <cell r="B435">
            <v>1271.9000000000001</v>
          </cell>
        </row>
        <row r="436">
          <cell r="A436">
            <v>42946</v>
          </cell>
          <cell r="B436">
            <v>1261.3</v>
          </cell>
        </row>
        <row r="437">
          <cell r="A437">
            <v>42953</v>
          </cell>
          <cell r="B437">
            <v>1290.7</v>
          </cell>
        </row>
        <row r="438">
          <cell r="A438">
            <v>42960</v>
          </cell>
          <cell r="B438">
            <v>1288.3</v>
          </cell>
        </row>
        <row r="439">
          <cell r="A439">
            <v>42967</v>
          </cell>
          <cell r="B439">
            <v>1294.5</v>
          </cell>
        </row>
        <row r="440">
          <cell r="A440">
            <v>42974</v>
          </cell>
          <cell r="B440">
            <v>1328.5</v>
          </cell>
        </row>
        <row r="441">
          <cell r="A441">
            <v>42981</v>
          </cell>
          <cell r="B441">
            <v>1349.1</v>
          </cell>
        </row>
        <row r="442">
          <cell r="A442">
            <v>42988</v>
          </cell>
          <cell r="B442">
            <v>1322.9</v>
          </cell>
        </row>
        <row r="443">
          <cell r="A443">
            <v>42995</v>
          </cell>
          <cell r="B443">
            <v>1294.9000000000001</v>
          </cell>
        </row>
        <row r="444">
          <cell r="A444">
            <v>43002</v>
          </cell>
          <cell r="B444">
            <v>1284.8</v>
          </cell>
        </row>
        <row r="445">
          <cell r="A445">
            <v>43009</v>
          </cell>
          <cell r="B445">
            <v>1274.9000000000001</v>
          </cell>
        </row>
        <row r="446">
          <cell r="A446">
            <v>43016</v>
          </cell>
          <cell r="B446">
            <v>1304.5999999999999</v>
          </cell>
        </row>
        <row r="447">
          <cell r="A447">
            <v>43023</v>
          </cell>
          <cell r="B447">
            <v>1280.5</v>
          </cell>
        </row>
        <row r="448">
          <cell r="A448">
            <v>43030</v>
          </cell>
          <cell r="B448">
            <v>1271.8</v>
          </cell>
        </row>
        <row r="449">
          <cell r="A449">
            <v>43037</v>
          </cell>
          <cell r="B449">
            <v>1270.8</v>
          </cell>
        </row>
        <row r="450">
          <cell r="A450">
            <v>43044</v>
          </cell>
          <cell r="B450">
            <v>1275.9000000000001</v>
          </cell>
        </row>
        <row r="451">
          <cell r="A451">
            <v>43051</v>
          </cell>
          <cell r="B451">
            <v>1298.2</v>
          </cell>
        </row>
        <row r="452">
          <cell r="A452">
            <v>43058</v>
          </cell>
          <cell r="B452">
            <v>1289.2</v>
          </cell>
        </row>
        <row r="453">
          <cell r="A453">
            <v>43065</v>
          </cell>
          <cell r="B453">
            <v>1282.3</v>
          </cell>
        </row>
        <row r="454">
          <cell r="A454">
            <v>43072</v>
          </cell>
          <cell r="B454">
            <v>1248.4000000000001</v>
          </cell>
        </row>
        <row r="455">
          <cell r="A455">
            <v>43079</v>
          </cell>
          <cell r="B455">
            <v>1257.5</v>
          </cell>
        </row>
        <row r="456">
          <cell r="A456">
            <v>43086</v>
          </cell>
          <cell r="B456">
            <v>1278.8</v>
          </cell>
        </row>
        <row r="457">
          <cell r="A457">
            <v>43093</v>
          </cell>
          <cell r="B457">
            <v>1311.4</v>
          </cell>
        </row>
        <row r="458">
          <cell r="A458">
            <v>43094</v>
          </cell>
          <cell r="B458">
            <v>1309.3</v>
          </cell>
        </row>
        <row r="459">
          <cell r="A459">
            <v>43100</v>
          </cell>
          <cell r="B459">
            <v>1324.5</v>
          </cell>
        </row>
        <row r="460">
          <cell r="A460">
            <v>43101</v>
          </cell>
          <cell r="B460">
            <v>1322.3</v>
          </cell>
        </row>
        <row r="461">
          <cell r="A461">
            <v>43107</v>
          </cell>
          <cell r="B461">
            <v>1337.2</v>
          </cell>
        </row>
        <row r="462">
          <cell r="A462">
            <v>43114</v>
          </cell>
          <cell r="B462">
            <v>1335.3</v>
          </cell>
        </row>
        <row r="463">
          <cell r="A463">
            <v>43121</v>
          </cell>
          <cell r="B463">
            <v>1354.4</v>
          </cell>
        </row>
        <row r="464">
          <cell r="A464">
            <v>43128</v>
          </cell>
          <cell r="B464">
            <v>1337.3</v>
          </cell>
        </row>
        <row r="465">
          <cell r="A465">
            <v>43135</v>
          </cell>
          <cell r="B465">
            <v>1315.7</v>
          </cell>
        </row>
        <row r="466">
          <cell r="A466">
            <v>43142</v>
          </cell>
          <cell r="B466">
            <v>1356.2</v>
          </cell>
        </row>
        <row r="467">
          <cell r="A467">
            <v>43149</v>
          </cell>
          <cell r="B467">
            <v>1330.3</v>
          </cell>
        </row>
        <row r="468">
          <cell r="A468">
            <v>43156</v>
          </cell>
          <cell r="B468">
            <v>1325.9</v>
          </cell>
        </row>
        <row r="469">
          <cell r="A469">
            <v>43163</v>
          </cell>
          <cell r="B469">
            <v>1326.7</v>
          </cell>
        </row>
        <row r="470">
          <cell r="A470">
            <v>43170</v>
          </cell>
          <cell r="B470">
            <v>1314.8</v>
          </cell>
        </row>
        <row r="471">
          <cell r="A471">
            <v>43177</v>
          </cell>
          <cell r="B471">
            <v>1352.4</v>
          </cell>
        </row>
        <row r="472">
          <cell r="A472">
            <v>43184</v>
          </cell>
          <cell r="B472">
            <v>1327.3</v>
          </cell>
        </row>
        <row r="473">
          <cell r="A473">
            <v>43191</v>
          </cell>
          <cell r="B473">
            <v>1336.1</v>
          </cell>
        </row>
        <row r="474">
          <cell r="A474">
            <v>43198</v>
          </cell>
          <cell r="B474">
            <v>1347.9</v>
          </cell>
        </row>
        <row r="475">
          <cell r="A475">
            <v>43205</v>
          </cell>
          <cell r="B475">
            <v>1338.3</v>
          </cell>
        </row>
        <row r="476">
          <cell r="A476">
            <v>43212</v>
          </cell>
          <cell r="B476">
            <v>1326.5</v>
          </cell>
        </row>
        <row r="477">
          <cell r="A477">
            <v>43219</v>
          </cell>
          <cell r="B477">
            <v>1317.7</v>
          </cell>
        </row>
        <row r="478">
          <cell r="A478">
            <v>43226</v>
          </cell>
          <cell r="B478">
            <v>1323.8</v>
          </cell>
        </row>
        <row r="479">
          <cell r="A479">
            <v>43233</v>
          </cell>
          <cell r="B479">
            <v>1294.0999999999999</v>
          </cell>
        </row>
        <row r="480">
          <cell r="A480">
            <v>43240</v>
          </cell>
          <cell r="B480">
            <v>1306.4000000000001</v>
          </cell>
        </row>
        <row r="481">
          <cell r="A481">
            <v>43247</v>
          </cell>
          <cell r="B481">
            <v>1299.3</v>
          </cell>
        </row>
        <row r="482">
          <cell r="A482">
            <v>43254</v>
          </cell>
          <cell r="B482">
            <v>1302.7</v>
          </cell>
        </row>
        <row r="483">
          <cell r="A483">
            <v>43261</v>
          </cell>
          <cell r="B483">
            <v>1278.5</v>
          </cell>
        </row>
        <row r="484">
          <cell r="A484">
            <v>43268</v>
          </cell>
          <cell r="B484">
            <v>1270.7</v>
          </cell>
        </row>
        <row r="485">
          <cell r="A485">
            <v>43275</v>
          </cell>
          <cell r="B485">
            <v>1257.3</v>
          </cell>
        </row>
        <row r="486">
          <cell r="A486">
            <v>43282</v>
          </cell>
          <cell r="B486">
            <v>1258.9000000000001</v>
          </cell>
        </row>
        <row r="487">
          <cell r="A487">
            <v>43289</v>
          </cell>
          <cell r="B487">
            <v>1243.8</v>
          </cell>
        </row>
        <row r="488">
          <cell r="A488">
            <v>43296</v>
          </cell>
          <cell r="B488">
            <v>1233.5999999999999</v>
          </cell>
        </row>
        <row r="489">
          <cell r="A489">
            <v>43303</v>
          </cell>
          <cell r="B489">
            <v>1226.5</v>
          </cell>
        </row>
        <row r="490">
          <cell r="A490">
            <v>43310</v>
          </cell>
          <cell r="B490">
            <v>1218.0999999999999</v>
          </cell>
        </row>
        <row r="491">
          <cell r="A491">
            <v>43317</v>
          </cell>
          <cell r="B491">
            <v>1214.2</v>
          </cell>
        </row>
        <row r="492">
          <cell r="A492">
            <v>43324</v>
          </cell>
          <cell r="B492">
            <v>1179.8</v>
          </cell>
        </row>
        <row r="493">
          <cell r="A493">
            <v>43331</v>
          </cell>
          <cell r="B493">
            <v>1208.5999999999999</v>
          </cell>
        </row>
        <row r="494">
          <cell r="A494">
            <v>43338</v>
          </cell>
          <cell r="B494">
            <v>1204.0999999999999</v>
          </cell>
        </row>
        <row r="495">
          <cell r="A495">
            <v>43345</v>
          </cell>
          <cell r="B495">
            <v>1197.8</v>
          </cell>
        </row>
        <row r="496">
          <cell r="A496">
            <v>43352</v>
          </cell>
          <cell r="B496">
            <v>1198.5999999999999</v>
          </cell>
        </row>
        <row r="497">
          <cell r="A497">
            <v>43359</v>
          </cell>
          <cell r="B497">
            <v>1198.5999999999999</v>
          </cell>
        </row>
        <row r="498">
          <cell r="A498">
            <v>43366</v>
          </cell>
          <cell r="B498">
            <v>1196.2</v>
          </cell>
        </row>
        <row r="499">
          <cell r="A499">
            <v>43373</v>
          </cell>
          <cell r="B499">
            <v>1205.5999999999999</v>
          </cell>
        </row>
        <row r="500">
          <cell r="A500">
            <v>43380</v>
          </cell>
          <cell r="B500">
            <v>1222</v>
          </cell>
        </row>
        <row r="501">
          <cell r="A501">
            <v>43387</v>
          </cell>
          <cell r="B501">
            <v>1228.7</v>
          </cell>
        </row>
        <row r="502">
          <cell r="A502">
            <v>43394</v>
          </cell>
          <cell r="B502">
            <v>1235.8</v>
          </cell>
        </row>
        <row r="503">
          <cell r="A503">
            <v>43401</v>
          </cell>
          <cell r="B503">
            <v>1237</v>
          </cell>
        </row>
        <row r="504">
          <cell r="A504">
            <v>43408</v>
          </cell>
          <cell r="B504">
            <v>1212.5999999999999</v>
          </cell>
        </row>
        <row r="505">
          <cell r="A505">
            <v>43415</v>
          </cell>
          <cell r="B505">
            <v>1226.4000000000001</v>
          </cell>
        </row>
        <row r="506">
          <cell r="A506">
            <v>43422</v>
          </cell>
          <cell r="B506">
            <v>1226.5999999999999</v>
          </cell>
        </row>
        <row r="507">
          <cell r="A507">
            <v>43429</v>
          </cell>
          <cell r="B507">
            <v>1226</v>
          </cell>
        </row>
        <row r="508">
          <cell r="A508">
            <v>43436</v>
          </cell>
          <cell r="B508">
            <v>1252.5999999999999</v>
          </cell>
        </row>
        <row r="509">
          <cell r="A509">
            <v>43443</v>
          </cell>
          <cell r="B509">
            <v>1241.4000000000001</v>
          </cell>
        </row>
        <row r="510">
          <cell r="A510">
            <v>43450</v>
          </cell>
          <cell r="B510">
            <v>1258.0999999999999</v>
          </cell>
        </row>
        <row r="511">
          <cell r="A511">
            <v>43457</v>
          </cell>
          <cell r="B511">
            <v>1286.0999999999999</v>
          </cell>
        </row>
        <row r="512">
          <cell r="A512">
            <v>43464</v>
          </cell>
          <cell r="B512">
            <v>1289.2</v>
          </cell>
        </row>
        <row r="513">
          <cell r="A513">
            <v>43471</v>
          </cell>
          <cell r="B513">
            <v>1292.9000000000001</v>
          </cell>
        </row>
        <row r="514">
          <cell r="A514">
            <v>43478</v>
          </cell>
          <cell r="B514">
            <v>1284.8</v>
          </cell>
        </row>
        <row r="515">
          <cell r="A515">
            <v>43485</v>
          </cell>
          <cell r="B515">
            <v>1300.7</v>
          </cell>
        </row>
        <row r="516">
          <cell r="A516">
            <v>43492</v>
          </cell>
          <cell r="B516">
            <v>1322.1</v>
          </cell>
        </row>
        <row r="517">
          <cell r="A517">
            <v>43499</v>
          </cell>
          <cell r="B517">
            <v>1318.5</v>
          </cell>
        </row>
        <row r="518">
          <cell r="A518">
            <v>43506</v>
          </cell>
          <cell r="B518">
            <v>1322.1</v>
          </cell>
        </row>
        <row r="519">
          <cell r="A519">
            <v>43513</v>
          </cell>
          <cell r="B519">
            <v>1332.8</v>
          </cell>
        </row>
        <row r="520">
          <cell r="A520">
            <v>43520</v>
          </cell>
          <cell r="B520">
            <v>1302.5</v>
          </cell>
        </row>
        <row r="521">
          <cell r="A521">
            <v>43527</v>
          </cell>
          <cell r="B521">
            <v>1302.7</v>
          </cell>
        </row>
        <row r="522">
          <cell r="A522">
            <v>43534</v>
          </cell>
          <cell r="B522">
            <v>1305.8</v>
          </cell>
        </row>
        <row r="523">
          <cell r="A523">
            <v>43541</v>
          </cell>
          <cell r="B523">
            <v>1315.4</v>
          </cell>
        </row>
        <row r="524">
          <cell r="A524">
            <v>43548</v>
          </cell>
          <cell r="B524">
            <v>1298.5</v>
          </cell>
        </row>
        <row r="525">
          <cell r="A525">
            <v>43555</v>
          </cell>
          <cell r="B525">
            <v>1295.5999999999999</v>
          </cell>
        </row>
        <row r="526">
          <cell r="A526">
            <v>43562</v>
          </cell>
          <cell r="B526">
            <v>1295.2</v>
          </cell>
        </row>
        <row r="527">
          <cell r="A527">
            <v>43569</v>
          </cell>
          <cell r="B527">
            <v>1276</v>
          </cell>
        </row>
        <row r="528">
          <cell r="A528">
            <v>43576</v>
          </cell>
          <cell r="B528">
            <v>1288.8</v>
          </cell>
        </row>
        <row r="529">
          <cell r="A529">
            <v>43583</v>
          </cell>
          <cell r="B529">
            <v>1284.3</v>
          </cell>
        </row>
        <row r="530">
          <cell r="A530">
            <v>43590</v>
          </cell>
          <cell r="B530">
            <v>1290.2</v>
          </cell>
        </row>
        <row r="531">
          <cell r="A531">
            <v>43597</v>
          </cell>
          <cell r="B531">
            <v>1278.9000000000001</v>
          </cell>
        </row>
        <row r="532">
          <cell r="A532">
            <v>43604</v>
          </cell>
          <cell r="B532">
            <v>1286.4000000000001</v>
          </cell>
        </row>
        <row r="533">
          <cell r="A533">
            <v>43611</v>
          </cell>
          <cell r="B533">
            <v>1311.1</v>
          </cell>
        </row>
        <row r="534">
          <cell r="A534">
            <v>43618</v>
          </cell>
          <cell r="B534">
            <v>1346.1</v>
          </cell>
        </row>
        <row r="535">
          <cell r="A535">
            <v>43625</v>
          </cell>
          <cell r="B535">
            <v>1344.5</v>
          </cell>
        </row>
        <row r="536">
          <cell r="A536">
            <v>43632</v>
          </cell>
          <cell r="B536">
            <v>1400.1</v>
          </cell>
        </row>
        <row r="537">
          <cell r="A537">
            <v>43639</v>
          </cell>
          <cell r="B537">
            <v>1416.7</v>
          </cell>
        </row>
        <row r="538">
          <cell r="A538">
            <v>43646</v>
          </cell>
          <cell r="B538">
            <v>1403.4</v>
          </cell>
        </row>
        <row r="539">
          <cell r="A539">
            <v>43653</v>
          </cell>
          <cell r="B539">
            <v>1415.9</v>
          </cell>
        </row>
        <row r="540">
          <cell r="A540">
            <v>43660</v>
          </cell>
          <cell r="B540">
            <v>1430.1</v>
          </cell>
        </row>
        <row r="541">
          <cell r="A541">
            <v>43667</v>
          </cell>
          <cell r="B541">
            <v>1423.5</v>
          </cell>
        </row>
        <row r="542">
          <cell r="A542">
            <v>43674</v>
          </cell>
          <cell r="B542">
            <v>1451.6</v>
          </cell>
        </row>
        <row r="543">
          <cell r="A543">
            <v>43681</v>
          </cell>
          <cell r="B543">
            <v>1502</v>
          </cell>
        </row>
        <row r="544">
          <cell r="A544">
            <v>43688</v>
          </cell>
          <cell r="B544">
            <v>1517.5</v>
          </cell>
        </row>
        <row r="545">
          <cell r="A545">
            <v>43695</v>
          </cell>
          <cell r="B545">
            <v>1531.4</v>
          </cell>
        </row>
        <row r="546">
          <cell r="A546">
            <v>43702</v>
          </cell>
          <cell r="B546">
            <v>1526.2</v>
          </cell>
        </row>
        <row r="547">
          <cell r="A547">
            <v>43709</v>
          </cell>
          <cell r="B547">
            <v>1512.4</v>
          </cell>
        </row>
        <row r="548">
          <cell r="A548">
            <v>43716</v>
          </cell>
          <cell r="B548">
            <v>1496.8</v>
          </cell>
        </row>
        <row r="549">
          <cell r="A549">
            <v>43723</v>
          </cell>
          <cell r="B549">
            <v>1512</v>
          </cell>
        </row>
        <row r="550">
          <cell r="A550">
            <v>43730</v>
          </cell>
          <cell r="B550">
            <v>1506.4</v>
          </cell>
        </row>
        <row r="551">
          <cell r="A551">
            <v>43737</v>
          </cell>
          <cell r="B551">
            <v>1512.9</v>
          </cell>
        </row>
        <row r="552">
          <cell r="A552">
            <v>43744</v>
          </cell>
          <cell r="B552">
            <v>1488.7</v>
          </cell>
        </row>
        <row r="553">
          <cell r="A553">
            <v>43751</v>
          </cell>
          <cell r="B553">
            <v>1494.1</v>
          </cell>
        </row>
        <row r="554">
          <cell r="A554">
            <v>43758</v>
          </cell>
          <cell r="B554">
            <v>1505.3</v>
          </cell>
        </row>
        <row r="555">
          <cell r="A555">
            <v>43765</v>
          </cell>
          <cell r="B555">
            <v>1514.9</v>
          </cell>
        </row>
        <row r="556">
          <cell r="A556">
            <v>43772</v>
          </cell>
          <cell r="B556">
            <v>1466.4</v>
          </cell>
        </row>
        <row r="557">
          <cell r="A557">
            <v>43779</v>
          </cell>
          <cell r="B557">
            <v>1472</v>
          </cell>
        </row>
        <row r="558">
          <cell r="A558">
            <v>43786</v>
          </cell>
          <cell r="B558">
            <v>1467.3</v>
          </cell>
        </row>
        <row r="559">
          <cell r="A559">
            <v>43793</v>
          </cell>
          <cell r="B559">
            <v>1472.7</v>
          </cell>
        </row>
        <row r="560">
          <cell r="A560">
            <v>43800</v>
          </cell>
          <cell r="B560">
            <v>1465.1</v>
          </cell>
        </row>
        <row r="561">
          <cell r="A561">
            <v>43807</v>
          </cell>
          <cell r="B561">
            <v>1481.2</v>
          </cell>
        </row>
        <row r="562">
          <cell r="A562">
            <v>43814</v>
          </cell>
          <cell r="B562">
            <v>1480.9</v>
          </cell>
        </row>
        <row r="563">
          <cell r="A563">
            <v>43821</v>
          </cell>
          <cell r="B563">
            <v>1518.1</v>
          </cell>
        </row>
        <row r="564">
          <cell r="A564">
            <v>43828</v>
          </cell>
          <cell r="B564">
            <v>1555.5</v>
          </cell>
        </row>
        <row r="565">
          <cell r="A565">
            <v>43835</v>
          </cell>
          <cell r="B565">
            <v>1563.6</v>
          </cell>
        </row>
        <row r="566">
          <cell r="A566">
            <v>43842</v>
          </cell>
          <cell r="B566">
            <v>1563.6</v>
          </cell>
        </row>
        <row r="567">
          <cell r="A567">
            <v>43849</v>
          </cell>
          <cell r="B567">
            <v>1575.2</v>
          </cell>
        </row>
        <row r="568">
          <cell r="A568">
            <v>43856</v>
          </cell>
          <cell r="B568">
            <v>1587.9</v>
          </cell>
        </row>
        <row r="569">
          <cell r="A569">
            <v>43863</v>
          </cell>
          <cell r="B569">
            <v>1573.4</v>
          </cell>
        </row>
        <row r="570">
          <cell r="A570">
            <v>43870</v>
          </cell>
          <cell r="B570">
            <v>1586.4</v>
          </cell>
        </row>
        <row r="571">
          <cell r="A571">
            <v>43877</v>
          </cell>
          <cell r="B571">
            <v>1648.8</v>
          </cell>
        </row>
        <row r="572">
          <cell r="A572">
            <v>43884</v>
          </cell>
          <cell r="B572">
            <v>1569.3</v>
          </cell>
        </row>
        <row r="573">
          <cell r="A573">
            <v>43891</v>
          </cell>
          <cell r="B573">
            <v>1674.3</v>
          </cell>
        </row>
        <row r="574">
          <cell r="A574">
            <v>43898</v>
          </cell>
          <cell r="B574">
            <v>1518.2</v>
          </cell>
        </row>
        <row r="575">
          <cell r="A575">
            <v>43905</v>
          </cell>
          <cell r="B575">
            <v>1486.5</v>
          </cell>
        </row>
        <row r="576">
          <cell r="A576">
            <v>43912</v>
          </cell>
          <cell r="B576">
            <v>1641.3</v>
          </cell>
        </row>
        <row r="577">
          <cell r="A577">
            <v>43919</v>
          </cell>
          <cell r="B577">
            <v>1645.7</v>
          </cell>
        </row>
        <row r="578">
          <cell r="A578">
            <v>43926</v>
          </cell>
          <cell r="B578">
            <v>1752.8</v>
          </cell>
        </row>
        <row r="579">
          <cell r="A579">
            <v>43933</v>
          </cell>
          <cell r="B579">
            <v>1698.8</v>
          </cell>
        </row>
        <row r="580">
          <cell r="A580">
            <v>43940</v>
          </cell>
          <cell r="B580">
            <v>1735.6</v>
          </cell>
        </row>
        <row r="581">
          <cell r="A581">
            <v>43947</v>
          </cell>
          <cell r="B581">
            <v>1704.4</v>
          </cell>
        </row>
        <row r="582">
          <cell r="A582">
            <v>43954</v>
          </cell>
          <cell r="B582">
            <v>1719.3</v>
          </cell>
        </row>
        <row r="583">
          <cell r="A583">
            <v>43961</v>
          </cell>
          <cell r="B583">
            <v>1761.5</v>
          </cell>
        </row>
        <row r="584">
          <cell r="A584">
            <v>43968</v>
          </cell>
          <cell r="B584">
            <v>1744.3</v>
          </cell>
        </row>
        <row r="585">
          <cell r="A585">
            <v>43975</v>
          </cell>
          <cell r="B585">
            <v>1751.7</v>
          </cell>
        </row>
        <row r="586">
          <cell r="A586">
            <v>43982</v>
          </cell>
          <cell r="B586">
            <v>1683</v>
          </cell>
        </row>
        <row r="587">
          <cell r="A587">
            <v>43989</v>
          </cell>
          <cell r="B587">
            <v>1737.3</v>
          </cell>
        </row>
        <row r="588">
          <cell r="A588">
            <v>43996</v>
          </cell>
          <cell r="B588">
            <v>1753</v>
          </cell>
        </row>
        <row r="589">
          <cell r="A589">
            <v>44003</v>
          </cell>
          <cell r="B589">
            <v>1780.3</v>
          </cell>
        </row>
        <row r="590">
          <cell r="A590">
            <v>44010</v>
          </cell>
          <cell r="B590">
            <v>1795.8</v>
          </cell>
        </row>
        <row r="591">
          <cell r="A591">
            <v>44014</v>
          </cell>
          <cell r="B591">
            <v>1801.9</v>
          </cell>
        </row>
        <row r="592">
          <cell r="A592">
            <v>44017</v>
          </cell>
          <cell r="B592">
            <v>1808.6</v>
          </cell>
        </row>
        <row r="593">
          <cell r="A593">
            <v>44024</v>
          </cell>
          <cell r="B593">
            <v>1816</v>
          </cell>
        </row>
        <row r="594">
          <cell r="A594">
            <v>44031</v>
          </cell>
          <cell r="B594">
            <v>1902.5</v>
          </cell>
        </row>
        <row r="595">
          <cell r="A595">
            <v>44038</v>
          </cell>
          <cell r="B595">
            <v>1973.9</v>
          </cell>
        </row>
        <row r="596">
          <cell r="A596">
            <v>44045</v>
          </cell>
          <cell r="B596">
            <v>2018</v>
          </cell>
        </row>
        <row r="597">
          <cell r="A597">
            <v>44052</v>
          </cell>
          <cell r="B597">
            <v>1942.3</v>
          </cell>
        </row>
        <row r="598">
          <cell r="A598">
            <v>44059</v>
          </cell>
          <cell r="B598">
            <v>1938.3</v>
          </cell>
        </row>
        <row r="599">
          <cell r="A599">
            <v>44066</v>
          </cell>
          <cell r="B599">
            <v>1970.8</v>
          </cell>
        </row>
        <row r="600">
          <cell r="A600">
            <v>44073</v>
          </cell>
          <cell r="B600">
            <v>1930.6</v>
          </cell>
        </row>
        <row r="601">
          <cell r="A601">
            <v>44080</v>
          </cell>
          <cell r="B601">
            <v>1943.3</v>
          </cell>
        </row>
        <row r="602">
          <cell r="A602">
            <v>44087</v>
          </cell>
          <cell r="B602">
            <v>1957.5</v>
          </cell>
        </row>
        <row r="603">
          <cell r="A603">
            <v>44094</v>
          </cell>
          <cell r="B603">
            <v>1862.2</v>
          </cell>
        </row>
        <row r="604">
          <cell r="A604">
            <v>44101</v>
          </cell>
          <cell r="B604">
            <v>1907.6</v>
          </cell>
        </row>
        <row r="605">
          <cell r="A605">
            <v>44108</v>
          </cell>
          <cell r="B605">
            <v>1926.2</v>
          </cell>
        </row>
        <row r="606">
          <cell r="A606">
            <v>44115</v>
          </cell>
          <cell r="B606">
            <v>1906.4</v>
          </cell>
        </row>
        <row r="607">
          <cell r="A607">
            <v>44122</v>
          </cell>
          <cell r="B607">
            <v>1905.2</v>
          </cell>
        </row>
        <row r="608">
          <cell r="A608">
            <v>44129</v>
          </cell>
          <cell r="B608">
            <v>1883.5</v>
          </cell>
        </row>
        <row r="609">
          <cell r="A609">
            <v>44136</v>
          </cell>
          <cell r="B609">
            <v>1955.3</v>
          </cell>
        </row>
        <row r="610">
          <cell r="A610">
            <v>44143</v>
          </cell>
          <cell r="B610">
            <v>1890.7</v>
          </cell>
        </row>
        <row r="611">
          <cell r="A611">
            <v>44150</v>
          </cell>
          <cell r="B611">
            <v>1875.7</v>
          </cell>
        </row>
        <row r="612">
          <cell r="A612">
            <v>44157</v>
          </cell>
          <cell r="B612">
            <v>1788.1</v>
          </cell>
        </row>
        <row r="613">
          <cell r="A613">
            <v>44164</v>
          </cell>
          <cell r="B613">
            <v>1840</v>
          </cell>
        </row>
        <row r="614">
          <cell r="A614">
            <v>44171</v>
          </cell>
          <cell r="B614">
            <v>1843.6</v>
          </cell>
        </row>
        <row r="615">
          <cell r="A615">
            <v>44178</v>
          </cell>
          <cell r="B615">
            <v>1888.9</v>
          </cell>
        </row>
        <row r="616">
          <cell r="A616">
            <v>44185</v>
          </cell>
          <cell r="B616">
            <v>1883.2</v>
          </cell>
        </row>
        <row r="617">
          <cell r="A617">
            <v>44192</v>
          </cell>
          <cell r="B617">
            <v>1897.3</v>
          </cell>
        </row>
        <row r="618">
          <cell r="A618">
            <v>44199</v>
          </cell>
          <cell r="B618">
            <v>1837.3</v>
          </cell>
        </row>
        <row r="619">
          <cell r="A619">
            <v>44206</v>
          </cell>
          <cell r="B619">
            <v>1831.7</v>
          </cell>
        </row>
        <row r="620">
          <cell r="A620">
            <v>44213</v>
          </cell>
          <cell r="B620">
            <v>1857.9</v>
          </cell>
        </row>
        <row r="621">
          <cell r="A621">
            <v>44220</v>
          </cell>
          <cell r="B621">
            <v>1850.3</v>
          </cell>
        </row>
        <row r="622">
          <cell r="A622">
            <v>44227</v>
          </cell>
          <cell r="B622">
            <v>1813</v>
          </cell>
        </row>
        <row r="623">
          <cell r="A623">
            <v>44234</v>
          </cell>
          <cell r="B623">
            <v>1823.2</v>
          </cell>
        </row>
        <row r="624">
          <cell r="A624">
            <v>44241</v>
          </cell>
          <cell r="B624">
            <v>1777.4</v>
          </cell>
        </row>
        <row r="625">
          <cell r="A625">
            <v>44248</v>
          </cell>
          <cell r="B625">
            <v>1730.1</v>
          </cell>
        </row>
        <row r="626">
          <cell r="A626">
            <v>44255</v>
          </cell>
          <cell r="B626">
            <v>1700.3</v>
          </cell>
        </row>
        <row r="627">
          <cell r="A627">
            <v>44262</v>
          </cell>
          <cell r="B627">
            <v>1721.2</v>
          </cell>
        </row>
        <row r="628">
          <cell r="A628">
            <v>44269</v>
          </cell>
          <cell r="B628">
            <v>1742.9</v>
          </cell>
        </row>
        <row r="629">
          <cell r="A629">
            <v>44276</v>
          </cell>
          <cell r="B629">
            <v>1733.6</v>
          </cell>
        </row>
        <row r="630">
          <cell r="A630">
            <v>44283</v>
          </cell>
          <cell r="B630">
            <v>1728.4</v>
          </cell>
        </row>
        <row r="631">
          <cell r="A631">
            <v>44290</v>
          </cell>
          <cell r="B631">
            <v>1744.8</v>
          </cell>
        </row>
        <row r="632">
          <cell r="A632">
            <v>44297</v>
          </cell>
          <cell r="B632">
            <v>1780.2</v>
          </cell>
        </row>
        <row r="633">
          <cell r="A633">
            <v>44304</v>
          </cell>
          <cell r="B633">
            <v>1777.8</v>
          </cell>
        </row>
        <row r="634">
          <cell r="A634">
            <v>44311</v>
          </cell>
          <cell r="B634">
            <v>1768.6</v>
          </cell>
        </row>
        <row r="635">
          <cell r="A635">
            <v>44318</v>
          </cell>
          <cell r="B635">
            <v>1832.4</v>
          </cell>
        </row>
        <row r="636">
          <cell r="A636">
            <v>44325</v>
          </cell>
          <cell r="B636">
            <v>1839.1</v>
          </cell>
        </row>
        <row r="637">
          <cell r="A637">
            <v>44332</v>
          </cell>
          <cell r="B637">
            <v>1877.6</v>
          </cell>
        </row>
        <row r="638">
          <cell r="A638">
            <v>44339</v>
          </cell>
          <cell r="B638">
            <v>1905.3</v>
          </cell>
        </row>
        <row r="639">
          <cell r="A639">
            <v>44346</v>
          </cell>
          <cell r="B639">
            <v>1892</v>
          </cell>
        </row>
        <row r="640">
          <cell r="A640">
            <v>44353</v>
          </cell>
          <cell r="B640">
            <v>1879.6</v>
          </cell>
        </row>
        <row r="641">
          <cell r="A641">
            <v>44360</v>
          </cell>
          <cell r="B641">
            <v>1769</v>
          </cell>
        </row>
        <row r="642">
          <cell r="A642">
            <v>44367</v>
          </cell>
          <cell r="B642">
            <v>1777.8</v>
          </cell>
        </row>
        <row r="643">
          <cell r="A643">
            <v>44374</v>
          </cell>
          <cell r="B643">
            <v>1784.1</v>
          </cell>
        </row>
        <row r="644">
          <cell r="A644">
            <v>44381</v>
          </cell>
          <cell r="B644">
            <v>1811.5</v>
          </cell>
        </row>
        <row r="645">
          <cell r="A645">
            <v>44388</v>
          </cell>
          <cell r="B645">
            <v>1815.9</v>
          </cell>
        </row>
        <row r="646">
          <cell r="A646">
            <v>44395</v>
          </cell>
          <cell r="B646">
            <v>1802.9</v>
          </cell>
        </row>
        <row r="647">
          <cell r="A647">
            <v>44402</v>
          </cell>
          <cell r="B647">
            <v>1814.5</v>
          </cell>
        </row>
        <row r="648">
          <cell r="A648">
            <v>44409</v>
          </cell>
          <cell r="B648">
            <v>1761.1</v>
          </cell>
        </row>
        <row r="649">
          <cell r="A649">
            <v>44416</v>
          </cell>
          <cell r="B649">
            <v>1776</v>
          </cell>
        </row>
        <row r="650">
          <cell r="A650">
            <v>44423</v>
          </cell>
          <cell r="B650">
            <v>1781.8</v>
          </cell>
        </row>
        <row r="651">
          <cell r="A651">
            <v>44430</v>
          </cell>
          <cell r="B651">
            <v>1817.2</v>
          </cell>
        </row>
        <row r="652">
          <cell r="A652">
            <v>44437</v>
          </cell>
          <cell r="B652">
            <v>1832.6</v>
          </cell>
        </row>
        <row r="653">
          <cell r="A653">
            <v>44444</v>
          </cell>
          <cell r="B653">
            <v>1791</v>
          </cell>
        </row>
        <row r="654">
          <cell r="A654">
            <v>44451</v>
          </cell>
          <cell r="B654">
            <v>1750.5</v>
          </cell>
        </row>
        <row r="655">
          <cell r="A655">
            <v>44458</v>
          </cell>
          <cell r="B655">
            <v>1750.9</v>
          </cell>
        </row>
        <row r="656">
          <cell r="A656">
            <v>44465</v>
          </cell>
          <cell r="B656">
            <v>1758.4</v>
          </cell>
        </row>
        <row r="657">
          <cell r="A657">
            <v>44472</v>
          </cell>
          <cell r="B657">
            <v>1757.4</v>
          </cell>
        </row>
        <row r="658">
          <cell r="A658">
            <v>44479</v>
          </cell>
          <cell r="B658">
            <v>1768.3</v>
          </cell>
        </row>
        <row r="659">
          <cell r="A659">
            <v>44486</v>
          </cell>
          <cell r="B659">
            <v>1796.3</v>
          </cell>
        </row>
        <row r="660">
          <cell r="A660">
            <v>44493</v>
          </cell>
          <cell r="B660">
            <v>1784.9</v>
          </cell>
        </row>
        <row r="661">
          <cell r="A661">
            <v>44500</v>
          </cell>
          <cell r="B661">
            <v>1818</v>
          </cell>
        </row>
        <row r="662">
          <cell r="A662">
            <v>44507</v>
          </cell>
          <cell r="B662">
            <v>1869.7</v>
          </cell>
        </row>
        <row r="663">
          <cell r="A663">
            <v>44514</v>
          </cell>
          <cell r="B663">
            <v>1852.9</v>
          </cell>
        </row>
        <row r="664">
          <cell r="A664">
            <v>44521</v>
          </cell>
          <cell r="B664">
            <v>1786.9</v>
          </cell>
        </row>
        <row r="665">
          <cell r="A665">
            <v>44528</v>
          </cell>
          <cell r="B665">
            <v>1783.9</v>
          </cell>
        </row>
        <row r="666">
          <cell r="A666">
            <v>44535</v>
          </cell>
          <cell r="B666">
            <v>1784.8</v>
          </cell>
        </row>
        <row r="667">
          <cell r="A667">
            <v>44542</v>
          </cell>
          <cell r="B667">
            <v>1804.9</v>
          </cell>
        </row>
        <row r="668">
          <cell r="A668">
            <v>44549</v>
          </cell>
          <cell r="B668">
            <v>1811.7</v>
          </cell>
        </row>
        <row r="669">
          <cell r="A669">
            <v>44556</v>
          </cell>
          <cell r="B669">
            <v>1829.7</v>
          </cell>
        </row>
        <row r="670">
          <cell r="A670">
            <v>44563</v>
          </cell>
          <cell r="B670">
            <v>1799.3</v>
          </cell>
        </row>
        <row r="671">
          <cell r="A671">
            <v>44570</v>
          </cell>
          <cell r="B671">
            <v>1818.3</v>
          </cell>
        </row>
        <row r="672">
          <cell r="A672">
            <v>44577</v>
          </cell>
          <cell r="B672">
            <v>1833.5</v>
          </cell>
        </row>
        <row r="673">
          <cell r="A673">
            <v>44584</v>
          </cell>
          <cell r="B673">
            <v>1786.6</v>
          </cell>
        </row>
        <row r="674">
          <cell r="A674">
            <v>44591</v>
          </cell>
          <cell r="B674">
            <v>1807.8</v>
          </cell>
        </row>
        <row r="675">
          <cell r="A675">
            <v>44598</v>
          </cell>
          <cell r="B675">
            <v>1842.1</v>
          </cell>
        </row>
        <row r="676">
          <cell r="A676">
            <v>44605</v>
          </cell>
          <cell r="B676">
            <v>1899.8</v>
          </cell>
        </row>
        <row r="677">
          <cell r="A677">
            <v>44612</v>
          </cell>
          <cell r="B677">
            <v>1889.2</v>
          </cell>
        </row>
        <row r="678">
          <cell r="A678">
            <v>44619</v>
          </cell>
          <cell r="B678">
            <v>1968.9</v>
          </cell>
        </row>
        <row r="679">
          <cell r="A679">
            <v>44626</v>
          </cell>
          <cell r="B679">
            <v>1987.6</v>
          </cell>
        </row>
        <row r="680">
          <cell r="A680">
            <v>44633</v>
          </cell>
          <cell r="B680">
            <v>1931.7</v>
          </cell>
        </row>
        <row r="681">
          <cell r="A681">
            <v>44640</v>
          </cell>
          <cell r="B681">
            <v>1956.9</v>
          </cell>
        </row>
        <row r="682">
          <cell r="A682">
            <v>44647</v>
          </cell>
          <cell r="B682">
            <v>1923.7</v>
          </cell>
        </row>
        <row r="683">
          <cell r="A683">
            <v>44654</v>
          </cell>
          <cell r="B683">
            <v>1945.6</v>
          </cell>
        </row>
        <row r="684">
          <cell r="A684">
            <v>44661</v>
          </cell>
          <cell r="B684">
            <v>1974.9</v>
          </cell>
        </row>
        <row r="685">
          <cell r="A685">
            <v>44668</v>
          </cell>
          <cell r="B685">
            <v>1934.3</v>
          </cell>
        </row>
        <row r="686">
          <cell r="A686">
            <v>44675</v>
          </cell>
          <cell r="B686">
            <v>1915.1</v>
          </cell>
        </row>
        <row r="687">
          <cell r="A687">
            <v>44682</v>
          </cell>
          <cell r="B687">
            <v>1886.2</v>
          </cell>
        </row>
        <row r="688">
          <cell r="A688">
            <v>44689</v>
          </cell>
          <cell r="B688">
            <v>1811.3</v>
          </cell>
        </row>
        <row r="689">
          <cell r="A689">
            <v>44696</v>
          </cell>
          <cell r="B689">
            <v>1844.7</v>
          </cell>
        </row>
        <row r="690">
          <cell r="A690">
            <v>44703</v>
          </cell>
          <cell r="B690">
            <v>1857.3</v>
          </cell>
        </row>
        <row r="691">
          <cell r="A691">
            <v>44710</v>
          </cell>
          <cell r="B691">
            <v>1850.2</v>
          </cell>
        </row>
        <row r="692">
          <cell r="A692">
            <v>44717</v>
          </cell>
          <cell r="B692">
            <v>1875.5</v>
          </cell>
        </row>
        <row r="693">
          <cell r="A693">
            <v>44724</v>
          </cell>
          <cell r="B693">
            <v>1840.6</v>
          </cell>
        </row>
        <row r="694">
          <cell r="A694">
            <v>44731</v>
          </cell>
          <cell r="B694">
            <v>1830.3</v>
          </cell>
        </row>
        <row r="695">
          <cell r="A695">
            <v>44738</v>
          </cell>
          <cell r="B695">
            <v>1805.9</v>
          </cell>
        </row>
        <row r="696">
          <cell r="A696">
            <v>44745</v>
          </cell>
          <cell r="B696">
            <v>1746.7</v>
          </cell>
        </row>
        <row r="697">
          <cell r="A697">
            <v>44752</v>
          </cell>
          <cell r="B697">
            <v>1707.5</v>
          </cell>
        </row>
        <row r="698">
          <cell r="A698">
            <v>44759</v>
          </cell>
          <cell r="B698">
            <v>1731.4</v>
          </cell>
        </row>
        <row r="699">
          <cell r="A699">
            <v>44766</v>
          </cell>
          <cell r="B699">
            <v>1771.5</v>
          </cell>
        </row>
        <row r="700">
          <cell r="A700">
            <v>44773</v>
          </cell>
          <cell r="B700">
            <v>1780.5</v>
          </cell>
        </row>
        <row r="701">
          <cell r="A701">
            <v>44780</v>
          </cell>
          <cell r="B701">
            <v>1805.2</v>
          </cell>
        </row>
        <row r="702">
          <cell r="A702">
            <v>44787</v>
          </cell>
          <cell r="B702">
            <v>1753</v>
          </cell>
        </row>
        <row r="703">
          <cell r="A703">
            <v>44794</v>
          </cell>
          <cell r="B703">
            <v>1740.6</v>
          </cell>
        </row>
        <row r="704">
          <cell r="A704">
            <v>44801</v>
          </cell>
          <cell r="B704">
            <v>1717.7</v>
          </cell>
        </row>
        <row r="705">
          <cell r="A705">
            <v>44808</v>
          </cell>
          <cell r="B705">
            <v>1723.6</v>
          </cell>
        </row>
        <row r="706">
          <cell r="A706">
            <v>44815</v>
          </cell>
          <cell r="B706">
            <v>1677.9</v>
          </cell>
        </row>
        <row r="707">
          <cell r="A707">
            <v>44822</v>
          </cell>
          <cell r="B707">
            <v>1650</v>
          </cell>
        </row>
        <row r="708">
          <cell r="A708">
            <v>44829</v>
          </cell>
          <cell r="B708">
            <v>1672</v>
          </cell>
        </row>
        <row r="709">
          <cell r="A709">
            <v>44836</v>
          </cell>
          <cell r="B709">
            <v>1709.3</v>
          </cell>
        </row>
        <row r="710">
          <cell r="A710">
            <v>44843</v>
          </cell>
          <cell r="B710">
            <v>1648.9</v>
          </cell>
        </row>
        <row r="711">
          <cell r="A711">
            <v>44850</v>
          </cell>
          <cell r="B711">
            <v>1656.3</v>
          </cell>
        </row>
        <row r="712">
          <cell r="A712">
            <v>44857</v>
          </cell>
          <cell r="B712">
            <v>1644.8</v>
          </cell>
        </row>
        <row r="713">
          <cell r="A713">
            <v>44864</v>
          </cell>
          <cell r="B713">
            <v>1676.6</v>
          </cell>
        </row>
        <row r="714">
          <cell r="A714">
            <v>44871</v>
          </cell>
          <cell r="B714">
            <v>1769.4</v>
          </cell>
        </row>
        <row r="715">
          <cell r="A715">
            <v>44878</v>
          </cell>
          <cell r="B715">
            <v>1754.4</v>
          </cell>
        </row>
        <row r="716">
          <cell r="A716">
            <v>44885</v>
          </cell>
          <cell r="B716">
            <v>1768.8</v>
          </cell>
        </row>
        <row r="717">
          <cell r="A717">
            <v>44892</v>
          </cell>
          <cell r="B717">
            <v>1809.6</v>
          </cell>
        </row>
        <row r="718">
          <cell r="A718">
            <v>44899</v>
          </cell>
          <cell r="B718">
            <v>1810.7</v>
          </cell>
        </row>
        <row r="719">
          <cell r="A719">
            <v>44906</v>
          </cell>
          <cell r="B719">
            <v>1800.2</v>
          </cell>
        </row>
        <row r="720">
          <cell r="A720">
            <v>44913</v>
          </cell>
          <cell r="B720">
            <v>1804.2</v>
          </cell>
        </row>
        <row r="721">
          <cell r="A721">
            <v>44920</v>
          </cell>
          <cell r="B721">
            <v>1826.2</v>
          </cell>
        </row>
        <row r="722">
          <cell r="A722">
            <v>44927</v>
          </cell>
          <cell r="B722">
            <v>1869.7</v>
          </cell>
        </row>
        <row r="723">
          <cell r="A723">
            <v>44934</v>
          </cell>
          <cell r="B723">
            <v>1921.7</v>
          </cell>
        </row>
        <row r="724">
          <cell r="A724">
            <v>44941</v>
          </cell>
          <cell r="B724">
            <v>1928.2</v>
          </cell>
        </row>
        <row r="725">
          <cell r="A725">
            <v>44948</v>
          </cell>
          <cell r="B725">
            <v>1929.4</v>
          </cell>
        </row>
        <row r="726">
          <cell r="A726">
            <v>44955</v>
          </cell>
          <cell r="B726">
            <v>1862.9</v>
          </cell>
        </row>
        <row r="727">
          <cell r="A727">
            <v>44962</v>
          </cell>
          <cell r="B727">
            <v>1862.8</v>
          </cell>
        </row>
        <row r="728">
          <cell r="A728">
            <v>44969</v>
          </cell>
          <cell r="B728">
            <v>1840.4</v>
          </cell>
        </row>
        <row r="729">
          <cell r="A729">
            <v>44976</v>
          </cell>
          <cell r="B729">
            <v>1817.1</v>
          </cell>
        </row>
        <row r="730">
          <cell r="A730">
            <v>44983</v>
          </cell>
          <cell r="B730">
            <v>1854.6</v>
          </cell>
        </row>
        <row r="731">
          <cell r="A731">
            <v>44990</v>
          </cell>
          <cell r="B731">
            <v>1867.2</v>
          </cell>
        </row>
        <row r="732">
          <cell r="A732">
            <v>44997</v>
          </cell>
          <cell r="B732">
            <v>1973.5</v>
          </cell>
        </row>
        <row r="733">
          <cell r="A733">
            <v>45004</v>
          </cell>
          <cell r="B733">
            <v>1983.8</v>
          </cell>
        </row>
        <row r="734">
          <cell r="A734">
            <v>45011</v>
          </cell>
          <cell r="B734">
            <v>1969</v>
          </cell>
        </row>
        <row r="735">
          <cell r="A735">
            <v>45018</v>
          </cell>
          <cell r="B735">
            <v>2011.9</v>
          </cell>
        </row>
        <row r="736">
          <cell r="A736">
            <v>45025</v>
          </cell>
          <cell r="B736">
            <v>2002.2</v>
          </cell>
        </row>
        <row r="737">
          <cell r="A737">
            <v>45032</v>
          </cell>
          <cell r="B737">
            <v>1979.5</v>
          </cell>
        </row>
        <row r="738">
          <cell r="A738">
            <v>45039</v>
          </cell>
          <cell r="B738">
            <v>1985.7</v>
          </cell>
        </row>
        <row r="739">
          <cell r="A739">
            <v>45046</v>
          </cell>
          <cell r="B739">
            <v>2024.8</v>
          </cell>
        </row>
        <row r="740">
          <cell r="A740">
            <v>45053</v>
          </cell>
          <cell r="B740">
            <v>2019.8</v>
          </cell>
        </row>
        <row r="741">
          <cell r="A741">
            <v>45060</v>
          </cell>
          <cell r="B741">
            <v>2000.3</v>
          </cell>
        </row>
        <row r="742">
          <cell r="A742">
            <v>45067</v>
          </cell>
          <cell r="B742">
            <v>1963.1</v>
          </cell>
        </row>
        <row r="743">
          <cell r="A743">
            <v>45074</v>
          </cell>
          <cell r="B743">
            <v>1969.6</v>
          </cell>
        </row>
        <row r="744">
          <cell r="A744">
            <v>45081</v>
          </cell>
          <cell r="B744">
            <v>1977.2</v>
          </cell>
        </row>
        <row r="745">
          <cell r="A745">
            <v>45088</v>
          </cell>
          <cell r="B745">
            <v>1971.2</v>
          </cell>
        </row>
        <row r="746">
          <cell r="A746">
            <v>45095</v>
          </cell>
          <cell r="B746">
            <v>1929.6</v>
          </cell>
        </row>
        <row r="747">
          <cell r="A747">
            <v>45102</v>
          </cell>
          <cell r="B747">
            <v>1929.4</v>
          </cell>
        </row>
        <row r="748">
          <cell r="A748">
            <v>45109</v>
          </cell>
          <cell r="B748">
            <v>1921.25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8"/>
  <sheetViews>
    <sheetView tabSelected="1" workbookViewId="0">
      <selection activeCell="H7" sqref="H7"/>
    </sheetView>
  </sheetViews>
  <sheetFormatPr defaultRowHeight="14" x14ac:dyDescent="0.3"/>
  <cols>
    <col min="1" max="1" width="9.5" style="1" bestFit="1" customWidth="1"/>
    <col min="2" max="10" width="8.6640625" style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2">
        <v>39957</v>
      </c>
      <c r="B2" s="1">
        <v>1.4154</v>
      </c>
      <c r="C2" s="1">
        <v>1.6185</v>
      </c>
      <c r="D2" s="1">
        <v>0.14644933585226191</v>
      </c>
      <c r="E2" s="1">
        <v>28.92</v>
      </c>
      <c r="F2" s="1">
        <v>66.31</v>
      </c>
      <c r="G2" s="1">
        <f>VLOOKUP(A2,[1]黄金期货历史数据!$A:$B,2,)</f>
        <v>980.3</v>
      </c>
      <c r="H2" s="1">
        <v>79.430000000000007</v>
      </c>
      <c r="I2" s="1">
        <v>3.835</v>
      </c>
      <c r="J2" s="1">
        <v>2.1995</v>
      </c>
    </row>
    <row r="3" spans="1:10" x14ac:dyDescent="0.3">
      <c r="A3" s="2">
        <v>39964</v>
      </c>
      <c r="B3" s="1">
        <v>1.3975</v>
      </c>
      <c r="C3" s="1">
        <v>1.5979000000000001</v>
      </c>
      <c r="D3" s="1">
        <v>0.14634646061085013</v>
      </c>
      <c r="E3" s="1">
        <v>29.62</v>
      </c>
      <c r="F3" s="1">
        <v>68.44</v>
      </c>
      <c r="G3" s="1">
        <f>VLOOKUP(A3,[1]黄金期货历史数据!$A:$B,2,)</f>
        <v>962.6</v>
      </c>
      <c r="H3" s="1">
        <v>80.73</v>
      </c>
      <c r="I3" s="1">
        <v>3.8679999999999999</v>
      </c>
      <c r="J3" s="1">
        <v>2.29</v>
      </c>
    </row>
    <row r="4" spans="1:10" x14ac:dyDescent="0.3">
      <c r="A4" s="2">
        <v>39971</v>
      </c>
      <c r="B4" s="1">
        <v>1.4024000000000001</v>
      </c>
      <c r="C4" s="1">
        <v>1.6444000000000001</v>
      </c>
      <c r="D4" s="1">
        <v>0.14629721742692453</v>
      </c>
      <c r="E4" s="1">
        <v>28.15</v>
      </c>
      <c r="F4" s="1">
        <v>72.040000000000006</v>
      </c>
      <c r="G4" s="1">
        <f>VLOOKUP(A4,[1]黄金期货历史数据!$A:$B,2,)</f>
        <v>940.7</v>
      </c>
      <c r="H4" s="1">
        <v>80.174999999999997</v>
      </c>
      <c r="I4" s="1">
        <v>3.8570000000000002</v>
      </c>
      <c r="J4" s="1">
        <v>2.3784999999999998</v>
      </c>
    </row>
    <row r="5" spans="1:10" x14ac:dyDescent="0.3">
      <c r="A5" s="2">
        <v>39978</v>
      </c>
      <c r="B5" s="1">
        <v>1.3943000000000001</v>
      </c>
      <c r="C5" s="1">
        <v>1.6507000000000001</v>
      </c>
      <c r="D5" s="1">
        <v>0.14627795737460322</v>
      </c>
      <c r="E5" s="1">
        <v>27.99</v>
      </c>
      <c r="F5" s="1">
        <v>69.55</v>
      </c>
      <c r="G5" s="1">
        <f>VLOOKUP(A5,[1]黄金期货历史数据!$A:$B,2,)</f>
        <v>936.2</v>
      </c>
      <c r="H5" s="1">
        <v>80.63</v>
      </c>
      <c r="I5" s="1">
        <v>4.032</v>
      </c>
      <c r="J5" s="1">
        <v>2.2565</v>
      </c>
    </row>
    <row r="6" spans="1:10" x14ac:dyDescent="0.3">
      <c r="A6" s="2">
        <v>39985</v>
      </c>
      <c r="B6" s="1">
        <v>1.4053</v>
      </c>
      <c r="C6" s="1">
        <v>1.6521999999999999</v>
      </c>
      <c r="D6" s="1">
        <v>0.14633789419770249</v>
      </c>
      <c r="E6" s="1">
        <v>25.93</v>
      </c>
      <c r="F6" s="1">
        <v>69.16</v>
      </c>
      <c r="G6" s="1">
        <f>VLOOKUP(A6,[1]黄金期货历史数据!$A:$B,2,)</f>
        <v>941</v>
      </c>
      <c r="H6" s="1">
        <v>80.105000000000004</v>
      </c>
      <c r="I6" s="1">
        <v>3.9489999999999998</v>
      </c>
      <c r="J6" s="1">
        <v>2.3025000000000002</v>
      </c>
    </row>
    <row r="7" spans="1:10" x14ac:dyDescent="0.3">
      <c r="A7" s="2">
        <v>39992</v>
      </c>
      <c r="B7" s="1">
        <v>1.3964000000000001</v>
      </c>
      <c r="C7" s="1">
        <v>1.6339999999999999</v>
      </c>
      <c r="D7" s="1">
        <v>0.1463593121112331</v>
      </c>
      <c r="E7" s="1">
        <v>29</v>
      </c>
      <c r="F7" s="1">
        <v>66.73</v>
      </c>
      <c r="G7" s="1">
        <f>VLOOKUP(A7,[1]黄金期货历史数据!$A:$B,2,)</f>
        <v>931.6</v>
      </c>
      <c r="H7" s="1">
        <v>80.665000000000006</v>
      </c>
      <c r="I7" s="1">
        <v>3.6150000000000002</v>
      </c>
      <c r="J7" s="1">
        <v>2.3054999999999999</v>
      </c>
    </row>
    <row r="8" spans="1:10" x14ac:dyDescent="0.3">
      <c r="A8" s="2">
        <v>39999</v>
      </c>
      <c r="B8" s="1">
        <v>1.3933</v>
      </c>
      <c r="C8" s="1">
        <v>1.62</v>
      </c>
      <c r="D8" s="1">
        <v>0.14635502802698785</v>
      </c>
      <c r="E8" s="1">
        <v>29.02</v>
      </c>
      <c r="F8" s="1">
        <v>59.89</v>
      </c>
      <c r="G8" s="1">
        <f>VLOOKUP(A8,[1]黄金期货历史数据!$A:$B,2,)</f>
        <v>913.2</v>
      </c>
      <c r="H8" s="1">
        <v>80.430000000000007</v>
      </c>
      <c r="I8" s="1">
        <v>3.3730000000000002</v>
      </c>
      <c r="J8" s="1">
        <v>2.2115</v>
      </c>
    </row>
    <row r="9" spans="1:10" x14ac:dyDescent="0.3">
      <c r="A9" s="2">
        <v>40006</v>
      </c>
      <c r="B9" s="1">
        <v>1.4098999999999999</v>
      </c>
      <c r="C9" s="1">
        <v>1.633</v>
      </c>
      <c r="D9" s="1">
        <v>0.14638287905846531</v>
      </c>
      <c r="E9" s="1">
        <v>24.34</v>
      </c>
      <c r="F9" s="1">
        <v>63.56</v>
      </c>
      <c r="G9" s="1">
        <f>VLOOKUP(A9,[1]黄金期货历史数据!$A:$B,2,)</f>
        <v>938.1</v>
      </c>
      <c r="H9" s="1">
        <v>79.504999999999995</v>
      </c>
      <c r="I9" s="1">
        <v>3.669</v>
      </c>
      <c r="J9" s="1">
        <v>2.423</v>
      </c>
    </row>
    <row r="10" spans="1:10" x14ac:dyDescent="0.3">
      <c r="A10" s="2">
        <v>40013</v>
      </c>
      <c r="B10" s="1">
        <v>1.4205000000000001</v>
      </c>
      <c r="C10" s="1">
        <v>1.6431</v>
      </c>
      <c r="D10" s="1">
        <v>0.14638287905846531</v>
      </c>
      <c r="E10" s="1">
        <v>23.09</v>
      </c>
      <c r="F10" s="1">
        <v>68.05</v>
      </c>
      <c r="G10" s="1">
        <f>VLOOKUP(A10,[1]黄金期货历史数据!$A:$B,2,)</f>
        <v>953.8</v>
      </c>
      <c r="H10" s="1">
        <v>78.894999999999996</v>
      </c>
      <c r="I10" s="1">
        <v>3.6949999999999998</v>
      </c>
      <c r="J10" s="1">
        <v>2.5219999999999998</v>
      </c>
    </row>
    <row r="11" spans="1:10" x14ac:dyDescent="0.3">
      <c r="A11" s="2">
        <v>40020</v>
      </c>
      <c r="B11" s="1">
        <v>1.425</v>
      </c>
      <c r="C11" s="1">
        <v>1.6720999999999999</v>
      </c>
      <c r="D11" s="1">
        <v>0.14636788103218631</v>
      </c>
      <c r="E11" s="1">
        <v>25.92</v>
      </c>
      <c r="F11" s="1">
        <v>69.45</v>
      </c>
      <c r="G11" s="1">
        <f>VLOOKUP(A11,[1]黄金期货历史数据!$A:$B,2,)</f>
        <v>954.5</v>
      </c>
      <c r="H11" s="1">
        <v>78.45</v>
      </c>
      <c r="I11" s="1">
        <v>3.653</v>
      </c>
      <c r="J11" s="1">
        <v>2.6244999999999998</v>
      </c>
    </row>
    <row r="12" spans="1:10" x14ac:dyDescent="0.3">
      <c r="A12" s="2">
        <v>40027</v>
      </c>
      <c r="B12" s="1">
        <v>1.4188000000000001</v>
      </c>
      <c r="C12" s="1">
        <v>1.6682999999999999</v>
      </c>
      <c r="D12" s="1">
        <v>0.1463743083813929</v>
      </c>
      <c r="E12" s="1">
        <v>24.76</v>
      </c>
      <c r="F12" s="1">
        <v>70.930000000000007</v>
      </c>
      <c r="G12" s="1">
        <f>VLOOKUP(A12,[1]黄金期货历史数据!$A:$B,2,)</f>
        <v>958.1</v>
      </c>
      <c r="H12" s="1">
        <v>79.105000000000004</v>
      </c>
      <c r="I12" s="1">
        <v>3.6739999999999999</v>
      </c>
      <c r="J12" s="1">
        <v>2.7894999999999999</v>
      </c>
    </row>
    <row r="13" spans="1:10" x14ac:dyDescent="0.3">
      <c r="A13" s="2">
        <v>40034</v>
      </c>
      <c r="B13" s="1">
        <v>1.4205000000000001</v>
      </c>
      <c r="C13" s="1">
        <v>1.6540999999999999</v>
      </c>
      <c r="D13" s="1">
        <v>0.14631862343439073</v>
      </c>
      <c r="E13" s="1">
        <v>24.27</v>
      </c>
      <c r="F13" s="1">
        <v>67.510000000000005</v>
      </c>
      <c r="G13" s="1">
        <f>VLOOKUP(A13,[1]黄金期货历史数据!$A:$B,2,)</f>
        <v>947.6</v>
      </c>
      <c r="H13" s="1">
        <v>79.004999999999995</v>
      </c>
      <c r="I13" s="1">
        <v>3.238</v>
      </c>
      <c r="J13" s="1">
        <v>2.84</v>
      </c>
    </row>
    <row r="14" spans="1:10" x14ac:dyDescent="0.3">
      <c r="A14" s="2">
        <v>40041</v>
      </c>
      <c r="B14" s="1">
        <v>1.4322999999999999</v>
      </c>
      <c r="C14" s="1">
        <v>1.6507000000000001</v>
      </c>
      <c r="D14" s="1">
        <v>0.14638287905846531</v>
      </c>
      <c r="E14" s="1">
        <v>25.01</v>
      </c>
      <c r="F14" s="1">
        <v>73.89</v>
      </c>
      <c r="G14" s="1">
        <f>VLOOKUP(A14,[1]黄金期货历史数据!$A:$B,2,)</f>
        <v>953.4</v>
      </c>
      <c r="H14" s="1">
        <v>78.099999999999994</v>
      </c>
      <c r="I14" s="1">
        <v>2.8039999999999998</v>
      </c>
      <c r="J14" s="1">
        <v>2.8845000000000001</v>
      </c>
    </row>
    <row r="15" spans="1:10" x14ac:dyDescent="0.3">
      <c r="A15" s="2">
        <v>40048</v>
      </c>
      <c r="B15" s="1">
        <v>1.4298999999999999</v>
      </c>
      <c r="C15" s="1">
        <v>1.6269</v>
      </c>
      <c r="D15" s="1">
        <v>0.14641074069193716</v>
      </c>
      <c r="E15" s="1">
        <v>24.76</v>
      </c>
      <c r="F15" s="1">
        <v>72.739999999999995</v>
      </c>
      <c r="G15" s="1">
        <f>VLOOKUP(A15,[1]黄金期货历史数据!$A:$B,2,)</f>
        <v>946</v>
      </c>
      <c r="H15" s="1">
        <v>78.385000000000005</v>
      </c>
      <c r="I15" s="1">
        <v>3.0329999999999999</v>
      </c>
      <c r="J15" s="1">
        <v>2.944</v>
      </c>
    </row>
    <row r="16" spans="1:10" x14ac:dyDescent="0.3">
      <c r="A16" s="2">
        <v>40055</v>
      </c>
      <c r="B16" s="1">
        <v>1.4293</v>
      </c>
      <c r="C16" s="1">
        <v>1.6393</v>
      </c>
      <c r="D16" s="1">
        <v>0.14641717180590941</v>
      </c>
      <c r="E16" s="1">
        <v>25.26</v>
      </c>
      <c r="F16" s="1">
        <v>68.02</v>
      </c>
      <c r="G16" s="1">
        <f>VLOOKUP(A16,[1]黄金期货历史数据!$A:$B,2,)</f>
        <v>996</v>
      </c>
      <c r="H16" s="1">
        <v>78.165000000000006</v>
      </c>
      <c r="I16" s="1">
        <v>2.7280000000000002</v>
      </c>
      <c r="J16" s="1">
        <v>2.8605</v>
      </c>
    </row>
    <row r="17" spans="1:10" x14ac:dyDescent="0.3">
      <c r="A17" s="2">
        <v>40062</v>
      </c>
      <c r="B17" s="1">
        <v>1.4570000000000001</v>
      </c>
      <c r="C17" s="1">
        <v>1.6662999999999999</v>
      </c>
      <c r="D17" s="1">
        <v>0.14644504649630227</v>
      </c>
      <c r="E17" s="1">
        <v>24.15</v>
      </c>
      <c r="F17" s="1">
        <v>69.290000000000006</v>
      </c>
      <c r="G17" s="1">
        <f>VLOOKUP(A17,[1]黄金期货历史数据!$A:$B,2,)</f>
        <v>1005.8</v>
      </c>
      <c r="H17" s="1">
        <v>76.64</v>
      </c>
      <c r="I17" s="1">
        <v>2.96</v>
      </c>
      <c r="J17" s="1">
        <v>2.84</v>
      </c>
    </row>
    <row r="18" spans="1:10" x14ac:dyDescent="0.3">
      <c r="A18" s="2">
        <v>40069</v>
      </c>
      <c r="B18" s="1">
        <v>1.4710000000000001</v>
      </c>
      <c r="C18" s="1">
        <v>1.6271</v>
      </c>
      <c r="D18" s="1">
        <v>0.14645362545949825</v>
      </c>
      <c r="E18" s="1">
        <v>23.92</v>
      </c>
      <c r="F18" s="1">
        <v>72.040000000000006</v>
      </c>
      <c r="G18" s="1">
        <f>VLOOKUP(A18,[1]黄金期货历史数据!$A:$B,2,)</f>
        <v>1009.9</v>
      </c>
      <c r="H18" s="1">
        <v>76.67</v>
      </c>
      <c r="I18" s="1">
        <v>3.778</v>
      </c>
      <c r="J18" s="1">
        <v>2.7785000000000002</v>
      </c>
    </row>
    <row r="19" spans="1:10" x14ac:dyDescent="0.3">
      <c r="A19" s="2">
        <v>40076</v>
      </c>
      <c r="B19" s="1">
        <v>1.4688000000000001</v>
      </c>
      <c r="C19" s="1">
        <v>1.5954999999999999</v>
      </c>
      <c r="D19" s="1">
        <v>0.14644504649630227</v>
      </c>
      <c r="E19" s="1">
        <v>25.61</v>
      </c>
      <c r="F19" s="1">
        <v>66.02</v>
      </c>
      <c r="G19" s="1">
        <f>VLOOKUP(A19,[1]黄金期货历史数据!$A:$B,2,)</f>
        <v>991.1</v>
      </c>
      <c r="H19" s="1">
        <v>77.015000000000001</v>
      </c>
      <c r="I19" s="1">
        <v>3.9849999999999999</v>
      </c>
      <c r="J19" s="1">
        <v>2.7345000000000002</v>
      </c>
    </row>
    <row r="20" spans="1:10" x14ac:dyDescent="0.3">
      <c r="A20" s="2">
        <v>40083</v>
      </c>
      <c r="B20" s="1">
        <v>1.4572000000000001</v>
      </c>
      <c r="C20" s="1">
        <v>1.5941000000000001</v>
      </c>
      <c r="D20" s="1">
        <v>0.14648795136600015</v>
      </c>
      <c r="E20" s="1">
        <v>28.68</v>
      </c>
      <c r="F20" s="1">
        <v>69.95</v>
      </c>
      <c r="G20" s="1">
        <f>VLOOKUP(A20,[1]黄金期货历史数据!$A:$B,2,)</f>
        <v>1004.3</v>
      </c>
      <c r="H20" s="1">
        <v>77.215000000000003</v>
      </c>
      <c r="I20" s="1">
        <v>4.718</v>
      </c>
      <c r="J20" s="1">
        <v>2.6815000000000002</v>
      </c>
    </row>
    <row r="21" spans="1:10" x14ac:dyDescent="0.3">
      <c r="A21" s="2">
        <v>40090</v>
      </c>
      <c r="B21" s="1">
        <v>1.4730000000000001</v>
      </c>
      <c r="C21" s="1">
        <v>1.5837000000000001</v>
      </c>
      <c r="D21" s="1">
        <v>0.14650941322980002</v>
      </c>
      <c r="E21" s="1">
        <v>23.12</v>
      </c>
      <c r="F21" s="1">
        <v>71.77</v>
      </c>
      <c r="G21" s="1">
        <f>VLOOKUP(A21,[1]黄金期货历史数据!$A:$B,2,)</f>
        <v>1048.5999999999999</v>
      </c>
      <c r="H21" s="1">
        <v>76.62</v>
      </c>
      <c r="I21" s="1">
        <v>4.7699999999999996</v>
      </c>
      <c r="J21" s="1">
        <v>2.8380000000000001</v>
      </c>
    </row>
    <row r="22" spans="1:10" x14ac:dyDescent="0.3">
      <c r="A22" s="2">
        <v>40097</v>
      </c>
      <c r="B22" s="1">
        <v>1.4905999999999999</v>
      </c>
      <c r="C22" s="1">
        <v>1.6356999999999999</v>
      </c>
      <c r="D22" s="1">
        <v>0.14648151403292903</v>
      </c>
      <c r="E22" s="1">
        <v>21.43</v>
      </c>
      <c r="F22" s="1">
        <v>78.53</v>
      </c>
      <c r="G22" s="1">
        <f>VLOOKUP(A22,[1]黄金期货历史数据!$A:$B,2,)</f>
        <v>1051.5</v>
      </c>
      <c r="H22" s="1">
        <v>75.77</v>
      </c>
      <c r="I22" s="1">
        <v>4.7809999999999997</v>
      </c>
      <c r="J22" s="1">
        <v>2.8454999999999999</v>
      </c>
    </row>
    <row r="23" spans="1:10" x14ac:dyDescent="0.3">
      <c r="A23" s="2">
        <v>40104</v>
      </c>
      <c r="B23" s="1">
        <v>1.5003</v>
      </c>
      <c r="C23" s="1">
        <v>1.6307</v>
      </c>
      <c r="D23" s="1">
        <v>0.14644504649630227</v>
      </c>
      <c r="E23" s="1">
        <v>22.27</v>
      </c>
      <c r="F23" s="1">
        <v>80.5</v>
      </c>
      <c r="G23" s="1">
        <f>VLOOKUP(A23,[1]黄金期货历史数据!$A:$B,2,)</f>
        <v>1056.4000000000001</v>
      </c>
      <c r="H23" s="1">
        <v>75.599999999999994</v>
      </c>
      <c r="I23" s="1">
        <v>4.7869999999999999</v>
      </c>
      <c r="J23" s="1">
        <v>3.0345</v>
      </c>
    </row>
    <row r="24" spans="1:10" x14ac:dyDescent="0.3">
      <c r="A24" s="2">
        <v>40111</v>
      </c>
      <c r="B24" s="1">
        <v>1.4718</v>
      </c>
      <c r="C24" s="1">
        <v>1.6448</v>
      </c>
      <c r="D24" s="1">
        <v>0.14646649578908824</v>
      </c>
      <c r="E24" s="1">
        <v>30.69</v>
      </c>
      <c r="F24" s="1">
        <v>77</v>
      </c>
      <c r="G24" s="1">
        <f>VLOOKUP(A24,[1]黄金期货历史数据!$A:$B,2,)</f>
        <v>1040.9000000000001</v>
      </c>
      <c r="H24" s="1">
        <v>76.474999999999994</v>
      </c>
      <c r="I24" s="1">
        <v>5.0449999999999999</v>
      </c>
      <c r="J24" s="1">
        <v>2.9605000000000001</v>
      </c>
    </row>
    <row r="25" spans="1:10" x14ac:dyDescent="0.3">
      <c r="A25" s="2">
        <v>40118</v>
      </c>
      <c r="B25" s="1">
        <v>1.4849000000000001</v>
      </c>
      <c r="C25" s="1">
        <v>1.6620999999999999</v>
      </c>
      <c r="D25" s="1">
        <v>0.14646864106394822</v>
      </c>
      <c r="E25" s="1">
        <v>24.19</v>
      </c>
      <c r="F25" s="1">
        <v>77.430000000000007</v>
      </c>
      <c r="G25" s="1">
        <f>VLOOKUP(A25,[1]黄金期货历史数据!$A:$B,2,)</f>
        <v>1096.4000000000001</v>
      </c>
      <c r="H25" s="1">
        <v>75.94</v>
      </c>
      <c r="I25" s="1">
        <v>4.5949999999999998</v>
      </c>
      <c r="J25" s="1">
        <v>2.9609999999999999</v>
      </c>
    </row>
    <row r="26" spans="1:10" x14ac:dyDescent="0.3">
      <c r="A26" s="2">
        <v>40125</v>
      </c>
      <c r="B26" s="1">
        <v>1.4917</v>
      </c>
      <c r="C26" s="1">
        <v>1.669</v>
      </c>
      <c r="D26" s="1">
        <v>0.14649224323572066</v>
      </c>
      <c r="E26" s="1">
        <v>23.36</v>
      </c>
      <c r="F26" s="1">
        <v>76.349999999999994</v>
      </c>
      <c r="G26" s="1">
        <f>VLOOKUP(A26,[1]黄金期货历史数据!$A:$B,2,)</f>
        <v>1117.4000000000001</v>
      </c>
      <c r="H26" s="1">
        <v>75.424999999999997</v>
      </c>
      <c r="I26" s="1">
        <v>4.3920000000000003</v>
      </c>
      <c r="J26" s="1">
        <v>2.9830000000000001</v>
      </c>
    </row>
    <row r="27" spans="1:10" x14ac:dyDescent="0.3">
      <c r="A27" s="2">
        <v>40132</v>
      </c>
      <c r="B27" s="1">
        <v>1.4861</v>
      </c>
      <c r="C27" s="1">
        <v>1.6509</v>
      </c>
      <c r="D27" s="1">
        <v>0.14646006034154485</v>
      </c>
      <c r="E27" s="1">
        <v>22.19</v>
      </c>
      <c r="F27" s="1">
        <v>76.72</v>
      </c>
      <c r="G27" s="1">
        <f>VLOOKUP(A27,[1]黄金期货历史数据!$A:$B,2,)</f>
        <v>1147.5999999999999</v>
      </c>
      <c r="H27" s="1">
        <v>75.73</v>
      </c>
      <c r="I27" s="1">
        <v>4.4240000000000004</v>
      </c>
      <c r="J27" s="1">
        <v>3.1190000000000002</v>
      </c>
    </row>
    <row r="28" spans="1:10" x14ac:dyDescent="0.3">
      <c r="A28" s="2">
        <v>40139</v>
      </c>
      <c r="B28" s="1">
        <v>1.4966999999999999</v>
      </c>
      <c r="C28" s="1">
        <v>1.6467000000000001</v>
      </c>
      <c r="D28" s="1">
        <v>0.14644719114287388</v>
      </c>
      <c r="E28" s="1">
        <v>24.51</v>
      </c>
      <c r="F28" s="1">
        <v>76.05</v>
      </c>
      <c r="G28" s="1">
        <f>VLOOKUP(A28,[1]黄金期货历史数据!$A:$B,2,)</f>
        <v>1175.5</v>
      </c>
      <c r="H28" s="1">
        <v>75.040000000000006</v>
      </c>
      <c r="I28" s="1">
        <v>5.1920000000000002</v>
      </c>
      <c r="J28" s="1">
        <v>3.1164999999999998</v>
      </c>
    </row>
    <row r="29" spans="1:10" x14ac:dyDescent="0.3">
      <c r="A29" s="2">
        <v>40146</v>
      </c>
      <c r="B29" s="1">
        <v>1.4851000000000001</v>
      </c>
      <c r="C29" s="1">
        <v>1.645</v>
      </c>
      <c r="D29" s="1">
        <v>0.14648580552544457</v>
      </c>
      <c r="E29" s="1">
        <v>21.25</v>
      </c>
      <c r="F29" s="1">
        <v>75.47</v>
      </c>
      <c r="G29" s="1">
        <f>VLOOKUP(A29,[1]黄金期货历史数据!$A:$B,2,)</f>
        <v>1169.5</v>
      </c>
      <c r="H29" s="1">
        <v>75.97</v>
      </c>
      <c r="I29" s="1">
        <v>4.5860000000000003</v>
      </c>
      <c r="J29" s="1">
        <v>3.2284999999999999</v>
      </c>
    </row>
    <row r="30" spans="1:10" x14ac:dyDescent="0.3">
      <c r="A30" s="2">
        <v>40153</v>
      </c>
      <c r="B30" s="1">
        <v>1.4622999999999999</v>
      </c>
      <c r="C30" s="1">
        <v>1.625</v>
      </c>
      <c r="D30" s="1">
        <v>0.14646435057706952</v>
      </c>
      <c r="E30" s="1">
        <v>21.59</v>
      </c>
      <c r="F30" s="1">
        <v>69.87</v>
      </c>
      <c r="G30" s="1">
        <f>VLOOKUP(A30,[1]黄金期货历史数据!$A:$B,2,)</f>
        <v>1119.9000000000001</v>
      </c>
      <c r="H30" s="1">
        <v>76.584999999999994</v>
      </c>
      <c r="I30" s="1">
        <v>5.1630000000000003</v>
      </c>
      <c r="J30" s="1">
        <v>3.1244999999999998</v>
      </c>
    </row>
    <row r="31" spans="1:10" x14ac:dyDescent="0.3">
      <c r="A31" s="2">
        <v>40160</v>
      </c>
      <c r="B31" s="1">
        <v>1.4342999999999999</v>
      </c>
      <c r="C31" s="1">
        <v>1.6144000000000001</v>
      </c>
      <c r="D31" s="1">
        <v>0.14645362545949825</v>
      </c>
      <c r="E31" s="1">
        <v>21.68</v>
      </c>
      <c r="F31" s="1">
        <v>73.36</v>
      </c>
      <c r="G31" s="1">
        <f>VLOOKUP(A31,[1]黄金期货历史数据!$A:$B,2,)</f>
        <v>1111.5</v>
      </c>
      <c r="H31" s="1">
        <v>78.194999999999993</v>
      </c>
      <c r="I31" s="1">
        <v>5.782</v>
      </c>
      <c r="J31" s="1">
        <v>3.1315</v>
      </c>
    </row>
    <row r="32" spans="1:10" x14ac:dyDescent="0.3">
      <c r="A32" s="2">
        <v>40167</v>
      </c>
      <c r="B32" s="1">
        <v>1.4397</v>
      </c>
      <c r="C32" s="1">
        <v>1.5964</v>
      </c>
      <c r="D32" s="1">
        <v>0.14646864106394822</v>
      </c>
      <c r="E32" s="1">
        <v>19.93</v>
      </c>
      <c r="F32" s="1">
        <v>78.05</v>
      </c>
      <c r="G32" s="1">
        <f>VLOOKUP(A32,[1]黄金期货历史数据!$A:$B,2,)</f>
        <v>1104.8</v>
      </c>
      <c r="H32" s="1">
        <v>78.174999999999997</v>
      </c>
      <c r="I32" s="1">
        <v>5.6429999999999998</v>
      </c>
      <c r="J32" s="1">
        <v>3.2829999999999999</v>
      </c>
    </row>
    <row r="33" spans="1:10" x14ac:dyDescent="0.3">
      <c r="A33" s="2">
        <v>40174</v>
      </c>
      <c r="B33" s="1">
        <v>1.4326000000000001</v>
      </c>
      <c r="C33" s="1">
        <v>1.617</v>
      </c>
      <c r="D33" s="1">
        <v>0.14647722279185588</v>
      </c>
      <c r="E33" s="1">
        <v>20.04</v>
      </c>
      <c r="F33" s="1">
        <v>79.36</v>
      </c>
      <c r="G33" s="1">
        <f>VLOOKUP(A33,[1]黄金期货历史数据!$A:$B,2,)</f>
        <v>1096.9000000000001</v>
      </c>
      <c r="H33" s="1">
        <v>78.22</v>
      </c>
      <c r="I33" s="1">
        <v>5.5720000000000001</v>
      </c>
      <c r="J33" s="1">
        <v>3.3464999999999998</v>
      </c>
    </row>
    <row r="34" spans="1:10" x14ac:dyDescent="0.3">
      <c r="A34" s="2">
        <v>40181</v>
      </c>
      <c r="B34" s="1">
        <v>1.4413</v>
      </c>
      <c r="C34" s="1">
        <v>1.6028</v>
      </c>
      <c r="D34" s="1">
        <v>0.14646435057706952</v>
      </c>
      <c r="E34" s="1">
        <v>18.13</v>
      </c>
      <c r="F34" s="1">
        <v>82.75</v>
      </c>
      <c r="G34" s="1">
        <f>VLOOKUP(A34,[1]黄金期货历史数据!$A:$B,2,)</f>
        <v>1139.5999999999999</v>
      </c>
      <c r="H34" s="1">
        <v>77.655000000000001</v>
      </c>
      <c r="I34" s="1">
        <v>5.7489999999999997</v>
      </c>
      <c r="J34" s="1">
        <v>3.4005000000000001</v>
      </c>
    </row>
    <row r="35" spans="1:10" x14ac:dyDescent="0.3">
      <c r="A35" s="2">
        <v>40188</v>
      </c>
      <c r="B35" s="1">
        <v>1.4384999999999999</v>
      </c>
      <c r="C35" s="1">
        <v>1.6263000000000001</v>
      </c>
      <c r="D35" s="1">
        <v>0.14647722279185588</v>
      </c>
      <c r="E35" s="1">
        <v>17.91</v>
      </c>
      <c r="F35" s="1">
        <v>78</v>
      </c>
      <c r="G35" s="1">
        <f>VLOOKUP(A35,[1]黄金期货历史数据!$A:$B,2,)</f>
        <v>1131.2</v>
      </c>
      <c r="H35" s="1">
        <v>77.48</v>
      </c>
      <c r="I35" s="1">
        <v>5.6909999999999998</v>
      </c>
      <c r="J35" s="1">
        <v>3.3660000000000001</v>
      </c>
    </row>
    <row r="36" spans="1:10" x14ac:dyDescent="0.3">
      <c r="A36" s="2">
        <v>40195</v>
      </c>
      <c r="B36" s="1">
        <v>1.4137999999999999</v>
      </c>
      <c r="C36" s="1">
        <v>1.611</v>
      </c>
      <c r="D36" s="1">
        <v>0.14647722279185588</v>
      </c>
      <c r="E36" s="1">
        <v>27.31</v>
      </c>
      <c r="F36" s="1">
        <v>74.540000000000006</v>
      </c>
      <c r="G36" s="1">
        <f>VLOOKUP(A36,[1]黄金期货历史数据!$A:$B,2,)</f>
        <v>1090.3</v>
      </c>
      <c r="H36" s="1">
        <v>78.430000000000007</v>
      </c>
      <c r="I36" s="1">
        <v>5.819</v>
      </c>
      <c r="J36" s="1">
        <v>3.347</v>
      </c>
    </row>
    <row r="37" spans="1:10" x14ac:dyDescent="0.3">
      <c r="A37" s="2">
        <v>40202</v>
      </c>
      <c r="B37" s="1">
        <v>1.3864000000000001</v>
      </c>
      <c r="C37" s="1">
        <v>1.6004</v>
      </c>
      <c r="D37" s="1">
        <v>0.14647936838096354</v>
      </c>
      <c r="E37" s="1">
        <v>24.62</v>
      </c>
      <c r="F37" s="1">
        <v>72.89</v>
      </c>
      <c r="G37" s="1">
        <f>VLOOKUP(A37,[1]黄金期货历史数据!$A:$B,2,)</f>
        <v>1083.8</v>
      </c>
      <c r="H37" s="1">
        <v>79.650000000000006</v>
      </c>
      <c r="I37" s="1">
        <v>5.1310000000000002</v>
      </c>
      <c r="J37" s="1">
        <v>3.0594999999999999</v>
      </c>
    </row>
    <row r="38" spans="1:10" x14ac:dyDescent="0.3">
      <c r="A38" s="2">
        <v>40209</v>
      </c>
      <c r="B38" s="1">
        <v>1.3664000000000001</v>
      </c>
      <c r="C38" s="1">
        <v>1.5634999999999999</v>
      </c>
      <c r="D38" s="1">
        <v>0.14644504649630227</v>
      </c>
      <c r="E38" s="1">
        <v>26.11</v>
      </c>
      <c r="F38" s="1">
        <v>71.19</v>
      </c>
      <c r="G38" s="1">
        <f>VLOOKUP(A38,[1]黄金期货历史数据!$A:$B,2,)</f>
        <v>1052.8</v>
      </c>
      <c r="H38" s="1">
        <v>80.594999999999999</v>
      </c>
      <c r="I38" s="1">
        <v>5.5149999999999997</v>
      </c>
      <c r="J38" s="1">
        <v>2.8660000000000001</v>
      </c>
    </row>
    <row r="39" spans="1:10" x14ac:dyDescent="0.3">
      <c r="A39" s="2">
        <v>40216</v>
      </c>
      <c r="B39" s="1">
        <v>1.3617999999999999</v>
      </c>
      <c r="C39" s="1">
        <v>1.5689</v>
      </c>
      <c r="D39" s="1">
        <v>0.14634003570696871</v>
      </c>
      <c r="E39" s="1">
        <v>22.73</v>
      </c>
      <c r="F39" s="1">
        <v>74.13</v>
      </c>
      <c r="G39" s="1">
        <f>VLOOKUP(A39,[1]黄金期货历史数据!$A:$B,2,)</f>
        <v>1090</v>
      </c>
      <c r="H39" s="1">
        <v>80.41</v>
      </c>
      <c r="I39" s="1">
        <v>5.468</v>
      </c>
      <c r="J39" s="1">
        <v>3.0924999999999998</v>
      </c>
    </row>
    <row r="40" spans="1:10" x14ac:dyDescent="0.3">
      <c r="A40" s="2">
        <v>40223</v>
      </c>
      <c r="B40" s="1">
        <v>1.3614999999999999</v>
      </c>
      <c r="C40" s="1">
        <v>1.5474000000000001</v>
      </c>
      <c r="D40" s="1">
        <v>0.14643217993586269</v>
      </c>
      <c r="E40" s="1">
        <v>20.02</v>
      </c>
      <c r="F40" s="1">
        <v>79.81</v>
      </c>
      <c r="G40" s="1">
        <f>VLOOKUP(A40,[1]黄金期货历史数据!$A:$B,2,)</f>
        <v>1122.0999999999999</v>
      </c>
      <c r="H40" s="1">
        <v>80.72</v>
      </c>
      <c r="I40" s="1">
        <v>5.0439999999999996</v>
      </c>
      <c r="J40" s="1">
        <v>3.3694999999999999</v>
      </c>
    </row>
    <row r="41" spans="1:10" x14ac:dyDescent="0.3">
      <c r="A41" s="2">
        <v>40230</v>
      </c>
      <c r="B41" s="1">
        <v>1.3626</v>
      </c>
      <c r="C41" s="1">
        <v>1.5249999999999999</v>
      </c>
      <c r="D41" s="1">
        <v>0.1464965353569388</v>
      </c>
      <c r="E41" s="1">
        <v>19.5</v>
      </c>
      <c r="F41" s="1">
        <v>79.66</v>
      </c>
      <c r="G41" s="1">
        <f>VLOOKUP(A41,[1]黄金期货历史数据!$A:$B,2,)</f>
        <v>1119.5</v>
      </c>
      <c r="H41" s="1">
        <v>80.44</v>
      </c>
      <c r="I41" s="1">
        <v>4.8129999999999997</v>
      </c>
      <c r="J41" s="1">
        <v>3.2839999999999998</v>
      </c>
    </row>
    <row r="42" spans="1:10" x14ac:dyDescent="0.3">
      <c r="A42" s="2">
        <v>40237</v>
      </c>
      <c r="B42" s="1">
        <v>1.3622000000000001</v>
      </c>
      <c r="C42" s="1">
        <v>1.5137</v>
      </c>
      <c r="D42" s="1">
        <v>0.14648795136600015</v>
      </c>
      <c r="E42" s="1">
        <v>17.420000000000002</v>
      </c>
      <c r="F42" s="1">
        <v>81.5</v>
      </c>
      <c r="G42" s="1">
        <f>VLOOKUP(A42,[1]黄金期货历史数据!$A:$B,2,)</f>
        <v>1135.8</v>
      </c>
      <c r="H42" s="1">
        <v>80.459999999999994</v>
      </c>
      <c r="I42" s="1">
        <v>4.593</v>
      </c>
      <c r="J42" s="1">
        <v>3.4175</v>
      </c>
    </row>
    <row r="43" spans="1:10" x14ac:dyDescent="0.3">
      <c r="A43" s="2">
        <v>40244</v>
      </c>
      <c r="B43" s="1">
        <v>1.3763000000000001</v>
      </c>
      <c r="C43" s="1">
        <v>1.5185</v>
      </c>
      <c r="D43" s="1">
        <v>0.14650726676043133</v>
      </c>
      <c r="E43" s="1">
        <v>17.579999999999998</v>
      </c>
      <c r="F43" s="1">
        <v>81.239999999999995</v>
      </c>
      <c r="G43" s="1">
        <f>VLOOKUP(A43,[1]黄金期货历史数据!$A:$B,2,)</f>
        <v>1102.3</v>
      </c>
      <c r="H43" s="1">
        <v>79.84</v>
      </c>
      <c r="I43" s="1">
        <v>4.4000000000000004</v>
      </c>
      <c r="J43" s="1">
        <v>3.38</v>
      </c>
    </row>
    <row r="44" spans="1:10" x14ac:dyDescent="0.3">
      <c r="A44" s="2">
        <v>40251</v>
      </c>
      <c r="B44" s="1">
        <v>1.3533999999999999</v>
      </c>
      <c r="C44" s="1">
        <v>1.5012000000000001</v>
      </c>
      <c r="D44" s="1">
        <v>0.14648580552544457</v>
      </c>
      <c r="E44" s="1">
        <v>16.97</v>
      </c>
      <c r="F44" s="1">
        <v>80.680000000000007</v>
      </c>
      <c r="G44" s="1">
        <f>VLOOKUP(A44,[1]黄金期货历史数据!$A:$B,2,)</f>
        <v>1108.2</v>
      </c>
      <c r="H44" s="1">
        <v>80.974999999999994</v>
      </c>
      <c r="I44" s="1">
        <v>4.1689999999999996</v>
      </c>
      <c r="J44" s="1">
        <v>3.3725000000000001</v>
      </c>
    </row>
    <row r="45" spans="1:10" x14ac:dyDescent="0.3">
      <c r="A45" s="2">
        <v>40258</v>
      </c>
      <c r="B45" s="1">
        <v>1.3412999999999999</v>
      </c>
      <c r="C45" s="1">
        <v>1.4903</v>
      </c>
      <c r="D45" s="1">
        <v>0.14647722279185588</v>
      </c>
      <c r="E45" s="1">
        <v>17.77</v>
      </c>
      <c r="F45" s="1">
        <v>80</v>
      </c>
      <c r="G45" s="1">
        <f>VLOOKUP(A45,[1]黄金期货历史数据!$A:$B,2,)</f>
        <v>1105</v>
      </c>
      <c r="H45" s="1">
        <v>81.977999999999994</v>
      </c>
      <c r="I45" s="1">
        <v>3.8719999999999999</v>
      </c>
      <c r="J45" s="1">
        <v>3.403</v>
      </c>
    </row>
    <row r="46" spans="1:10" x14ac:dyDescent="0.3">
      <c r="A46" s="2">
        <v>40265</v>
      </c>
      <c r="B46" s="1">
        <v>1.3504</v>
      </c>
      <c r="C46" s="1">
        <v>1.5208999999999999</v>
      </c>
      <c r="D46" s="1">
        <v>0.14650726676043133</v>
      </c>
      <c r="E46" s="1">
        <v>17.02</v>
      </c>
      <c r="F46" s="1">
        <v>84.87</v>
      </c>
      <c r="G46" s="1">
        <f>VLOOKUP(A46,[1]黄金期货历史数据!$A:$B,2,)</f>
        <v>1126.0999999999999</v>
      </c>
      <c r="H46" s="1">
        <v>81.444000000000003</v>
      </c>
      <c r="I46" s="1">
        <v>4.0860000000000003</v>
      </c>
      <c r="J46" s="1">
        <v>3.5935000000000001</v>
      </c>
    </row>
    <row r="47" spans="1:10" x14ac:dyDescent="0.3">
      <c r="A47" s="2">
        <v>40272</v>
      </c>
      <c r="B47" s="1">
        <v>1.3499000000000001</v>
      </c>
      <c r="C47" s="1">
        <v>1.5375000000000001</v>
      </c>
      <c r="D47" s="1">
        <v>0.14655450361989622</v>
      </c>
      <c r="E47" s="1">
        <v>16.14</v>
      </c>
      <c r="F47" s="1">
        <v>84.92</v>
      </c>
      <c r="G47" s="1">
        <f>VLOOKUP(A47,[1]黄金期货历史数据!$A:$B,2,)</f>
        <v>1161.9000000000001</v>
      </c>
      <c r="H47" s="1">
        <v>81.241</v>
      </c>
      <c r="I47" s="1">
        <v>4.07</v>
      </c>
      <c r="J47" s="1">
        <v>3.6004999999999998</v>
      </c>
    </row>
    <row r="48" spans="1:10" x14ac:dyDescent="0.3">
      <c r="A48" s="2">
        <v>40279</v>
      </c>
      <c r="B48" s="1">
        <v>1.3499000000000001</v>
      </c>
      <c r="C48" s="1">
        <v>1.536</v>
      </c>
      <c r="D48" s="1">
        <v>0.14650941322980002</v>
      </c>
      <c r="E48" s="1">
        <v>18.36</v>
      </c>
      <c r="F48" s="1">
        <v>83.24</v>
      </c>
      <c r="G48" s="1">
        <f>VLOOKUP(A48,[1]黄金期货历史数据!$A:$B,2,)</f>
        <v>1136.9000000000001</v>
      </c>
      <c r="H48" s="1">
        <v>80.944000000000003</v>
      </c>
      <c r="I48" s="1">
        <v>4.0389999999999997</v>
      </c>
      <c r="J48" s="1">
        <v>3.5255000000000001</v>
      </c>
    </row>
    <row r="49" spans="1:10" x14ac:dyDescent="0.3">
      <c r="A49" s="2">
        <v>40286</v>
      </c>
      <c r="B49" s="1">
        <v>1.3386</v>
      </c>
      <c r="C49" s="1">
        <v>1.5379</v>
      </c>
      <c r="D49" s="1">
        <v>0.14646649578908824</v>
      </c>
      <c r="E49" s="1">
        <v>16.62</v>
      </c>
      <c r="F49" s="1">
        <v>85.12</v>
      </c>
      <c r="G49" s="1">
        <f>VLOOKUP(A49,[1]黄金期货历史数据!$A:$B,2,)</f>
        <v>1153.7</v>
      </c>
      <c r="H49" s="1">
        <v>81.498000000000005</v>
      </c>
      <c r="I49" s="1">
        <v>4.2569999999999997</v>
      </c>
      <c r="J49" s="1">
        <v>3.5215000000000001</v>
      </c>
    </row>
    <row r="50" spans="1:10" x14ac:dyDescent="0.3">
      <c r="A50" s="2">
        <v>40293</v>
      </c>
      <c r="B50" s="1">
        <v>1.3298000000000001</v>
      </c>
      <c r="C50" s="1">
        <v>1.5270999999999999</v>
      </c>
      <c r="D50" s="1">
        <v>0.14651585301529627</v>
      </c>
      <c r="E50" s="1">
        <v>22.05</v>
      </c>
      <c r="F50" s="1">
        <v>86.15</v>
      </c>
      <c r="G50" s="1">
        <f>VLOOKUP(A50,[1]黄金期货历史数据!$A:$B,2,)</f>
        <v>1181.4000000000001</v>
      </c>
      <c r="H50" s="1">
        <v>81.991</v>
      </c>
      <c r="I50" s="1">
        <v>3.92</v>
      </c>
      <c r="J50" s="1">
        <v>3.3534999999999999</v>
      </c>
    </row>
    <row r="51" spans="1:10" x14ac:dyDescent="0.3">
      <c r="A51" s="2">
        <v>40300</v>
      </c>
      <c r="B51" s="1">
        <v>1.2762</v>
      </c>
      <c r="C51" s="1">
        <v>1.4802</v>
      </c>
      <c r="D51" s="1">
        <v>0.14650512035395635</v>
      </c>
      <c r="E51" s="1">
        <v>40.950000000000003</v>
      </c>
      <c r="F51" s="1">
        <v>75.11</v>
      </c>
      <c r="G51" s="1">
        <f>VLOOKUP(A51,[1]黄金期货历史数据!$A:$B,2,)</f>
        <v>1211.3</v>
      </c>
      <c r="H51" s="1">
        <v>84.659000000000006</v>
      </c>
      <c r="I51" s="1">
        <v>4.0149999999999997</v>
      </c>
      <c r="J51" s="1">
        <v>3.1444999999999999</v>
      </c>
    </row>
    <row r="52" spans="1:10" x14ac:dyDescent="0.3">
      <c r="A52" s="2">
        <v>40307</v>
      </c>
      <c r="B52" s="1">
        <v>1.2363</v>
      </c>
      <c r="C52" s="1">
        <v>1.4539</v>
      </c>
      <c r="D52" s="1">
        <v>0.14648151403292903</v>
      </c>
      <c r="E52" s="1">
        <v>31.24</v>
      </c>
      <c r="F52" s="1">
        <v>71.61</v>
      </c>
      <c r="G52" s="1">
        <f>VLOOKUP(A52,[1]黄金期货历史数据!$A:$B,2,)</f>
        <v>1228.7</v>
      </c>
      <c r="H52" s="1">
        <v>86.230999999999995</v>
      </c>
      <c r="I52" s="1">
        <v>4.3120000000000003</v>
      </c>
      <c r="J52" s="1">
        <v>3.1339999999999999</v>
      </c>
    </row>
    <row r="53" spans="1:10" x14ac:dyDescent="0.3">
      <c r="A53" s="2">
        <v>40314</v>
      </c>
      <c r="B53" s="1">
        <v>1.2573000000000001</v>
      </c>
      <c r="C53" s="1">
        <v>1.4468000000000001</v>
      </c>
      <c r="D53" s="1">
        <v>0.14649438926489117</v>
      </c>
      <c r="E53" s="1">
        <v>40.1</v>
      </c>
      <c r="F53" s="1">
        <v>70.040000000000006</v>
      </c>
      <c r="G53" s="1">
        <f>VLOOKUP(A53,[1]黄金期货历史数据!$A:$B,2,)</f>
        <v>1176.8</v>
      </c>
      <c r="H53" s="1">
        <v>85.537000000000006</v>
      </c>
      <c r="I53" s="1">
        <v>4.0350000000000001</v>
      </c>
      <c r="J53" s="1">
        <v>3.0609999999999999</v>
      </c>
    </row>
    <row r="54" spans="1:10" x14ac:dyDescent="0.3">
      <c r="A54" s="2">
        <v>40321</v>
      </c>
      <c r="B54" s="1">
        <v>1.2270000000000001</v>
      </c>
      <c r="C54" s="1">
        <v>1.4466000000000001</v>
      </c>
      <c r="D54" s="1">
        <v>0.14639573695613983</v>
      </c>
      <c r="E54" s="1">
        <v>32.07</v>
      </c>
      <c r="F54" s="1">
        <v>73.97</v>
      </c>
      <c r="G54" s="1">
        <f>VLOOKUP(A54,[1]黄金期货历史数据!$A:$B,2,)</f>
        <v>1215</v>
      </c>
      <c r="H54" s="1">
        <v>86.581999999999994</v>
      </c>
      <c r="I54" s="1">
        <v>4.3410000000000002</v>
      </c>
      <c r="J54" s="1">
        <v>3.1150000000000002</v>
      </c>
    </row>
    <row r="55" spans="1:10" x14ac:dyDescent="0.3">
      <c r="A55" s="2">
        <v>40328</v>
      </c>
      <c r="B55" s="1">
        <v>1.1976</v>
      </c>
      <c r="C55" s="1">
        <v>1.4462999999999999</v>
      </c>
      <c r="D55" s="1">
        <v>0.14644075739159723</v>
      </c>
      <c r="E55" s="1">
        <v>35.479999999999997</v>
      </c>
      <c r="F55" s="1">
        <v>71.510000000000005</v>
      </c>
      <c r="G55" s="1">
        <f>VLOOKUP(A55,[1]黄金期货历史数据!$A:$B,2,)</f>
        <v>1217.7</v>
      </c>
      <c r="H55" s="1">
        <v>88.314999999999998</v>
      </c>
      <c r="I55" s="1">
        <v>4.7969999999999997</v>
      </c>
      <c r="J55" s="1">
        <v>2.8294999999999999</v>
      </c>
    </row>
    <row r="56" spans="1:10" x14ac:dyDescent="0.3">
      <c r="A56" s="2">
        <v>40335</v>
      </c>
      <c r="B56" s="1">
        <v>1.2113</v>
      </c>
      <c r="C56" s="1">
        <v>1.4544999999999999</v>
      </c>
      <c r="D56" s="1">
        <v>0.14636359644629188</v>
      </c>
      <c r="E56" s="1">
        <v>28.79</v>
      </c>
      <c r="F56" s="1">
        <v>73.78</v>
      </c>
      <c r="G56" s="1">
        <f>VLOOKUP(A56,[1]黄金期货历史数据!$A:$B,2,)</f>
        <v>1230.2</v>
      </c>
      <c r="H56" s="1">
        <v>87.516999999999996</v>
      </c>
      <c r="I56" s="1">
        <v>4.7809999999999997</v>
      </c>
      <c r="J56" s="1">
        <v>2.9144999999999999</v>
      </c>
    </row>
    <row r="57" spans="1:10" x14ac:dyDescent="0.3">
      <c r="A57" s="2">
        <v>40342</v>
      </c>
      <c r="B57" s="1">
        <v>1.2386999999999999</v>
      </c>
      <c r="C57" s="1">
        <v>1.4829000000000001</v>
      </c>
      <c r="D57" s="1">
        <v>0.14647293180220294</v>
      </c>
      <c r="E57" s="1">
        <v>23.95</v>
      </c>
      <c r="F57" s="1">
        <v>77.180000000000007</v>
      </c>
      <c r="G57" s="1">
        <f>VLOOKUP(A57,[1]黄金期货历史数据!$A:$B,2,)</f>
        <v>1258.3</v>
      </c>
      <c r="H57" s="1">
        <v>85.975999999999999</v>
      </c>
      <c r="I57" s="1">
        <v>4.9969999999999999</v>
      </c>
      <c r="J57" s="1">
        <v>2.8929999999999998</v>
      </c>
    </row>
    <row r="58" spans="1:10" x14ac:dyDescent="0.3">
      <c r="A58" s="2">
        <v>40349</v>
      </c>
      <c r="B58" s="1">
        <v>1.2377</v>
      </c>
      <c r="C58" s="1">
        <v>1.5065</v>
      </c>
      <c r="D58" s="1">
        <v>0.1472298699960248</v>
      </c>
      <c r="E58" s="1">
        <v>28.53</v>
      </c>
      <c r="F58" s="1">
        <v>78.86</v>
      </c>
      <c r="G58" s="1">
        <f>VLOOKUP(A58,[1]黄金期货历史数据!$A:$B,2,)</f>
        <v>1256.2</v>
      </c>
      <c r="H58" s="1">
        <v>85.578999999999994</v>
      </c>
      <c r="I58" s="1">
        <v>4.8609999999999998</v>
      </c>
      <c r="J58" s="1">
        <v>3.1034999999999999</v>
      </c>
    </row>
    <row r="59" spans="1:10" x14ac:dyDescent="0.3">
      <c r="A59" s="2">
        <v>40356</v>
      </c>
      <c r="B59" s="1">
        <v>1.2563</v>
      </c>
      <c r="C59" s="1">
        <v>1.5202</v>
      </c>
      <c r="D59" s="1">
        <v>0.1476755862720775</v>
      </c>
      <c r="E59" s="1">
        <v>30.12</v>
      </c>
      <c r="F59" s="1">
        <v>72.14</v>
      </c>
      <c r="G59" s="1">
        <f>VLOOKUP(A59,[1]黄金期货历史数据!$A:$B,2,)</f>
        <v>1208.5999999999999</v>
      </c>
      <c r="H59" s="1">
        <v>84.67</v>
      </c>
      <c r="I59" s="1">
        <v>4.6870000000000003</v>
      </c>
      <c r="J59" s="1">
        <v>2.9159999999999999</v>
      </c>
    </row>
    <row r="60" spans="1:10" x14ac:dyDescent="0.3">
      <c r="A60" s="2">
        <v>40363</v>
      </c>
      <c r="B60" s="1">
        <v>1.2637</v>
      </c>
      <c r="C60" s="1">
        <v>1.5065</v>
      </c>
      <c r="D60" s="1">
        <v>0.14764724121129796</v>
      </c>
      <c r="E60" s="1">
        <v>24.98</v>
      </c>
      <c r="F60" s="1">
        <v>76.09</v>
      </c>
      <c r="G60" s="1">
        <f>VLOOKUP(A60,[1]黄金期货历史数据!$A:$B,2,)</f>
        <v>1210.8</v>
      </c>
      <c r="H60" s="1">
        <v>84.152000000000001</v>
      </c>
      <c r="I60" s="1">
        <v>4.4020000000000001</v>
      </c>
      <c r="J60" s="1">
        <v>3.0535000000000001</v>
      </c>
    </row>
    <row r="61" spans="1:10" x14ac:dyDescent="0.3">
      <c r="A61" s="2">
        <v>40370</v>
      </c>
      <c r="B61" s="1">
        <v>1.2932999999999999</v>
      </c>
      <c r="C61" s="1">
        <v>1.5290999999999999</v>
      </c>
      <c r="D61" s="1">
        <v>0.14759711890423899</v>
      </c>
      <c r="E61" s="1">
        <v>26.25</v>
      </c>
      <c r="F61" s="1">
        <v>76.010000000000005</v>
      </c>
      <c r="G61" s="1">
        <f>VLOOKUP(A61,[1]黄金期货历史数据!$A:$B,2,)</f>
        <v>1189.0999999999999</v>
      </c>
      <c r="H61" s="1">
        <v>82.658000000000001</v>
      </c>
      <c r="I61" s="1">
        <v>4.5190000000000001</v>
      </c>
      <c r="J61" s="1">
        <v>2.9295</v>
      </c>
    </row>
    <row r="62" spans="1:10" x14ac:dyDescent="0.3">
      <c r="A62" s="2">
        <v>40377</v>
      </c>
      <c r="B62" s="1">
        <v>1.2907</v>
      </c>
      <c r="C62" s="1">
        <v>1.5436000000000001</v>
      </c>
      <c r="D62" s="1">
        <v>0.14748392425225651</v>
      </c>
      <c r="E62" s="1">
        <v>23.47</v>
      </c>
      <c r="F62" s="1">
        <v>78.98</v>
      </c>
      <c r="G62" s="1">
        <f>VLOOKUP(A62,[1]黄金期货历史数据!$A:$B,2,)</f>
        <v>1188.9000000000001</v>
      </c>
      <c r="H62" s="1">
        <v>82.629000000000005</v>
      </c>
      <c r="I62" s="1">
        <v>4.58</v>
      </c>
      <c r="J62" s="1">
        <v>3.1850000000000001</v>
      </c>
    </row>
    <row r="63" spans="1:10" x14ac:dyDescent="0.3">
      <c r="A63" s="2">
        <v>40384</v>
      </c>
      <c r="B63" s="1">
        <v>1.3048</v>
      </c>
      <c r="C63" s="1">
        <v>1.5684</v>
      </c>
      <c r="D63" s="1">
        <v>0.14762326542663123</v>
      </c>
      <c r="E63" s="1">
        <v>23.5</v>
      </c>
      <c r="F63" s="1">
        <v>78.95</v>
      </c>
      <c r="G63" s="1">
        <f>VLOOKUP(A63,[1]黄金期货历史数据!$A:$B,2,)</f>
        <v>1182.4000000000001</v>
      </c>
      <c r="H63" s="1">
        <v>81.655000000000001</v>
      </c>
      <c r="I63" s="1">
        <v>4.923</v>
      </c>
      <c r="J63" s="1">
        <v>3.32</v>
      </c>
    </row>
    <row r="64" spans="1:10" x14ac:dyDescent="0.3">
      <c r="A64" s="2">
        <v>40391</v>
      </c>
      <c r="B64" s="1">
        <v>1.3285</v>
      </c>
      <c r="C64" s="1">
        <v>1.5947</v>
      </c>
      <c r="D64" s="1">
        <v>0.14774758802062557</v>
      </c>
      <c r="E64" s="1">
        <v>21.74</v>
      </c>
      <c r="F64" s="1">
        <v>80.7</v>
      </c>
      <c r="G64" s="1">
        <f>VLOOKUP(A64,[1]黄金期货历史数据!$A:$B,2,)</f>
        <v>1204.0999999999999</v>
      </c>
      <c r="H64" s="1">
        <v>80.495999999999995</v>
      </c>
      <c r="I64" s="1">
        <v>4.4669999999999996</v>
      </c>
      <c r="J64" s="1">
        <v>3.3515000000000001</v>
      </c>
    </row>
    <row r="65" spans="1:10" x14ac:dyDescent="0.3">
      <c r="A65" s="2">
        <v>40398</v>
      </c>
      <c r="B65" s="1">
        <v>1.2751999999999999</v>
      </c>
      <c r="C65" s="1">
        <v>1.5598000000000001</v>
      </c>
      <c r="D65" s="1">
        <v>0.14714321449066375</v>
      </c>
      <c r="E65" s="1">
        <v>26.24</v>
      </c>
      <c r="F65" s="1">
        <v>75.39</v>
      </c>
      <c r="G65" s="1">
        <f>VLOOKUP(A65,[1]黄金期货历史数据!$A:$B,2,)</f>
        <v>1215.4000000000001</v>
      </c>
      <c r="H65" s="1">
        <v>83.037999999999997</v>
      </c>
      <c r="I65" s="1">
        <v>4.3280000000000003</v>
      </c>
      <c r="J65" s="1">
        <v>3.2605</v>
      </c>
    </row>
    <row r="66" spans="1:10" x14ac:dyDescent="0.3">
      <c r="A66" s="2">
        <v>40405</v>
      </c>
      <c r="B66" s="1">
        <v>1.2707999999999999</v>
      </c>
      <c r="C66" s="1">
        <v>1.5533999999999999</v>
      </c>
      <c r="D66" s="1">
        <v>0.14725805501560935</v>
      </c>
      <c r="E66" s="1">
        <v>25.49</v>
      </c>
      <c r="F66" s="1">
        <v>73.459999999999994</v>
      </c>
      <c r="G66" s="1">
        <f>VLOOKUP(A66,[1]黄金期货历史数据!$A:$B,2,)</f>
        <v>1227.5999999999999</v>
      </c>
      <c r="H66" s="1">
        <v>83.16</v>
      </c>
      <c r="I66" s="1">
        <v>4.117</v>
      </c>
      <c r="J66" s="1">
        <v>3.2995000000000001</v>
      </c>
    </row>
    <row r="67" spans="1:10" x14ac:dyDescent="0.3">
      <c r="A67" s="2">
        <v>40412</v>
      </c>
      <c r="B67" s="1">
        <v>1.2765</v>
      </c>
      <c r="C67" s="1">
        <v>1.5522</v>
      </c>
      <c r="D67" s="1">
        <v>0.14710208884966167</v>
      </c>
      <c r="E67" s="1">
        <v>24.45</v>
      </c>
      <c r="F67" s="1">
        <v>75.17</v>
      </c>
      <c r="G67" s="1">
        <f>VLOOKUP(A67,[1]黄金期货历史数据!$A:$B,2,)</f>
        <v>1236.5999999999999</v>
      </c>
      <c r="H67" s="1">
        <v>82.968000000000004</v>
      </c>
      <c r="I67" s="1">
        <v>3.6509999999999998</v>
      </c>
      <c r="J67" s="1">
        <v>3.3740000000000001</v>
      </c>
    </row>
    <row r="68" spans="1:10" x14ac:dyDescent="0.3">
      <c r="A68" s="2">
        <v>40419</v>
      </c>
      <c r="B68" s="1">
        <v>1.2896000000000001</v>
      </c>
      <c r="C68" s="1">
        <v>1.5448</v>
      </c>
      <c r="D68" s="1">
        <v>0.14702855294498191</v>
      </c>
      <c r="E68" s="1">
        <v>21.31</v>
      </c>
      <c r="F68" s="1">
        <v>74.599999999999994</v>
      </c>
      <c r="G68" s="1">
        <f>VLOOKUP(A68,[1]黄金期货历史数据!$A:$B,2,)</f>
        <v>1250.7</v>
      </c>
      <c r="H68" s="1">
        <v>82.123999999999995</v>
      </c>
      <c r="I68" s="1">
        <v>3.9390000000000001</v>
      </c>
      <c r="J68" s="1">
        <v>3.4984999999999999</v>
      </c>
    </row>
    <row r="69" spans="1:10" x14ac:dyDescent="0.3">
      <c r="A69" s="2">
        <v>40426</v>
      </c>
      <c r="B69" s="1">
        <v>1.268</v>
      </c>
      <c r="C69" s="1">
        <v>1.5350999999999999</v>
      </c>
      <c r="D69" s="1">
        <v>0.14771703325110419</v>
      </c>
      <c r="E69" s="1">
        <v>21.99</v>
      </c>
      <c r="F69" s="1">
        <v>76.45</v>
      </c>
      <c r="G69" s="1">
        <f>VLOOKUP(A69,[1]黄金期货历史数据!$A:$B,2,)</f>
        <v>1246.0999999999999</v>
      </c>
      <c r="H69" s="1">
        <v>82.700999999999993</v>
      </c>
      <c r="I69" s="1">
        <v>3.883</v>
      </c>
      <c r="J69" s="1">
        <v>3.4035000000000002</v>
      </c>
    </row>
    <row r="70" spans="1:10" x14ac:dyDescent="0.3">
      <c r="A70" s="2">
        <v>40433</v>
      </c>
      <c r="B70" s="1">
        <v>1.3048</v>
      </c>
      <c r="C70" s="1">
        <v>1.5629</v>
      </c>
      <c r="D70" s="1">
        <v>0.14871878764444313</v>
      </c>
      <c r="E70" s="1">
        <v>22.01</v>
      </c>
      <c r="F70" s="1">
        <v>73.66</v>
      </c>
      <c r="G70" s="1">
        <f>VLOOKUP(A70,[1]黄金期货历史数据!$A:$B,2,)</f>
        <v>1276.8</v>
      </c>
      <c r="H70" s="1">
        <v>81.641000000000005</v>
      </c>
      <c r="I70" s="1">
        <v>4.024</v>
      </c>
      <c r="J70" s="1">
        <v>3.5219999999999998</v>
      </c>
    </row>
    <row r="71" spans="1:10" x14ac:dyDescent="0.3">
      <c r="A71" s="2">
        <v>40440</v>
      </c>
      <c r="B71" s="1">
        <v>1.3491</v>
      </c>
      <c r="C71" s="1">
        <v>1.5821000000000001</v>
      </c>
      <c r="D71" s="1">
        <v>0.14916467780429596</v>
      </c>
      <c r="E71" s="1">
        <v>21.71</v>
      </c>
      <c r="F71" s="1">
        <v>76.489999999999995</v>
      </c>
      <c r="G71" s="1">
        <f>VLOOKUP(A71,[1]黄金期货历史数据!$A:$B,2,)</f>
        <v>1297.3</v>
      </c>
      <c r="H71" s="1">
        <v>79.599000000000004</v>
      </c>
      <c r="I71" s="1">
        <v>3.8809999999999998</v>
      </c>
      <c r="J71" s="1">
        <v>3.617</v>
      </c>
    </row>
    <row r="72" spans="1:10" x14ac:dyDescent="0.3">
      <c r="A72" s="2">
        <v>40447</v>
      </c>
      <c r="B72" s="1">
        <v>1.3792</v>
      </c>
      <c r="C72" s="1">
        <v>1.5817000000000001</v>
      </c>
      <c r="D72" s="1">
        <v>0.14947683109118085</v>
      </c>
      <c r="E72" s="1">
        <v>22.5</v>
      </c>
      <c r="F72" s="1">
        <v>81.58</v>
      </c>
      <c r="G72" s="1">
        <f>VLOOKUP(A72,[1]黄金期货历史数据!$A:$B,2,)</f>
        <v>1317.8</v>
      </c>
      <c r="H72" s="1">
        <v>78.313000000000002</v>
      </c>
      <c r="I72" s="1">
        <v>3.7970000000000002</v>
      </c>
      <c r="J72" s="1">
        <v>3.6905000000000001</v>
      </c>
    </row>
    <row r="73" spans="1:10" x14ac:dyDescent="0.3">
      <c r="A73" s="2">
        <v>40454</v>
      </c>
      <c r="B73" s="1">
        <v>1.3943000000000001</v>
      </c>
      <c r="C73" s="1">
        <v>1.5966</v>
      </c>
      <c r="D73" s="1">
        <v>0.1498800959232614</v>
      </c>
      <c r="E73" s="1">
        <v>20.71</v>
      </c>
      <c r="F73" s="1">
        <v>82.66</v>
      </c>
      <c r="G73" s="1">
        <f>VLOOKUP(A73,[1]黄金期货历史数据!$A:$B,2,)</f>
        <v>1345.3</v>
      </c>
      <c r="H73" s="1">
        <v>77.563000000000002</v>
      </c>
      <c r="I73" s="1">
        <v>3.6509999999999998</v>
      </c>
      <c r="J73" s="1">
        <v>3.7745000000000002</v>
      </c>
    </row>
    <row r="74" spans="1:10" x14ac:dyDescent="0.3">
      <c r="A74" s="2">
        <v>40461</v>
      </c>
      <c r="B74" s="1">
        <v>1.3978999999999999</v>
      </c>
      <c r="C74" s="1">
        <v>1.5992999999999999</v>
      </c>
      <c r="D74" s="1">
        <v>0.15058199942778841</v>
      </c>
      <c r="E74" s="1">
        <v>19.03</v>
      </c>
      <c r="F74" s="1">
        <v>81.25</v>
      </c>
      <c r="G74" s="1">
        <f>VLOOKUP(A74,[1]黄金期货历史数据!$A:$B,2,)</f>
        <v>1372</v>
      </c>
      <c r="H74" s="1">
        <v>77.268000000000001</v>
      </c>
      <c r="I74" s="1">
        <v>3.5350000000000001</v>
      </c>
      <c r="J74" s="1">
        <v>3.839</v>
      </c>
    </row>
    <row r="75" spans="1:10" x14ac:dyDescent="0.3">
      <c r="A75" s="2">
        <v>40468</v>
      </c>
      <c r="B75" s="1">
        <v>1.3952</v>
      </c>
      <c r="C75" s="1">
        <v>1.5686</v>
      </c>
      <c r="D75" s="1">
        <v>0.15017495382120169</v>
      </c>
      <c r="E75" s="1">
        <v>18.78</v>
      </c>
      <c r="F75" s="1">
        <v>81.69</v>
      </c>
      <c r="G75" s="1">
        <f>VLOOKUP(A75,[1]黄金期货历史数据!$A:$B,2,)</f>
        <v>1325.1</v>
      </c>
      <c r="H75" s="1">
        <v>77.685000000000002</v>
      </c>
      <c r="I75" s="1">
        <v>3.3319999999999999</v>
      </c>
      <c r="J75" s="1">
        <v>3.7970000000000002</v>
      </c>
    </row>
    <row r="76" spans="1:10" x14ac:dyDescent="0.3">
      <c r="A76" s="2">
        <v>40475</v>
      </c>
      <c r="B76" s="1">
        <v>1.395</v>
      </c>
      <c r="C76" s="1">
        <v>1.6040000000000001</v>
      </c>
      <c r="D76" s="1">
        <v>0.14990930487055332</v>
      </c>
      <c r="E76" s="1">
        <v>21.2</v>
      </c>
      <c r="F76" s="1">
        <v>81.430000000000007</v>
      </c>
      <c r="G76" s="1">
        <f>VLOOKUP(A76,[1]黄金期货历史数据!$A:$B,2,)</f>
        <v>1358.7</v>
      </c>
      <c r="H76" s="1">
        <v>77.456999999999994</v>
      </c>
      <c r="I76" s="1">
        <v>4.0380000000000003</v>
      </c>
      <c r="J76" s="1">
        <v>3.7389999999999999</v>
      </c>
    </row>
    <row r="77" spans="1:10" x14ac:dyDescent="0.3">
      <c r="A77" s="2">
        <v>40482</v>
      </c>
      <c r="B77" s="1">
        <v>1.4034</v>
      </c>
      <c r="C77" s="1">
        <v>1.6178999999999999</v>
      </c>
      <c r="D77" s="1">
        <v>0.15024489918567263</v>
      </c>
      <c r="E77" s="1">
        <v>18.260000000000002</v>
      </c>
      <c r="F77" s="1">
        <v>86.85</v>
      </c>
      <c r="G77" s="1">
        <f>VLOOKUP(A77,[1]黄金期货历史数据!$A:$B,2,)</f>
        <v>1398.8</v>
      </c>
      <c r="H77" s="1">
        <v>76.691000000000003</v>
      </c>
      <c r="I77" s="1">
        <v>3.9369999999999998</v>
      </c>
      <c r="J77" s="1">
        <v>3.9535</v>
      </c>
    </row>
    <row r="78" spans="1:10" x14ac:dyDescent="0.3">
      <c r="A78" s="2">
        <v>40489</v>
      </c>
      <c r="B78" s="1">
        <v>1.3693</v>
      </c>
      <c r="C78" s="1">
        <v>1.6135999999999999</v>
      </c>
      <c r="D78" s="1">
        <v>0.1506682135269922</v>
      </c>
      <c r="E78" s="1">
        <v>20.61</v>
      </c>
      <c r="F78" s="1">
        <v>84.88</v>
      </c>
      <c r="G78" s="1">
        <f>VLOOKUP(A78,[1]黄金期货历史数据!$A:$B,2,)</f>
        <v>1366.6</v>
      </c>
      <c r="H78" s="1">
        <v>78.230999999999995</v>
      </c>
      <c r="I78" s="1">
        <v>3.7989999999999999</v>
      </c>
      <c r="J78" s="1">
        <v>3.895</v>
      </c>
    </row>
    <row r="79" spans="1:10" x14ac:dyDescent="0.3">
      <c r="A79" s="2">
        <v>40496</v>
      </c>
      <c r="B79" s="1">
        <v>1.3687</v>
      </c>
      <c r="C79" s="1">
        <v>1.5986</v>
      </c>
      <c r="D79" s="1">
        <v>0.15060014156413307</v>
      </c>
      <c r="E79" s="1">
        <v>18.04</v>
      </c>
      <c r="F79" s="1">
        <v>81.510000000000005</v>
      </c>
      <c r="G79" s="1">
        <f>VLOOKUP(A79,[1]黄金期货历史数据!$A:$B,2,)</f>
        <v>1353.4</v>
      </c>
      <c r="H79" s="1">
        <v>78.593999999999994</v>
      </c>
      <c r="I79" s="1">
        <v>4.1639999999999997</v>
      </c>
      <c r="J79" s="1">
        <v>3.8370000000000002</v>
      </c>
    </row>
    <row r="80" spans="1:10" x14ac:dyDescent="0.3">
      <c r="A80" s="2">
        <v>40503</v>
      </c>
      <c r="B80" s="1">
        <v>1.3243</v>
      </c>
      <c r="C80" s="1">
        <v>1.5593999999999999</v>
      </c>
      <c r="D80" s="1">
        <v>0.14995651261134271</v>
      </c>
      <c r="E80" s="1">
        <v>21.53</v>
      </c>
      <c r="F80" s="1">
        <v>83.76</v>
      </c>
      <c r="G80" s="1">
        <f>VLOOKUP(A80,[1]黄金期货历史数据!$A:$B,2,)</f>
        <v>1363.4</v>
      </c>
      <c r="H80" s="1">
        <v>80.433000000000007</v>
      </c>
      <c r="I80" s="1">
        <v>4.399</v>
      </c>
      <c r="J80" s="1">
        <v>3.7565</v>
      </c>
    </row>
    <row r="81" spans="1:10" x14ac:dyDescent="0.3">
      <c r="A81" s="2">
        <v>40510</v>
      </c>
      <c r="B81" s="1">
        <v>1.3414999999999999</v>
      </c>
      <c r="C81" s="1">
        <v>1.5779000000000001</v>
      </c>
      <c r="D81" s="1">
        <v>0.15007578827307791</v>
      </c>
      <c r="E81" s="1">
        <v>18.010000000000002</v>
      </c>
      <c r="F81" s="1">
        <v>89.19</v>
      </c>
      <c r="G81" s="1">
        <f>VLOOKUP(A81,[1]黄金期货历史数据!$A:$B,2,)</f>
        <v>1406.2</v>
      </c>
      <c r="H81" s="1">
        <v>79.406999999999996</v>
      </c>
      <c r="I81" s="1">
        <v>4.3490000000000002</v>
      </c>
      <c r="J81" s="1">
        <v>3.9990000000000001</v>
      </c>
    </row>
    <row r="82" spans="1:10" x14ac:dyDescent="0.3">
      <c r="A82" s="2">
        <v>40517</v>
      </c>
      <c r="B82" s="1">
        <v>1.3233999999999999</v>
      </c>
      <c r="C82" s="1">
        <v>1.5817000000000001</v>
      </c>
      <c r="D82" s="1">
        <v>0.15025618679849143</v>
      </c>
      <c r="E82" s="1">
        <v>17.61</v>
      </c>
      <c r="F82" s="1">
        <v>87.79</v>
      </c>
      <c r="G82" s="1">
        <f>VLOOKUP(A82,[1]黄金期货历史数据!$A:$B,2,)</f>
        <v>1384.9</v>
      </c>
      <c r="H82" s="1">
        <v>80.066000000000003</v>
      </c>
      <c r="I82" s="1">
        <v>4.4169999999999998</v>
      </c>
      <c r="J82" s="1">
        <v>4.1105</v>
      </c>
    </row>
    <row r="83" spans="1:10" x14ac:dyDescent="0.3">
      <c r="A83" s="2">
        <v>40524</v>
      </c>
      <c r="B83" s="1">
        <v>1.3182</v>
      </c>
      <c r="C83" s="1">
        <v>1.5535000000000001</v>
      </c>
      <c r="D83" s="1">
        <v>0.15025167154984601</v>
      </c>
      <c r="E83" s="1">
        <v>16.11</v>
      </c>
      <c r="F83" s="1">
        <v>88.02</v>
      </c>
      <c r="G83" s="1">
        <f>VLOOKUP(A83,[1]黄金期货历史数据!$A:$B,2,)</f>
        <v>1379.2</v>
      </c>
      <c r="H83" s="1">
        <v>80.751999999999995</v>
      </c>
      <c r="I83" s="1">
        <v>4.0659999999999998</v>
      </c>
      <c r="J83" s="1">
        <v>4.1574999999999998</v>
      </c>
    </row>
    <row r="84" spans="1:10" x14ac:dyDescent="0.3">
      <c r="A84" s="2">
        <v>40531</v>
      </c>
      <c r="B84" s="1">
        <v>1.3118000000000001</v>
      </c>
      <c r="C84" s="1">
        <v>1.5444</v>
      </c>
      <c r="D84" s="1">
        <v>0.15089556517933936</v>
      </c>
      <c r="E84" s="1">
        <v>17.670000000000002</v>
      </c>
      <c r="F84" s="1">
        <v>91.51</v>
      </c>
      <c r="G84" s="1">
        <f>VLOOKUP(A84,[1]黄金期货历史数据!$A:$B,2,)</f>
        <v>1380.5</v>
      </c>
      <c r="H84" s="1">
        <v>80.831999999999994</v>
      </c>
      <c r="I84" s="1">
        <v>4.0830000000000002</v>
      </c>
      <c r="J84" s="1">
        <v>4.2565</v>
      </c>
    </row>
    <row r="85" spans="1:10" x14ac:dyDescent="0.3">
      <c r="A85" s="2">
        <v>40538</v>
      </c>
      <c r="B85" s="1">
        <v>1.3379000000000001</v>
      </c>
      <c r="C85" s="1">
        <v>1.5602</v>
      </c>
      <c r="D85" s="1">
        <v>0.15173125360361728</v>
      </c>
      <c r="E85" s="1">
        <v>17.75</v>
      </c>
      <c r="F85" s="1">
        <v>91.38</v>
      </c>
      <c r="G85" s="1">
        <f>VLOOKUP(A85,[1]黄金期货历史数据!$A:$B,2,)</f>
        <v>1422.5</v>
      </c>
      <c r="H85" s="1">
        <v>79.287999999999997</v>
      </c>
      <c r="I85" s="1">
        <v>4.4050000000000002</v>
      </c>
      <c r="J85" s="1">
        <v>4.4470000000000001</v>
      </c>
    </row>
    <row r="86" spans="1:10" x14ac:dyDescent="0.3">
      <c r="A86" s="2">
        <v>40545</v>
      </c>
      <c r="B86" s="1">
        <v>1.2919</v>
      </c>
      <c r="C86" s="1">
        <v>1.5558000000000001</v>
      </c>
      <c r="D86" s="1">
        <v>0.15087052291723244</v>
      </c>
      <c r="E86" s="1">
        <v>17.14</v>
      </c>
      <c r="F86" s="1">
        <v>88.03</v>
      </c>
      <c r="G86" s="1">
        <f>VLOOKUP(A86,[1]黄金期货历史数据!$A:$B,2,)</f>
        <v>1369.8</v>
      </c>
      <c r="H86" s="1">
        <v>81.320999999999998</v>
      </c>
      <c r="I86" s="1">
        <v>4.4219999999999997</v>
      </c>
      <c r="J86" s="1">
        <v>4.2824999999999998</v>
      </c>
    </row>
    <row r="87" spans="1:10" x14ac:dyDescent="0.3">
      <c r="A87" s="2">
        <v>40552</v>
      </c>
      <c r="B87" s="1">
        <v>1.3376999999999999</v>
      </c>
      <c r="C87" s="1">
        <v>1.5863</v>
      </c>
      <c r="D87" s="1">
        <v>0.15177270519669742</v>
      </c>
      <c r="E87" s="1">
        <v>15.46</v>
      </c>
      <c r="F87" s="1">
        <v>91.54</v>
      </c>
      <c r="G87" s="1">
        <f>VLOOKUP(A87,[1]黄金期货历史数据!$A:$B,2,)</f>
        <v>1361.4</v>
      </c>
      <c r="H87" s="1">
        <v>79.366</v>
      </c>
      <c r="I87" s="1">
        <v>4.4800000000000004</v>
      </c>
      <c r="J87" s="1">
        <v>4.4119999999999999</v>
      </c>
    </row>
    <row r="88" spans="1:10" x14ac:dyDescent="0.3">
      <c r="A88" s="2">
        <v>40559</v>
      </c>
      <c r="B88" s="1">
        <v>1.3617999999999999</v>
      </c>
      <c r="C88" s="1">
        <v>1.6002000000000001</v>
      </c>
      <c r="D88" s="1">
        <v>0.151894888736994</v>
      </c>
      <c r="E88" s="1">
        <v>18.47</v>
      </c>
      <c r="F88" s="1">
        <v>89.11</v>
      </c>
      <c r="G88" s="1">
        <f>VLOOKUP(A88,[1]黄金期货历史数据!$A:$B,2,)</f>
        <v>1341.8</v>
      </c>
      <c r="H88" s="1">
        <v>78.37</v>
      </c>
      <c r="I88" s="1">
        <v>4.7359999999999998</v>
      </c>
      <c r="J88" s="1">
        <v>4.3090000000000002</v>
      </c>
    </row>
    <row r="89" spans="1:10" x14ac:dyDescent="0.3">
      <c r="A89" s="2">
        <v>40566</v>
      </c>
      <c r="B89" s="1">
        <v>1.3613</v>
      </c>
      <c r="C89" s="1">
        <v>1.5863</v>
      </c>
      <c r="D89" s="1">
        <v>0.15192719648744324</v>
      </c>
      <c r="E89" s="1">
        <v>20.04</v>
      </c>
      <c r="F89" s="1">
        <v>89.34</v>
      </c>
      <c r="G89" s="1">
        <f>VLOOKUP(A89,[1]黄金期货历史数据!$A:$B,2,)</f>
        <v>1341.7</v>
      </c>
      <c r="H89" s="1">
        <v>78.28</v>
      </c>
      <c r="I89" s="1">
        <v>4.3230000000000004</v>
      </c>
      <c r="J89" s="1">
        <v>4.3780000000000001</v>
      </c>
    </row>
    <row r="90" spans="1:10" x14ac:dyDescent="0.3">
      <c r="A90" s="2">
        <v>40573</v>
      </c>
      <c r="B90" s="1">
        <v>1.3586</v>
      </c>
      <c r="C90" s="1">
        <v>1.6101000000000001</v>
      </c>
      <c r="D90" s="1">
        <v>0.15247388884653501</v>
      </c>
      <c r="E90" s="1">
        <v>15.93</v>
      </c>
      <c r="F90" s="1">
        <v>89.03</v>
      </c>
      <c r="G90" s="1">
        <f>VLOOKUP(A90,[1]黄金期货历史数据!$A:$B,2,)</f>
        <v>1349</v>
      </c>
      <c r="H90" s="1">
        <v>78.156999999999996</v>
      </c>
      <c r="I90" s="1">
        <v>4.3099999999999996</v>
      </c>
      <c r="J90" s="1">
        <v>4.585</v>
      </c>
    </row>
    <row r="91" spans="1:10" x14ac:dyDescent="0.3">
      <c r="A91" s="2">
        <v>40580</v>
      </c>
      <c r="B91" s="1">
        <v>1.3549</v>
      </c>
      <c r="C91" s="1">
        <v>1.6006</v>
      </c>
      <c r="D91" s="1">
        <v>0.15170363178494492</v>
      </c>
      <c r="E91" s="1">
        <v>15.69</v>
      </c>
      <c r="F91" s="1">
        <v>85.58</v>
      </c>
      <c r="G91" s="1">
        <f>VLOOKUP(A91,[1]黄金期货历史数据!$A:$B,2,)</f>
        <v>1360.4</v>
      </c>
      <c r="H91" s="1">
        <v>78.564999999999998</v>
      </c>
      <c r="I91" s="1">
        <v>3.91</v>
      </c>
      <c r="J91" s="1">
        <v>4.5415000000000001</v>
      </c>
    </row>
    <row r="92" spans="1:10" x14ac:dyDescent="0.3">
      <c r="A92" s="2">
        <v>40587</v>
      </c>
      <c r="B92" s="1">
        <v>1.3696999999999999</v>
      </c>
      <c r="C92" s="1">
        <v>1.6244000000000001</v>
      </c>
      <c r="D92" s="1">
        <v>0.15212596029512437</v>
      </c>
      <c r="E92" s="1">
        <v>16.43</v>
      </c>
      <c r="F92" s="1">
        <v>86.2</v>
      </c>
      <c r="G92" s="1">
        <f>VLOOKUP(A92,[1]黄金期货历史数据!$A:$B,2,)</f>
        <v>1388.6</v>
      </c>
      <c r="H92" s="1">
        <v>77.72</v>
      </c>
      <c r="I92" s="1">
        <v>3.8759999999999999</v>
      </c>
      <c r="J92" s="1">
        <v>4.4889999999999999</v>
      </c>
    </row>
    <row r="93" spans="1:10" x14ac:dyDescent="0.3">
      <c r="A93" s="2">
        <v>40594</v>
      </c>
      <c r="B93" s="1">
        <v>1.3751</v>
      </c>
      <c r="C93" s="1">
        <v>1.6119000000000001</v>
      </c>
      <c r="D93" s="1">
        <v>0.15207506425171463</v>
      </c>
      <c r="E93" s="1">
        <v>19.22</v>
      </c>
      <c r="F93" s="1">
        <v>97.88</v>
      </c>
      <c r="G93" s="1">
        <f>VLOOKUP(A93,[1]黄金期货历史数据!$A:$B,2,)</f>
        <v>1410.7</v>
      </c>
      <c r="H93" s="1">
        <v>77.3</v>
      </c>
      <c r="I93" s="1">
        <v>4.0049999999999999</v>
      </c>
      <c r="J93" s="1">
        <v>4.4550000000000001</v>
      </c>
    </row>
    <row r="94" spans="1:10" x14ac:dyDescent="0.3">
      <c r="A94" s="2">
        <v>40601</v>
      </c>
      <c r="B94" s="1">
        <v>1.3985000000000001</v>
      </c>
      <c r="C94" s="1">
        <v>1.6274999999999999</v>
      </c>
      <c r="D94" s="1">
        <v>0.15226494099733537</v>
      </c>
      <c r="E94" s="1">
        <v>19.059999999999999</v>
      </c>
      <c r="F94" s="1">
        <v>104.42</v>
      </c>
      <c r="G94" s="1">
        <f>VLOOKUP(A94,[1]黄金期货历史数据!$A:$B,2,)</f>
        <v>1429.3</v>
      </c>
      <c r="H94" s="1">
        <v>76.415999999999997</v>
      </c>
      <c r="I94" s="1">
        <v>3.8090000000000002</v>
      </c>
      <c r="J94" s="1">
        <v>4.4855</v>
      </c>
    </row>
    <row r="95" spans="1:10" x14ac:dyDescent="0.3">
      <c r="A95" s="2">
        <v>40608</v>
      </c>
      <c r="B95" s="1">
        <v>1.391</v>
      </c>
      <c r="C95" s="1">
        <v>1.6081000000000001</v>
      </c>
      <c r="D95" s="1">
        <v>0.15210282150733898</v>
      </c>
      <c r="E95" s="1">
        <v>20.079999999999998</v>
      </c>
      <c r="F95" s="1">
        <v>101.16</v>
      </c>
      <c r="G95" s="1">
        <f>VLOOKUP(A95,[1]黄金期货历史数据!$A:$B,2,)</f>
        <v>1422.5</v>
      </c>
      <c r="H95" s="1">
        <v>76.77</v>
      </c>
      <c r="I95" s="1">
        <v>3.8889999999999998</v>
      </c>
      <c r="J95" s="1">
        <v>4.2074999999999996</v>
      </c>
    </row>
    <row r="96" spans="1:10" x14ac:dyDescent="0.3">
      <c r="A96" s="2">
        <v>40615</v>
      </c>
      <c r="B96" s="1">
        <v>1.4178999999999999</v>
      </c>
      <c r="C96" s="1">
        <v>1.6237999999999999</v>
      </c>
      <c r="D96" s="1">
        <v>0.15222090297439644</v>
      </c>
      <c r="E96" s="1">
        <v>24.44</v>
      </c>
      <c r="F96" s="1">
        <v>101.07</v>
      </c>
      <c r="G96" s="1">
        <f>VLOOKUP(A96,[1]黄金期货历史数据!$A:$B,2,)</f>
        <v>1416.8</v>
      </c>
      <c r="H96" s="1">
        <v>75.971000000000004</v>
      </c>
      <c r="I96" s="1">
        <v>4.1680000000000001</v>
      </c>
      <c r="J96" s="1">
        <v>4.3390000000000004</v>
      </c>
    </row>
    <row r="97" spans="1:10" x14ac:dyDescent="0.3">
      <c r="A97" s="2">
        <v>40622</v>
      </c>
      <c r="B97" s="1">
        <v>1.4084000000000001</v>
      </c>
      <c r="C97" s="1">
        <v>1.6037999999999999</v>
      </c>
      <c r="D97" s="1">
        <v>0.15250644339723354</v>
      </c>
      <c r="E97" s="1">
        <v>17.91</v>
      </c>
      <c r="F97" s="1">
        <v>105.4</v>
      </c>
      <c r="G97" s="1">
        <f>VLOOKUP(A97,[1]黄金期货历史数据!$A:$B,2,)</f>
        <v>1426.9</v>
      </c>
      <c r="H97" s="1">
        <v>76.484999999999999</v>
      </c>
      <c r="I97" s="1">
        <v>4.4029999999999996</v>
      </c>
      <c r="J97" s="1">
        <v>4.4189999999999996</v>
      </c>
    </row>
    <row r="98" spans="1:10" x14ac:dyDescent="0.3">
      <c r="A98" s="2">
        <v>40629</v>
      </c>
      <c r="B98" s="1">
        <v>1.4231</v>
      </c>
      <c r="C98" s="1">
        <v>1.6113</v>
      </c>
      <c r="D98" s="1">
        <v>0.15272305201747152</v>
      </c>
      <c r="E98" s="1">
        <v>17.399999999999999</v>
      </c>
      <c r="F98" s="1">
        <v>107.94</v>
      </c>
      <c r="G98" s="1">
        <f>VLOOKUP(A98,[1]黄金期货历史数据!$A:$B,2,)</f>
        <v>1428.9</v>
      </c>
      <c r="H98" s="1">
        <v>76.082999999999998</v>
      </c>
      <c r="I98" s="1">
        <v>4.3620000000000001</v>
      </c>
      <c r="J98" s="1">
        <v>4.2675000000000001</v>
      </c>
    </row>
    <row r="99" spans="1:10" x14ac:dyDescent="0.3">
      <c r="A99" s="2">
        <v>40636</v>
      </c>
      <c r="B99" s="1">
        <v>1.4480999999999999</v>
      </c>
      <c r="C99" s="1">
        <v>1.6385000000000001</v>
      </c>
      <c r="D99" s="1">
        <v>0.15301516380273283</v>
      </c>
      <c r="E99" s="1">
        <v>17.87</v>
      </c>
      <c r="F99" s="1">
        <v>112.79</v>
      </c>
      <c r="G99" s="1">
        <f>VLOOKUP(A99,[1]黄金期货历史数据!$A:$B,2,)</f>
        <v>1474.1</v>
      </c>
      <c r="H99" s="1">
        <v>75.272999999999996</v>
      </c>
      <c r="I99" s="1">
        <v>4.0410000000000004</v>
      </c>
      <c r="J99" s="1">
        <v>4.5110000000000001</v>
      </c>
    </row>
    <row r="100" spans="1:10" x14ac:dyDescent="0.3">
      <c r="A100" s="2">
        <v>40643</v>
      </c>
      <c r="B100" s="1">
        <v>1.4432</v>
      </c>
      <c r="C100" s="1">
        <v>1.6322000000000001</v>
      </c>
      <c r="D100" s="1">
        <v>0.15307606349595113</v>
      </c>
      <c r="E100" s="1">
        <v>15.32</v>
      </c>
      <c r="F100" s="1">
        <v>109.66</v>
      </c>
      <c r="G100" s="1">
        <f>VLOOKUP(A100,[1]黄金期货历史数据!$A:$B,2,)</f>
        <v>1486</v>
      </c>
      <c r="H100" s="1">
        <v>75.028000000000006</v>
      </c>
      <c r="I100" s="1">
        <v>4.2039999999999997</v>
      </c>
      <c r="J100" s="1">
        <v>4.2685000000000004</v>
      </c>
    </row>
    <row r="101" spans="1:10" x14ac:dyDescent="0.3">
      <c r="A101" s="2">
        <v>40650</v>
      </c>
      <c r="B101" s="1">
        <v>1.4556</v>
      </c>
      <c r="C101" s="1">
        <v>1.651</v>
      </c>
      <c r="D101" s="1">
        <v>0.15367592820260634</v>
      </c>
      <c r="E101" s="1">
        <v>14.69</v>
      </c>
      <c r="F101" s="1">
        <v>112.29</v>
      </c>
      <c r="G101" s="1">
        <f>VLOOKUP(A101,[1]黄金期货历史数据!$A:$B,2,)</f>
        <v>1503.8</v>
      </c>
      <c r="H101" s="1">
        <v>74.180000000000007</v>
      </c>
      <c r="I101" s="1">
        <v>4.4119999999999999</v>
      </c>
      <c r="J101" s="1">
        <v>4.41</v>
      </c>
    </row>
    <row r="102" spans="1:10" x14ac:dyDescent="0.3">
      <c r="A102" s="2">
        <v>40657</v>
      </c>
      <c r="B102" s="1">
        <v>1.4802</v>
      </c>
      <c r="C102" s="1">
        <v>1.6704000000000001</v>
      </c>
      <c r="D102" s="1">
        <v>0.15405946695424436</v>
      </c>
      <c r="E102" s="1">
        <v>14.75</v>
      </c>
      <c r="F102" s="1">
        <v>113.93</v>
      </c>
      <c r="G102" s="1">
        <f>VLOOKUP(A102,[1]黄金期货历史数据!$A:$B,2,)</f>
        <v>1557</v>
      </c>
      <c r="H102" s="1">
        <v>73.106999999999999</v>
      </c>
      <c r="I102" s="1">
        <v>4.6980000000000004</v>
      </c>
      <c r="J102" s="1">
        <v>4.1790000000000003</v>
      </c>
    </row>
    <row r="103" spans="1:10" x14ac:dyDescent="0.3">
      <c r="A103" s="2">
        <v>40664</v>
      </c>
      <c r="B103" s="1">
        <v>1.431</v>
      </c>
      <c r="C103" s="1">
        <v>1.637</v>
      </c>
      <c r="D103" s="1">
        <v>0.15400726914310356</v>
      </c>
      <c r="E103" s="1">
        <v>18.399999999999999</v>
      </c>
      <c r="F103" s="1">
        <v>97.18</v>
      </c>
      <c r="G103" s="1">
        <f>VLOOKUP(A103,[1]黄金期货历史数据!$A:$B,2,)</f>
        <v>1492.2</v>
      </c>
      <c r="H103" s="1">
        <v>75.08</v>
      </c>
      <c r="I103" s="1">
        <v>4.2350000000000003</v>
      </c>
      <c r="J103" s="1">
        <v>3.9754999999999998</v>
      </c>
    </row>
    <row r="104" spans="1:10" x14ac:dyDescent="0.3">
      <c r="A104" s="2">
        <v>40671</v>
      </c>
      <c r="B104" s="1">
        <v>1.4120999999999999</v>
      </c>
      <c r="C104" s="1">
        <v>1.6197999999999999</v>
      </c>
      <c r="D104" s="1">
        <v>0.15389350569405971</v>
      </c>
      <c r="E104" s="1">
        <v>17.07</v>
      </c>
      <c r="F104" s="1">
        <v>99.65</v>
      </c>
      <c r="G104" s="1">
        <f>VLOOKUP(A104,[1]黄金期货历史数据!$A:$B,2,)</f>
        <v>1494.2</v>
      </c>
      <c r="H104" s="1">
        <v>75.938000000000002</v>
      </c>
      <c r="I104" s="1">
        <v>4.2460000000000004</v>
      </c>
      <c r="J104" s="1">
        <v>3.9834999999999998</v>
      </c>
    </row>
    <row r="105" spans="1:10" x14ac:dyDescent="0.3">
      <c r="A105" s="2">
        <v>40678</v>
      </c>
      <c r="B105" s="1">
        <v>1.4155</v>
      </c>
      <c r="C105" s="1">
        <v>1.6229</v>
      </c>
      <c r="D105" s="1">
        <v>0.15401201293700909</v>
      </c>
      <c r="E105" s="1">
        <v>17.43</v>
      </c>
      <c r="F105" s="1">
        <v>99.49</v>
      </c>
      <c r="G105" s="1">
        <f>VLOOKUP(A105,[1]黄金期货历史数据!$A:$B,2,)</f>
        <v>1509.4</v>
      </c>
      <c r="H105" s="1">
        <v>75.578999999999994</v>
      </c>
      <c r="I105" s="1">
        <v>4.2300000000000004</v>
      </c>
      <c r="J105" s="1">
        <v>4.1215000000000002</v>
      </c>
    </row>
    <row r="106" spans="1:10" x14ac:dyDescent="0.3">
      <c r="A106" s="2">
        <v>40685</v>
      </c>
      <c r="B106" s="1">
        <v>1.4323999999999999</v>
      </c>
      <c r="C106" s="1">
        <v>1.6509</v>
      </c>
      <c r="D106" s="1">
        <v>0.15401201293700909</v>
      </c>
      <c r="E106" s="1">
        <v>15.98</v>
      </c>
      <c r="F106" s="1">
        <v>100.59</v>
      </c>
      <c r="G106" s="1">
        <f>VLOOKUP(A106,[1]黄金期货历史数据!$A:$B,2,)</f>
        <v>1537.3</v>
      </c>
      <c r="H106" s="1">
        <v>75.018000000000001</v>
      </c>
      <c r="I106" s="1">
        <v>4.5179999999999998</v>
      </c>
      <c r="J106" s="1">
        <v>4.1955</v>
      </c>
    </row>
    <row r="107" spans="1:10" x14ac:dyDescent="0.3">
      <c r="A107" s="2">
        <v>40692</v>
      </c>
      <c r="B107" s="1">
        <v>1.4637</v>
      </c>
      <c r="C107" s="1">
        <v>1.6429</v>
      </c>
      <c r="D107" s="1">
        <v>0.15433765993240009</v>
      </c>
      <c r="E107" s="1">
        <v>17.95</v>
      </c>
      <c r="F107" s="1">
        <v>100.22</v>
      </c>
      <c r="G107" s="1">
        <f>VLOOKUP(A107,[1]黄金期货历史数据!$A:$B,2,)</f>
        <v>1542.4</v>
      </c>
      <c r="H107" s="1">
        <v>73.807000000000002</v>
      </c>
      <c r="I107" s="1">
        <v>4.7069999999999999</v>
      </c>
      <c r="J107" s="1">
        <v>4.1444999999999999</v>
      </c>
    </row>
    <row r="108" spans="1:10" x14ac:dyDescent="0.3">
      <c r="A108" s="2">
        <v>40699</v>
      </c>
      <c r="B108" s="1">
        <v>1.4348000000000001</v>
      </c>
      <c r="C108" s="1">
        <v>1.6234999999999999</v>
      </c>
      <c r="D108" s="1">
        <v>0.15431384349489993</v>
      </c>
      <c r="E108" s="1">
        <v>18.86</v>
      </c>
      <c r="F108" s="1">
        <v>99.29</v>
      </c>
      <c r="G108" s="1">
        <f>VLOOKUP(A108,[1]黄金期货历史数据!$A:$B,2,)</f>
        <v>1529.2</v>
      </c>
      <c r="H108" s="1">
        <v>74.798000000000002</v>
      </c>
      <c r="I108" s="1">
        <v>4.7569999999999997</v>
      </c>
      <c r="J108" s="1">
        <v>4.0664999999999996</v>
      </c>
    </row>
    <row r="109" spans="1:10" x14ac:dyDescent="0.3">
      <c r="A109" s="2">
        <v>40706</v>
      </c>
      <c r="B109" s="1">
        <v>1.4311</v>
      </c>
      <c r="C109" s="1">
        <v>1.6196999999999999</v>
      </c>
      <c r="D109" s="1">
        <v>0.15453562046051614</v>
      </c>
      <c r="E109" s="1">
        <v>21.85</v>
      </c>
      <c r="F109" s="1">
        <v>93.01</v>
      </c>
      <c r="G109" s="1">
        <f>VLOOKUP(A109,[1]黄金期货历史数据!$A:$B,2,)</f>
        <v>1539.1</v>
      </c>
      <c r="H109" s="1">
        <v>75.460999999999999</v>
      </c>
      <c r="I109" s="1">
        <v>4.3250000000000002</v>
      </c>
      <c r="J109" s="1">
        <v>4.1135000000000002</v>
      </c>
    </row>
    <row r="110" spans="1:10" x14ac:dyDescent="0.3">
      <c r="A110" s="2">
        <v>40713</v>
      </c>
      <c r="B110" s="1">
        <v>1.4193</v>
      </c>
      <c r="C110" s="1">
        <v>1.5960000000000001</v>
      </c>
      <c r="D110" s="1">
        <v>0.15444015444015444</v>
      </c>
      <c r="E110" s="1">
        <v>21.1</v>
      </c>
      <c r="F110" s="1">
        <v>91.16</v>
      </c>
      <c r="G110" s="1">
        <f>VLOOKUP(A110,[1]黄金期货历史数据!$A:$B,2,)</f>
        <v>1500.9</v>
      </c>
      <c r="H110" s="1">
        <v>76.209999999999994</v>
      </c>
      <c r="I110" s="1">
        <v>4.2290000000000001</v>
      </c>
      <c r="J110" s="1">
        <v>4.109</v>
      </c>
    </row>
    <row r="111" spans="1:10" x14ac:dyDescent="0.3">
      <c r="A111" s="2">
        <v>40720</v>
      </c>
      <c r="B111" s="1">
        <v>1.4524999999999999</v>
      </c>
      <c r="C111" s="1">
        <v>1.6076999999999999</v>
      </c>
      <c r="D111" s="1">
        <v>0.15467904098994587</v>
      </c>
      <c r="E111" s="1">
        <v>15.87</v>
      </c>
      <c r="F111" s="1">
        <v>94.94</v>
      </c>
      <c r="G111" s="1">
        <f>VLOOKUP(A111,[1]黄金期货历史数据!$A:$B,2,)</f>
        <v>1483.1</v>
      </c>
      <c r="H111" s="1">
        <v>74.674000000000007</v>
      </c>
      <c r="I111" s="1">
        <v>4.3109999999999999</v>
      </c>
      <c r="J111" s="1">
        <v>4.3025000000000002</v>
      </c>
    </row>
    <row r="112" spans="1:10" x14ac:dyDescent="0.3">
      <c r="A112" s="2">
        <v>40727</v>
      </c>
      <c r="B112" s="1">
        <v>1.427</v>
      </c>
      <c r="C112" s="1">
        <v>1.6059000000000001</v>
      </c>
      <c r="D112" s="1">
        <v>0.15469100471807565</v>
      </c>
      <c r="E112" s="1">
        <v>15.95</v>
      </c>
      <c r="F112" s="1">
        <v>96.2</v>
      </c>
      <c r="G112" s="1">
        <f>VLOOKUP(A112,[1]黄金期货历史数据!$A:$B,2,)</f>
        <v>1542.3</v>
      </c>
      <c r="H112" s="1">
        <v>75.513999999999996</v>
      </c>
      <c r="I112" s="1">
        <v>4.2050000000000001</v>
      </c>
      <c r="J112" s="1">
        <v>4.4119999999999999</v>
      </c>
    </row>
    <row r="113" spans="1:10" x14ac:dyDescent="0.3">
      <c r="A113" s="2">
        <v>40734</v>
      </c>
      <c r="B113" s="1">
        <v>1.4153</v>
      </c>
      <c r="C113" s="1">
        <v>1.6135999999999999</v>
      </c>
      <c r="D113" s="1">
        <v>0.15475085112968123</v>
      </c>
      <c r="E113" s="1">
        <v>19.53</v>
      </c>
      <c r="F113" s="1">
        <v>97.24</v>
      </c>
      <c r="G113" s="1">
        <f>VLOOKUP(A113,[1]黄金期货历史数据!$A:$B,2,)</f>
        <v>1590.6</v>
      </c>
      <c r="H113" s="1">
        <v>75.52</v>
      </c>
      <c r="I113" s="1">
        <v>4.5460000000000003</v>
      </c>
      <c r="J113" s="1">
        <v>4.4130000000000003</v>
      </c>
    </row>
    <row r="114" spans="1:10" x14ac:dyDescent="0.3">
      <c r="A114" s="2">
        <v>40741</v>
      </c>
      <c r="B114" s="1">
        <v>1.4356</v>
      </c>
      <c r="C114" s="1">
        <v>1.6303000000000001</v>
      </c>
      <c r="D114" s="1">
        <v>0.1551012811365822</v>
      </c>
      <c r="E114" s="1">
        <v>17.52</v>
      </c>
      <c r="F114" s="1">
        <v>99.87</v>
      </c>
      <c r="G114" s="1">
        <f>VLOOKUP(A114,[1]黄金期货历史数据!$A:$B,2,)</f>
        <v>1602.2</v>
      </c>
      <c r="H114" s="1">
        <v>74.412000000000006</v>
      </c>
      <c r="I114" s="1">
        <v>4.399</v>
      </c>
      <c r="J114" s="1">
        <v>4.41</v>
      </c>
    </row>
    <row r="115" spans="1:10" x14ac:dyDescent="0.3">
      <c r="A115" s="2">
        <v>40748</v>
      </c>
      <c r="B115" s="1">
        <v>1.4396</v>
      </c>
      <c r="C115" s="1">
        <v>1.6420999999999999</v>
      </c>
      <c r="D115" s="1">
        <v>0.15535187199005748</v>
      </c>
      <c r="E115" s="1">
        <v>25.25</v>
      </c>
      <c r="F115" s="1">
        <v>95.7</v>
      </c>
      <c r="G115" s="1">
        <f>VLOOKUP(A115,[1]黄金期货历史数据!$A:$B,2,)</f>
        <v>1629.9</v>
      </c>
      <c r="H115" s="1">
        <v>74.036000000000001</v>
      </c>
      <c r="I115" s="1">
        <v>4.1449999999999996</v>
      </c>
      <c r="J115" s="1">
        <v>4.4894999999999996</v>
      </c>
    </row>
    <row r="116" spans="1:10" x14ac:dyDescent="0.3">
      <c r="A116" s="2">
        <v>40755</v>
      </c>
      <c r="B116" s="1">
        <v>1.4281999999999999</v>
      </c>
      <c r="C116" s="1">
        <v>1.6392</v>
      </c>
      <c r="D116" s="1">
        <v>0.15526503741887401</v>
      </c>
      <c r="E116" s="1">
        <v>32</v>
      </c>
      <c r="F116" s="1">
        <v>86.88</v>
      </c>
      <c r="G116" s="1">
        <f>VLOOKUP(A116,[1]黄金期货历史数据!$A:$B,2,)</f>
        <v>1650.2</v>
      </c>
      <c r="H116" s="1">
        <v>74.802000000000007</v>
      </c>
      <c r="I116" s="1">
        <v>3.9409999999999998</v>
      </c>
      <c r="J116" s="1">
        <v>4.1269999999999998</v>
      </c>
    </row>
    <row r="117" spans="1:10" x14ac:dyDescent="0.3">
      <c r="A117" s="2">
        <v>40762</v>
      </c>
      <c r="B117" s="1">
        <v>1.4249000000000001</v>
      </c>
      <c r="C117" s="1">
        <v>1.6277999999999999</v>
      </c>
      <c r="D117" s="1">
        <v>0.15650187019734885</v>
      </c>
      <c r="E117" s="1">
        <v>36.36</v>
      </c>
      <c r="F117" s="1">
        <v>85.38</v>
      </c>
      <c r="G117" s="1">
        <f>VLOOKUP(A117,[1]黄金期货历史数据!$A:$B,2,)</f>
        <v>1741</v>
      </c>
      <c r="H117" s="1">
        <v>74.742999999999995</v>
      </c>
      <c r="I117" s="1">
        <v>4.0599999999999996</v>
      </c>
      <c r="J117" s="1">
        <v>4.0209999999999999</v>
      </c>
    </row>
    <row r="118" spans="1:10" x14ac:dyDescent="0.3">
      <c r="A118" s="2">
        <v>40769</v>
      </c>
      <c r="B118" s="1">
        <v>1.4398</v>
      </c>
      <c r="C118" s="1">
        <v>1.6462000000000001</v>
      </c>
      <c r="D118" s="1">
        <v>0.15645779550966127</v>
      </c>
      <c r="E118" s="1">
        <v>43.05</v>
      </c>
      <c r="F118" s="1">
        <v>82.26</v>
      </c>
      <c r="G118" s="1">
        <f>VLOOKUP(A118,[1]黄金期货历史数据!$A:$B,2,)</f>
        <v>1850.1</v>
      </c>
      <c r="H118" s="1">
        <v>74.105999999999995</v>
      </c>
      <c r="I118" s="1">
        <v>3.94</v>
      </c>
      <c r="J118" s="1">
        <v>3.9910000000000001</v>
      </c>
    </row>
    <row r="119" spans="1:10" x14ac:dyDescent="0.3">
      <c r="A119" s="2">
        <v>40776</v>
      </c>
      <c r="B119" s="1">
        <v>1.4499</v>
      </c>
      <c r="C119" s="1">
        <v>1.6372</v>
      </c>
      <c r="D119" s="1">
        <v>0.15656312625250501</v>
      </c>
      <c r="E119" s="1">
        <v>35.590000000000003</v>
      </c>
      <c r="F119" s="1">
        <v>85.37</v>
      </c>
      <c r="G119" s="1">
        <f>VLOOKUP(A119,[1]黄金期货历史数据!$A:$B,2,)</f>
        <v>1795.1</v>
      </c>
      <c r="H119" s="1">
        <v>73.869</v>
      </c>
      <c r="I119" s="1">
        <v>3.931</v>
      </c>
      <c r="J119" s="1">
        <v>4.1070000000000002</v>
      </c>
    </row>
    <row r="120" spans="1:10" x14ac:dyDescent="0.3">
      <c r="A120" s="2">
        <v>40783</v>
      </c>
      <c r="B120" s="1">
        <v>1.4205000000000001</v>
      </c>
      <c r="C120" s="1">
        <v>1.6217999999999999</v>
      </c>
      <c r="D120" s="1">
        <v>0.15666614444618518</v>
      </c>
      <c r="E120" s="1">
        <v>33.92</v>
      </c>
      <c r="F120" s="1">
        <v>86.45</v>
      </c>
      <c r="G120" s="1">
        <f>VLOOKUP(A120,[1]黄金期货历史数据!$A:$B,2,)</f>
        <v>1875.5</v>
      </c>
      <c r="H120" s="1">
        <v>74.838999999999999</v>
      </c>
      <c r="I120" s="1">
        <v>3.8719999999999999</v>
      </c>
      <c r="J120" s="1">
        <v>4.1195000000000004</v>
      </c>
    </row>
    <row r="121" spans="1:10" x14ac:dyDescent="0.3">
      <c r="A121" s="2">
        <v>40790</v>
      </c>
      <c r="B121" s="1">
        <v>1.3653</v>
      </c>
      <c r="C121" s="1">
        <v>1.5882000000000001</v>
      </c>
      <c r="D121" s="1">
        <v>0.15653861807707961</v>
      </c>
      <c r="E121" s="1">
        <v>38.520000000000003</v>
      </c>
      <c r="F121" s="1">
        <v>87.24</v>
      </c>
      <c r="G121" s="1">
        <f>VLOOKUP(A121,[1]黄金期货历史数据!$A:$B,2,)</f>
        <v>1858.3</v>
      </c>
      <c r="H121" s="1">
        <v>77.3</v>
      </c>
      <c r="I121" s="1">
        <v>3.915</v>
      </c>
      <c r="J121" s="1">
        <v>3.9980000000000002</v>
      </c>
    </row>
    <row r="122" spans="1:10" x14ac:dyDescent="0.3">
      <c r="A122" s="2">
        <v>40797</v>
      </c>
      <c r="B122" s="1">
        <v>1.38</v>
      </c>
      <c r="C122" s="1">
        <v>1.5789</v>
      </c>
      <c r="D122" s="1">
        <v>0.15666614444618518</v>
      </c>
      <c r="E122" s="1">
        <v>30.98</v>
      </c>
      <c r="F122" s="1">
        <v>87.96</v>
      </c>
      <c r="G122" s="1">
        <f>VLOOKUP(A122,[1]黄金期货历史数据!$A:$B,2,)</f>
        <v>1813.5</v>
      </c>
      <c r="H122" s="1">
        <v>76.593000000000004</v>
      </c>
      <c r="I122" s="1">
        <v>3.8090000000000002</v>
      </c>
      <c r="J122" s="1">
        <v>3.927</v>
      </c>
    </row>
    <row r="123" spans="1:10" x14ac:dyDescent="0.3">
      <c r="A123" s="2">
        <v>40804</v>
      </c>
      <c r="B123" s="1">
        <v>1.3498000000000001</v>
      </c>
      <c r="C123" s="1">
        <v>1.5467</v>
      </c>
      <c r="D123" s="1">
        <v>0.15654351909830932</v>
      </c>
      <c r="E123" s="1">
        <v>41.25</v>
      </c>
      <c r="F123" s="1">
        <v>79.849999999999994</v>
      </c>
      <c r="G123" s="1">
        <f>VLOOKUP(A123,[1]黄金期货历史数据!$A:$B,2,)</f>
        <v>1638.6</v>
      </c>
      <c r="H123" s="1">
        <v>79.227999999999994</v>
      </c>
      <c r="I123" s="1">
        <v>3.7010000000000001</v>
      </c>
      <c r="J123" s="1">
        <v>3.2759999999999998</v>
      </c>
    </row>
    <row r="124" spans="1:10" x14ac:dyDescent="0.3">
      <c r="A124" s="2">
        <v>40811</v>
      </c>
      <c r="B124" s="1">
        <v>1.3386</v>
      </c>
      <c r="C124" s="1">
        <v>1.5585</v>
      </c>
      <c r="D124" s="1">
        <v>0.1566857823321112</v>
      </c>
      <c r="E124" s="1">
        <v>42.96</v>
      </c>
      <c r="F124" s="1">
        <v>79.2</v>
      </c>
      <c r="G124" s="1">
        <f>VLOOKUP(A124,[1]黄金期货历史数据!$A:$B,2,)</f>
        <v>1622.3</v>
      </c>
      <c r="H124" s="1">
        <v>79.075000000000003</v>
      </c>
      <c r="I124" s="1">
        <v>3.6659999999999999</v>
      </c>
      <c r="J124" s="1">
        <v>3.1520000000000001</v>
      </c>
    </row>
    <row r="125" spans="1:10" x14ac:dyDescent="0.3">
      <c r="A125" s="2">
        <v>40818</v>
      </c>
      <c r="B125" s="1">
        <v>1.3376999999999999</v>
      </c>
      <c r="C125" s="1">
        <v>1.556</v>
      </c>
      <c r="D125" s="1">
        <v>0.15686274509803921</v>
      </c>
      <c r="E125" s="1">
        <v>36.200000000000003</v>
      </c>
      <c r="F125" s="1">
        <v>82.98</v>
      </c>
      <c r="G125" s="1">
        <f>VLOOKUP(A125,[1]黄金期货历史数据!$A:$B,2,)</f>
        <v>1635.8</v>
      </c>
      <c r="H125" s="1">
        <v>79.149000000000001</v>
      </c>
      <c r="I125" s="1">
        <v>3.4809999999999999</v>
      </c>
      <c r="J125" s="1">
        <v>3.2734999999999999</v>
      </c>
    </row>
    <row r="126" spans="1:10" x14ac:dyDescent="0.3">
      <c r="A126" s="2">
        <v>40825</v>
      </c>
      <c r="B126" s="1">
        <v>1.3876999999999999</v>
      </c>
      <c r="C126" s="1">
        <v>1.5821000000000001</v>
      </c>
      <c r="D126" s="1">
        <v>0.15676438313215238</v>
      </c>
      <c r="E126" s="1">
        <v>28.24</v>
      </c>
      <c r="F126" s="1">
        <v>86.8</v>
      </c>
      <c r="G126" s="1">
        <f>VLOOKUP(A126,[1]黄金期货历史数据!$A:$B,2,)</f>
        <v>1683</v>
      </c>
      <c r="H126" s="1">
        <v>76.906999999999996</v>
      </c>
      <c r="I126" s="1">
        <v>3.7029999999999998</v>
      </c>
      <c r="J126" s="1">
        <v>3.4085000000000001</v>
      </c>
    </row>
    <row r="127" spans="1:10" x14ac:dyDescent="0.3">
      <c r="A127" s="2">
        <v>40832</v>
      </c>
      <c r="B127" s="1">
        <v>1.3895999999999999</v>
      </c>
      <c r="C127" s="1">
        <v>1.5952999999999999</v>
      </c>
      <c r="D127" s="1">
        <v>0.1566465114821893</v>
      </c>
      <c r="E127" s="1">
        <v>31.32</v>
      </c>
      <c r="F127" s="1">
        <v>87.4</v>
      </c>
      <c r="G127" s="1">
        <f>VLOOKUP(A127,[1]黄金期货历史数据!$A:$B,2,)</f>
        <v>1636.1</v>
      </c>
      <c r="H127" s="1">
        <v>76.628</v>
      </c>
      <c r="I127" s="1">
        <v>3.629</v>
      </c>
      <c r="J127" s="1">
        <v>3.2229999999999999</v>
      </c>
    </row>
    <row r="128" spans="1:10" x14ac:dyDescent="0.3">
      <c r="A128" s="2">
        <v>40839</v>
      </c>
      <c r="B128" s="1">
        <v>1.4148000000000001</v>
      </c>
      <c r="C128" s="1">
        <v>1.6121000000000001</v>
      </c>
      <c r="D128" s="1">
        <v>0.15726237654903441</v>
      </c>
      <c r="E128" s="1">
        <v>24.53</v>
      </c>
      <c r="F128" s="1">
        <v>93.32</v>
      </c>
      <c r="G128" s="1">
        <f>VLOOKUP(A128,[1]黄金期货历史数据!$A:$B,2,)</f>
        <v>1749.3</v>
      </c>
      <c r="H128" s="1">
        <v>75.215999999999994</v>
      </c>
      <c r="I128" s="1">
        <v>3.923</v>
      </c>
      <c r="J128" s="1">
        <v>3.7164999999999999</v>
      </c>
    </row>
    <row r="129" spans="1:10" x14ac:dyDescent="0.3">
      <c r="A129" s="2">
        <v>40846</v>
      </c>
      <c r="B129" s="1">
        <v>1.3795999999999999</v>
      </c>
      <c r="C129" s="1">
        <v>1.6031</v>
      </c>
      <c r="D129" s="1">
        <v>0.15770383220312253</v>
      </c>
      <c r="E129" s="1">
        <v>30.16</v>
      </c>
      <c r="F129" s="1">
        <v>94.26</v>
      </c>
      <c r="G129" s="1">
        <f>VLOOKUP(A129,[1]黄金期货历史数据!$A:$B,2,)</f>
        <v>1757.1</v>
      </c>
      <c r="H129" s="1">
        <v>77.162000000000006</v>
      </c>
      <c r="I129" s="1">
        <v>3.7829999999999999</v>
      </c>
      <c r="J129" s="1">
        <v>3.5745</v>
      </c>
    </row>
    <row r="130" spans="1:10" x14ac:dyDescent="0.3">
      <c r="A130" s="2">
        <v>40853</v>
      </c>
      <c r="B130" s="1">
        <v>1.3752</v>
      </c>
      <c r="C130" s="1">
        <v>1.607</v>
      </c>
      <c r="D130" s="1">
        <v>0.15767896562598549</v>
      </c>
      <c r="E130" s="1">
        <v>30.04</v>
      </c>
      <c r="F130" s="1">
        <v>98.99</v>
      </c>
      <c r="G130" s="1">
        <f>VLOOKUP(A130,[1]黄金期货历史数据!$A:$B,2,)</f>
        <v>1789.2</v>
      </c>
      <c r="H130" s="1">
        <v>77.131</v>
      </c>
      <c r="I130" s="1">
        <v>3.5840000000000001</v>
      </c>
      <c r="J130" s="1">
        <v>3.4735</v>
      </c>
    </row>
    <row r="131" spans="1:10" x14ac:dyDescent="0.3">
      <c r="A131" s="2">
        <v>40860</v>
      </c>
      <c r="B131" s="1">
        <v>1.351</v>
      </c>
      <c r="C131" s="1">
        <v>1.5790999999999999</v>
      </c>
      <c r="D131" s="1">
        <v>0.15731185502139441</v>
      </c>
      <c r="E131" s="1">
        <v>32</v>
      </c>
      <c r="F131" s="1">
        <v>97.41</v>
      </c>
      <c r="G131" s="1">
        <f>VLOOKUP(A131,[1]黄金期货历史数据!$A:$B,2,)</f>
        <v>1727</v>
      </c>
      <c r="H131" s="1">
        <v>78.254999999999995</v>
      </c>
      <c r="I131" s="1">
        <v>3.3159999999999998</v>
      </c>
      <c r="J131" s="1">
        <v>3.4119999999999999</v>
      </c>
    </row>
    <row r="132" spans="1:10" x14ac:dyDescent="0.3">
      <c r="A132" s="2">
        <v>40867</v>
      </c>
      <c r="B132" s="1">
        <v>1.3233999999999999</v>
      </c>
      <c r="C132" s="1">
        <v>1.5448</v>
      </c>
      <c r="D132" s="1">
        <v>0.15670051397768586</v>
      </c>
      <c r="E132" s="1">
        <v>34.47</v>
      </c>
      <c r="F132" s="1">
        <v>96.77</v>
      </c>
      <c r="G132" s="1">
        <f>VLOOKUP(A132,[1]黄金期货历史数据!$A:$B,2,)</f>
        <v>1687.3</v>
      </c>
      <c r="H132" s="1">
        <v>79.831000000000003</v>
      </c>
      <c r="I132" s="1">
        <v>3.5419999999999998</v>
      </c>
      <c r="J132" s="1">
        <v>3.278</v>
      </c>
    </row>
    <row r="133" spans="1:10" x14ac:dyDescent="0.3">
      <c r="A133" s="2">
        <v>40874</v>
      </c>
      <c r="B133" s="1">
        <v>1.3403</v>
      </c>
      <c r="C133" s="1">
        <v>1.5593999999999999</v>
      </c>
      <c r="D133" s="1">
        <v>0.15722528811534048</v>
      </c>
      <c r="E133" s="1">
        <v>27.52</v>
      </c>
      <c r="F133" s="1">
        <v>100.96</v>
      </c>
      <c r="G133" s="1">
        <f>VLOOKUP(A133,[1]黄金期货历史数据!$A:$B,2,)</f>
        <v>1751.3</v>
      </c>
      <c r="H133" s="1">
        <v>78.730999999999995</v>
      </c>
      <c r="I133" s="1">
        <v>3.5840000000000001</v>
      </c>
      <c r="J133" s="1">
        <v>3.5825</v>
      </c>
    </row>
    <row r="134" spans="1:10" x14ac:dyDescent="0.3">
      <c r="A134" s="2">
        <v>40881</v>
      </c>
      <c r="B134" s="1">
        <v>1.3374999999999999</v>
      </c>
      <c r="C134" s="1">
        <v>1.5660000000000001</v>
      </c>
      <c r="D134" s="1">
        <v>0.15712400226258563</v>
      </c>
      <c r="E134" s="1">
        <v>26.38</v>
      </c>
      <c r="F134" s="1">
        <v>99.41</v>
      </c>
      <c r="G134" s="1">
        <f>VLOOKUP(A134,[1]黄金期货历史数据!$A:$B,2,)</f>
        <v>1716.8</v>
      </c>
      <c r="H134" s="1">
        <v>78.680999999999997</v>
      </c>
      <c r="I134" s="1">
        <v>3.3170000000000002</v>
      </c>
      <c r="J134" s="1">
        <v>3.5550000000000002</v>
      </c>
    </row>
    <row r="135" spans="1:10" x14ac:dyDescent="0.3">
      <c r="A135" s="2">
        <v>40888</v>
      </c>
      <c r="B135" s="1">
        <v>1.3035000000000001</v>
      </c>
      <c r="C135" s="1">
        <v>1.552</v>
      </c>
      <c r="D135" s="1">
        <v>0.15752000504064018</v>
      </c>
      <c r="E135" s="1">
        <v>24.29</v>
      </c>
      <c r="F135" s="1">
        <v>93.53</v>
      </c>
      <c r="G135" s="1">
        <f>VLOOKUP(A135,[1]黄金期货历史数据!$A:$B,2,)</f>
        <v>1597.9</v>
      </c>
      <c r="H135" s="1">
        <v>80.248999999999995</v>
      </c>
      <c r="I135" s="1">
        <v>3.1269999999999998</v>
      </c>
      <c r="J135" s="1">
        <v>3.33</v>
      </c>
    </row>
    <row r="136" spans="1:10" x14ac:dyDescent="0.3">
      <c r="A136" s="2">
        <v>40895</v>
      </c>
      <c r="B136" s="1">
        <v>1.3043</v>
      </c>
      <c r="C136" s="1">
        <v>1.5590999999999999</v>
      </c>
      <c r="D136" s="1">
        <v>0.15779590677417829</v>
      </c>
      <c r="E136" s="1">
        <v>20.73</v>
      </c>
      <c r="F136" s="1">
        <v>99.68</v>
      </c>
      <c r="G136" s="1">
        <f>VLOOKUP(A136,[1]黄金期货历史数据!$A:$B,2,)</f>
        <v>1606</v>
      </c>
      <c r="H136" s="1">
        <v>80.236000000000004</v>
      </c>
      <c r="I136" s="1">
        <v>3.1139999999999999</v>
      </c>
      <c r="J136" s="1">
        <v>3.4670000000000001</v>
      </c>
    </row>
    <row r="137" spans="1:10" x14ac:dyDescent="0.3">
      <c r="A137" s="2">
        <v>40902</v>
      </c>
      <c r="B137" s="1">
        <v>1.2948</v>
      </c>
      <c r="C137" s="1">
        <v>1.5537000000000001</v>
      </c>
      <c r="D137" s="1">
        <v>0.15888399879248161</v>
      </c>
      <c r="E137" s="1">
        <v>23.4</v>
      </c>
      <c r="F137" s="1">
        <v>98.83</v>
      </c>
      <c r="G137" s="1">
        <f>VLOOKUP(A137,[1]黄金期货历史数据!$A:$B,2,)</f>
        <v>1568</v>
      </c>
      <c r="H137" s="1">
        <v>80.522000000000006</v>
      </c>
      <c r="I137" s="1">
        <v>2.9889999999999999</v>
      </c>
      <c r="J137" s="1">
        <v>3.4359999999999999</v>
      </c>
    </row>
    <row r="138" spans="1:10" x14ac:dyDescent="0.3">
      <c r="A138" s="2">
        <v>40909</v>
      </c>
      <c r="B138" s="1">
        <v>1.2721</v>
      </c>
      <c r="C138" s="1">
        <v>1.5434000000000001</v>
      </c>
      <c r="D138" s="1">
        <v>0.15849367610232351</v>
      </c>
      <c r="E138" s="1">
        <v>20.63</v>
      </c>
      <c r="F138" s="1">
        <v>101.56</v>
      </c>
      <c r="G138" s="1">
        <f>VLOOKUP(A138,[1]黄金期货历史数据!$A:$B,2,)</f>
        <v>1618.1</v>
      </c>
      <c r="H138" s="1">
        <v>81.596999999999994</v>
      </c>
      <c r="I138" s="1">
        <v>3.0619999999999998</v>
      </c>
      <c r="J138" s="1">
        <v>3.4350000000000001</v>
      </c>
    </row>
    <row r="139" spans="1:10" x14ac:dyDescent="0.3">
      <c r="A139" s="2">
        <v>40916</v>
      </c>
      <c r="B139" s="1">
        <v>1.2677</v>
      </c>
      <c r="C139" s="1">
        <v>1.5319</v>
      </c>
      <c r="D139" s="1">
        <v>0.15855901566563074</v>
      </c>
      <c r="E139" s="1">
        <v>20.91</v>
      </c>
      <c r="F139" s="1">
        <v>98.7</v>
      </c>
      <c r="G139" s="1">
        <f>VLOOKUP(A139,[1]黄金期货历史数据!$A:$B,2,)</f>
        <v>1632.2</v>
      </c>
      <c r="H139" s="1">
        <v>81.790999999999997</v>
      </c>
      <c r="I139" s="1">
        <v>2.67</v>
      </c>
      <c r="J139" s="1">
        <v>3.637</v>
      </c>
    </row>
    <row r="140" spans="1:10" x14ac:dyDescent="0.3">
      <c r="A140" s="2">
        <v>40923</v>
      </c>
      <c r="B140" s="1">
        <v>1.2938000000000001</v>
      </c>
      <c r="C140" s="1">
        <v>1.5570999999999999</v>
      </c>
      <c r="D140" s="1">
        <v>0.15787811809283234</v>
      </c>
      <c r="E140" s="1">
        <v>18.28</v>
      </c>
      <c r="F140" s="1">
        <v>98.46</v>
      </c>
      <c r="G140" s="1">
        <f>VLOOKUP(A140,[1]黄金期货历史数据!$A:$B,2,)</f>
        <v>1665.2</v>
      </c>
      <c r="H140" s="1">
        <v>80.406000000000006</v>
      </c>
      <c r="I140" s="1">
        <v>2.343</v>
      </c>
      <c r="J140" s="1">
        <v>3.7450000000000001</v>
      </c>
    </row>
    <row r="141" spans="1:10" x14ac:dyDescent="0.3">
      <c r="A141" s="2">
        <v>40930</v>
      </c>
      <c r="B141" s="1">
        <v>1.3226</v>
      </c>
      <c r="C141" s="1">
        <v>1.5733999999999999</v>
      </c>
      <c r="D141" s="1">
        <v>0.15787811809283234</v>
      </c>
      <c r="E141" s="1">
        <v>18.53</v>
      </c>
      <c r="F141" s="1">
        <v>99.56</v>
      </c>
      <c r="G141" s="1">
        <f>VLOOKUP(A141,[1]黄金期货历史数据!$A:$B,2,)</f>
        <v>1734</v>
      </c>
      <c r="H141" s="1">
        <v>79.010999999999996</v>
      </c>
      <c r="I141" s="1">
        <v>2.6779999999999999</v>
      </c>
      <c r="J141" s="1">
        <v>3.8889999999999998</v>
      </c>
    </row>
    <row r="142" spans="1:10" x14ac:dyDescent="0.3">
      <c r="A142" s="2">
        <v>40937</v>
      </c>
      <c r="B142" s="1">
        <v>1.3144</v>
      </c>
      <c r="C142" s="1">
        <v>1.5812999999999999</v>
      </c>
      <c r="D142" s="1">
        <v>0.15865460891638902</v>
      </c>
      <c r="E142" s="1">
        <v>17.100000000000001</v>
      </c>
      <c r="F142" s="1">
        <v>97.84</v>
      </c>
      <c r="G142" s="1">
        <f>VLOOKUP(A142,[1]黄金期货历史数据!$A:$B,2,)</f>
        <v>1740.3</v>
      </c>
      <c r="H142" s="1">
        <v>79.057000000000002</v>
      </c>
      <c r="I142" s="1">
        <v>2.4990000000000001</v>
      </c>
      <c r="J142" s="1">
        <v>3.9085000000000001</v>
      </c>
    </row>
    <row r="143" spans="1:10" x14ac:dyDescent="0.3">
      <c r="A143" s="2">
        <v>40944</v>
      </c>
      <c r="B143" s="1">
        <v>1.3174999999999999</v>
      </c>
      <c r="C143" s="1">
        <v>1.5739000000000001</v>
      </c>
      <c r="D143" s="1">
        <v>0.15874275736169538</v>
      </c>
      <c r="E143" s="1">
        <v>20.79</v>
      </c>
      <c r="F143" s="1">
        <v>98.67</v>
      </c>
      <c r="G143" s="1">
        <f>VLOOKUP(A143,[1]黄金期货历史数据!$A:$B,2,)</f>
        <v>1725.3</v>
      </c>
      <c r="H143" s="1">
        <v>79.225999999999999</v>
      </c>
      <c r="I143" s="1">
        <v>2.4769999999999999</v>
      </c>
      <c r="J143" s="1">
        <v>3.8660000000000001</v>
      </c>
    </row>
    <row r="144" spans="1:10" x14ac:dyDescent="0.3">
      <c r="A144" s="2">
        <v>40951</v>
      </c>
      <c r="B144" s="1">
        <v>1.3151999999999999</v>
      </c>
      <c r="C144" s="1">
        <v>1.5837000000000001</v>
      </c>
      <c r="D144" s="1">
        <v>0.15876039880612181</v>
      </c>
      <c r="E144" s="1">
        <v>17.78</v>
      </c>
      <c r="F144" s="1">
        <v>103.24</v>
      </c>
      <c r="G144" s="1">
        <f>VLOOKUP(A144,[1]黄金期货历史数据!$A:$B,2,)</f>
        <v>1725.9</v>
      </c>
      <c r="H144" s="1">
        <v>79.456000000000003</v>
      </c>
      <c r="I144" s="1">
        <v>2.6840000000000002</v>
      </c>
      <c r="J144" s="1">
        <v>3.7134999999999998</v>
      </c>
    </row>
    <row r="145" spans="1:10" x14ac:dyDescent="0.3">
      <c r="A145" s="2">
        <v>40958</v>
      </c>
      <c r="B145" s="1">
        <v>1.3456999999999999</v>
      </c>
      <c r="C145" s="1">
        <v>1.5888</v>
      </c>
      <c r="D145" s="1">
        <v>0.15878560767252056</v>
      </c>
      <c r="E145" s="1">
        <v>17.309999999999999</v>
      </c>
      <c r="F145" s="1">
        <v>109.77</v>
      </c>
      <c r="G145" s="1">
        <f>VLOOKUP(A145,[1]黄金期货历史数据!$A:$B,2,)</f>
        <v>1776.4</v>
      </c>
      <c r="H145" s="1">
        <v>78.400999999999996</v>
      </c>
      <c r="I145" s="1">
        <v>2.5499999999999998</v>
      </c>
      <c r="J145" s="1">
        <v>3.8675000000000002</v>
      </c>
    </row>
    <row r="146" spans="1:10" x14ac:dyDescent="0.3">
      <c r="A146" s="2">
        <v>40965</v>
      </c>
      <c r="B146" s="1">
        <v>1.3203</v>
      </c>
      <c r="C146" s="1">
        <v>1.5837000000000001</v>
      </c>
      <c r="D146" s="1">
        <v>0.15875535799333226</v>
      </c>
      <c r="E146" s="1">
        <v>17.29</v>
      </c>
      <c r="F146" s="1">
        <v>106.7</v>
      </c>
      <c r="G146" s="1">
        <f>VLOOKUP(A146,[1]黄金期货历史数据!$A:$B,2,)</f>
        <v>1711.1</v>
      </c>
      <c r="H146" s="1">
        <v>79.462000000000003</v>
      </c>
      <c r="I146" s="1">
        <v>2.484</v>
      </c>
      <c r="J146" s="1">
        <v>3.903</v>
      </c>
    </row>
    <row r="147" spans="1:10" x14ac:dyDescent="0.3">
      <c r="A147" s="2">
        <v>40972</v>
      </c>
      <c r="B147" s="1">
        <v>1.3113999999999999</v>
      </c>
      <c r="C147" s="1">
        <v>1.5676000000000001</v>
      </c>
      <c r="D147" s="1">
        <v>0.15846102651052973</v>
      </c>
      <c r="E147" s="1">
        <v>17.11</v>
      </c>
      <c r="F147" s="1">
        <v>107.4</v>
      </c>
      <c r="G147" s="1">
        <f>VLOOKUP(A147,[1]黄金期货历史数据!$A:$B,2,)</f>
        <v>1712.7</v>
      </c>
      <c r="H147" s="1">
        <v>80.084000000000003</v>
      </c>
      <c r="I147" s="1">
        <v>2.3239999999999998</v>
      </c>
      <c r="J147" s="1">
        <v>3.8584999999999998</v>
      </c>
    </row>
    <row r="148" spans="1:10" x14ac:dyDescent="0.3">
      <c r="A148" s="2">
        <v>40979</v>
      </c>
      <c r="B148" s="1">
        <v>1.3174999999999999</v>
      </c>
      <c r="C148" s="1">
        <v>1.5845</v>
      </c>
      <c r="D148" s="1">
        <v>0.15815277558121144</v>
      </c>
      <c r="E148" s="1">
        <v>14.47</v>
      </c>
      <c r="F148" s="1">
        <v>107.06</v>
      </c>
      <c r="G148" s="1">
        <f>VLOOKUP(A148,[1]黄金期货历史数据!$A:$B,2,)</f>
        <v>1656.6</v>
      </c>
      <c r="H148" s="1">
        <v>79.733999999999995</v>
      </c>
      <c r="I148" s="1">
        <v>2.3260000000000001</v>
      </c>
      <c r="J148" s="1">
        <v>3.8780000000000001</v>
      </c>
    </row>
    <row r="149" spans="1:10" x14ac:dyDescent="0.3">
      <c r="A149" s="2">
        <v>40986</v>
      </c>
      <c r="B149" s="1">
        <v>1.3272999999999999</v>
      </c>
      <c r="C149" s="1">
        <v>1.5868</v>
      </c>
      <c r="D149" s="1">
        <v>0.15857661629216158</v>
      </c>
      <c r="E149" s="1">
        <v>14.82</v>
      </c>
      <c r="F149" s="1">
        <v>106.87</v>
      </c>
      <c r="G149" s="1">
        <f>VLOOKUP(A149,[1]黄金期货历史数据!$A:$B,2,)</f>
        <v>1663.2</v>
      </c>
      <c r="H149" s="1">
        <v>79.575999999999993</v>
      </c>
      <c r="I149" s="1">
        <v>2.2749999999999999</v>
      </c>
      <c r="J149" s="1">
        <v>3.8085</v>
      </c>
    </row>
    <row r="150" spans="1:10" x14ac:dyDescent="0.3">
      <c r="A150" s="2">
        <v>40993</v>
      </c>
      <c r="B150" s="1">
        <v>1.3344</v>
      </c>
      <c r="C150" s="1">
        <v>1.6012999999999999</v>
      </c>
      <c r="D150" s="1">
        <v>0.15878056525881232</v>
      </c>
      <c r="E150" s="1">
        <v>15.5</v>
      </c>
      <c r="F150" s="1">
        <v>103.02</v>
      </c>
      <c r="G150" s="1">
        <f>VLOOKUP(A150,[1]黄金期货历史数据!$A:$B,2,)</f>
        <v>1671.9</v>
      </c>
      <c r="H150" s="1">
        <v>79.138000000000005</v>
      </c>
      <c r="I150" s="1">
        <v>2.1259999999999999</v>
      </c>
      <c r="J150" s="1">
        <v>3.8294999999999999</v>
      </c>
    </row>
    <row r="151" spans="1:10" x14ac:dyDescent="0.3">
      <c r="A151" s="2">
        <v>41000</v>
      </c>
      <c r="B151" s="1">
        <v>1.3096000000000001</v>
      </c>
      <c r="C151" s="1">
        <v>1.5886</v>
      </c>
      <c r="D151" s="1">
        <v>0.15854895991882292</v>
      </c>
      <c r="E151" s="1">
        <v>16.7</v>
      </c>
      <c r="F151" s="1">
        <v>103.31</v>
      </c>
      <c r="G151" s="1">
        <f>VLOOKUP(A151,[1]黄金期货历史数据!$A:$B,2,)</f>
        <v>1630.1</v>
      </c>
      <c r="H151" s="1">
        <v>80.293000000000006</v>
      </c>
      <c r="I151" s="1">
        <v>2.089</v>
      </c>
      <c r="J151" s="1">
        <v>3.8010000000000002</v>
      </c>
    </row>
    <row r="152" spans="1:10" x14ac:dyDescent="0.3">
      <c r="A152" s="2">
        <v>41007</v>
      </c>
      <c r="B152" s="1">
        <v>1.3077000000000001</v>
      </c>
      <c r="C152" s="1">
        <v>1.5848</v>
      </c>
      <c r="D152" s="1">
        <v>0.15864202427222973</v>
      </c>
      <c r="E152" s="1">
        <v>19.55</v>
      </c>
      <c r="F152" s="1">
        <v>102.83</v>
      </c>
      <c r="G152" s="1">
        <f>VLOOKUP(A152,[1]黄金期货历史数据!$A:$B,2,)</f>
        <v>1660.2</v>
      </c>
      <c r="H152" s="1">
        <v>80.055000000000007</v>
      </c>
      <c r="I152" s="1">
        <v>1.9810000000000001</v>
      </c>
      <c r="J152" s="1">
        <v>3.6315</v>
      </c>
    </row>
    <row r="153" spans="1:10" x14ac:dyDescent="0.3">
      <c r="A153" s="2">
        <v>41014</v>
      </c>
      <c r="B153" s="1">
        <v>1.3224</v>
      </c>
      <c r="C153" s="1">
        <v>1.6126</v>
      </c>
      <c r="D153" s="1">
        <v>0.15851377484703419</v>
      </c>
      <c r="E153" s="1">
        <v>17.440000000000001</v>
      </c>
      <c r="F153" s="1">
        <v>103.05</v>
      </c>
      <c r="G153" s="1">
        <f>VLOOKUP(A153,[1]黄金期货历史数据!$A:$B,2,)</f>
        <v>1642.8</v>
      </c>
      <c r="H153" s="1">
        <v>79.313000000000002</v>
      </c>
      <c r="I153" s="1">
        <v>1.927</v>
      </c>
      <c r="J153" s="1">
        <v>3.7029999999999998</v>
      </c>
    </row>
    <row r="154" spans="1:10" x14ac:dyDescent="0.3">
      <c r="A154" s="2">
        <v>41021</v>
      </c>
      <c r="B154" s="1">
        <v>1.3254999999999999</v>
      </c>
      <c r="C154" s="1">
        <v>1.6267</v>
      </c>
      <c r="D154" s="1">
        <v>0.15848111697491243</v>
      </c>
      <c r="E154" s="1">
        <v>16.32</v>
      </c>
      <c r="F154" s="1">
        <v>104.93</v>
      </c>
      <c r="G154" s="1">
        <f>VLOOKUP(A154,[1]黄金期货历史数据!$A:$B,2,)</f>
        <v>1666</v>
      </c>
      <c r="H154" s="1">
        <v>78.757000000000005</v>
      </c>
      <c r="I154" s="1">
        <v>2.1859999999999999</v>
      </c>
      <c r="J154" s="1">
        <v>3.8250000000000002</v>
      </c>
    </row>
    <row r="155" spans="1:10" x14ac:dyDescent="0.3">
      <c r="A155" s="2">
        <v>41028</v>
      </c>
      <c r="B155" s="1">
        <v>1.3083</v>
      </c>
      <c r="C155" s="1">
        <v>1.6154999999999999</v>
      </c>
      <c r="D155" s="1">
        <v>0.1585791309863622</v>
      </c>
      <c r="E155" s="1">
        <v>19.16</v>
      </c>
      <c r="F155" s="1">
        <v>98.49</v>
      </c>
      <c r="G155" s="1">
        <f>VLOOKUP(A155,[1]黄金期货历史数据!$A:$B,2,)</f>
        <v>1646.3</v>
      </c>
      <c r="H155" s="1">
        <v>79.587000000000003</v>
      </c>
      <c r="I155" s="1">
        <v>2.2789999999999999</v>
      </c>
      <c r="J155" s="1">
        <v>3.7210000000000001</v>
      </c>
    </row>
    <row r="156" spans="1:10" x14ac:dyDescent="0.3">
      <c r="A156" s="2">
        <v>41035</v>
      </c>
      <c r="B156" s="1">
        <v>1.2917000000000001</v>
      </c>
      <c r="C156" s="1">
        <v>1.6073</v>
      </c>
      <c r="D156" s="1">
        <v>0.15847358245380494</v>
      </c>
      <c r="E156" s="1">
        <v>19.89</v>
      </c>
      <c r="F156" s="1">
        <v>96.13</v>
      </c>
      <c r="G156" s="1">
        <f>VLOOKUP(A156,[1]黄金期货历史数据!$A:$B,2,)</f>
        <v>1585.1</v>
      </c>
      <c r="H156" s="1">
        <v>80.403999999999996</v>
      </c>
      <c r="I156" s="1">
        <v>2.5089999999999999</v>
      </c>
      <c r="J156" s="1">
        <v>3.6480000000000001</v>
      </c>
    </row>
    <row r="157" spans="1:10" x14ac:dyDescent="0.3">
      <c r="A157" s="2">
        <v>41042</v>
      </c>
      <c r="B157" s="1">
        <v>1.2783</v>
      </c>
      <c r="C157" s="1">
        <v>1.5817000000000001</v>
      </c>
      <c r="D157" s="1">
        <v>0.15802032141333378</v>
      </c>
      <c r="E157" s="1">
        <v>25.1</v>
      </c>
      <c r="F157" s="1">
        <v>91.48</v>
      </c>
      <c r="G157" s="1">
        <f>VLOOKUP(A157,[1]黄金期货历史数据!$A:$B,2,)</f>
        <v>1593</v>
      </c>
      <c r="H157" s="1">
        <v>81.424000000000007</v>
      </c>
      <c r="I157" s="1">
        <v>2.742</v>
      </c>
      <c r="J157" s="1">
        <v>3.4685000000000001</v>
      </c>
    </row>
    <row r="158" spans="1:10" x14ac:dyDescent="0.3">
      <c r="A158" s="2">
        <v>41049</v>
      </c>
      <c r="B158" s="1">
        <v>1.2517</v>
      </c>
      <c r="C158" s="1">
        <v>1.5661</v>
      </c>
      <c r="D158" s="1">
        <v>0.15762677133084282</v>
      </c>
      <c r="E158" s="1">
        <v>21.76</v>
      </c>
      <c r="F158" s="1">
        <v>90.86</v>
      </c>
      <c r="G158" s="1">
        <f>VLOOKUP(A158,[1]黄金期货历史数据!$A:$B,2,)</f>
        <v>1570</v>
      </c>
      <c r="H158" s="1">
        <v>82.522999999999996</v>
      </c>
      <c r="I158" s="1">
        <v>2.5680000000000001</v>
      </c>
      <c r="J158" s="1">
        <v>3.448</v>
      </c>
    </row>
    <row r="159" spans="1:10" x14ac:dyDescent="0.3">
      <c r="A159" s="2">
        <v>41056</v>
      </c>
      <c r="B159" s="1">
        <v>1.2435</v>
      </c>
      <c r="C159" s="1">
        <v>1.5363</v>
      </c>
      <c r="D159" s="1">
        <v>0.156998194520763</v>
      </c>
      <c r="E159" s="1">
        <v>26.66</v>
      </c>
      <c r="F159" s="1">
        <v>83.23</v>
      </c>
      <c r="G159" s="1">
        <f>VLOOKUP(A159,[1]黄金期货历史数据!$A:$B,2,)</f>
        <v>1622.1</v>
      </c>
      <c r="H159" s="1">
        <v>82.972999999999999</v>
      </c>
      <c r="I159" s="1">
        <v>2.3260000000000001</v>
      </c>
      <c r="J159" s="1">
        <v>3.32</v>
      </c>
    </row>
    <row r="160" spans="1:10" x14ac:dyDescent="0.3">
      <c r="A160" s="2">
        <v>41063</v>
      </c>
      <c r="B160" s="1">
        <v>1.2517</v>
      </c>
      <c r="C160" s="1">
        <v>1.5474000000000001</v>
      </c>
      <c r="D160" s="1">
        <v>0.15698094251357886</v>
      </c>
      <c r="E160" s="1">
        <v>21.23</v>
      </c>
      <c r="F160" s="1">
        <v>84.1</v>
      </c>
      <c r="G160" s="1">
        <f>VLOOKUP(A160,[1]黄金期货历史数据!$A:$B,2,)</f>
        <v>1591.4</v>
      </c>
      <c r="H160" s="1">
        <v>82.561999999999998</v>
      </c>
      <c r="I160" s="1">
        <v>2.2989999999999999</v>
      </c>
      <c r="J160" s="1">
        <v>3.2909999999999999</v>
      </c>
    </row>
    <row r="161" spans="1:10" x14ac:dyDescent="0.3">
      <c r="A161" s="2">
        <v>41070</v>
      </c>
      <c r="B161" s="1">
        <v>1.2638</v>
      </c>
      <c r="C161" s="1">
        <v>1.5717000000000001</v>
      </c>
      <c r="D161" s="1">
        <v>0.15709438230488879</v>
      </c>
      <c r="E161" s="1">
        <v>21.11</v>
      </c>
      <c r="F161" s="1">
        <v>84.03</v>
      </c>
      <c r="G161" s="1">
        <f>VLOOKUP(A161,[1]黄金期货历史数据!$A:$B,2,)</f>
        <v>1628.1</v>
      </c>
      <c r="H161" s="1">
        <v>81.605000000000004</v>
      </c>
      <c r="I161" s="1">
        <v>2.4670000000000001</v>
      </c>
      <c r="J161" s="1">
        <v>3.3875000000000002</v>
      </c>
    </row>
    <row r="162" spans="1:10" x14ac:dyDescent="0.3">
      <c r="A162" s="2">
        <v>41077</v>
      </c>
      <c r="B162" s="1">
        <v>1.2569999999999999</v>
      </c>
      <c r="C162" s="1">
        <v>1.5589999999999999</v>
      </c>
      <c r="D162" s="1">
        <v>0.15711165925623341</v>
      </c>
      <c r="E162" s="1">
        <v>18.11</v>
      </c>
      <c r="F162" s="1">
        <v>79.760000000000005</v>
      </c>
      <c r="G162" s="1">
        <f>VLOOKUP(A162,[1]黄金期货历史数据!$A:$B,2,)</f>
        <v>1566.9</v>
      </c>
      <c r="H162" s="1">
        <v>82.441999999999993</v>
      </c>
      <c r="I162" s="1">
        <v>2.625</v>
      </c>
      <c r="J162" s="1">
        <v>3.3125</v>
      </c>
    </row>
    <row r="163" spans="1:10" x14ac:dyDescent="0.3">
      <c r="A163" s="2">
        <v>41084</v>
      </c>
      <c r="B163" s="1">
        <v>1.266</v>
      </c>
      <c r="C163" s="1">
        <v>1.5709</v>
      </c>
      <c r="D163" s="1">
        <v>0.15738860821253758</v>
      </c>
      <c r="E163" s="1">
        <v>17.079999999999998</v>
      </c>
      <c r="F163" s="1">
        <v>84.96</v>
      </c>
      <c r="G163" s="1">
        <f>VLOOKUP(A163,[1]黄金期货历史数据!$A:$B,2,)</f>
        <v>1605.3</v>
      </c>
      <c r="H163" s="1">
        <v>81.753</v>
      </c>
      <c r="I163" s="1">
        <v>2.8239999999999998</v>
      </c>
      <c r="J163" s="1">
        <v>3.4965000000000002</v>
      </c>
    </row>
    <row r="164" spans="1:10" x14ac:dyDescent="0.3">
      <c r="A164" s="2">
        <v>41091</v>
      </c>
      <c r="B164" s="1">
        <v>1.2287999999999999</v>
      </c>
      <c r="C164" s="1">
        <v>1.5489999999999999</v>
      </c>
      <c r="D164" s="1">
        <v>0.15712400226258563</v>
      </c>
      <c r="E164" s="1">
        <v>17.100000000000001</v>
      </c>
      <c r="F164" s="1">
        <v>84.45</v>
      </c>
      <c r="G164" s="1">
        <f>VLOOKUP(A164,[1]黄金期货历史数据!$A:$B,2,)</f>
        <v>1580</v>
      </c>
      <c r="H164" s="1">
        <v>83.561000000000007</v>
      </c>
      <c r="I164" s="1">
        <v>2.7759999999999998</v>
      </c>
      <c r="J164" s="1">
        <v>3.4095</v>
      </c>
    </row>
    <row r="165" spans="1:10" x14ac:dyDescent="0.3">
      <c r="A165" s="2">
        <v>41098</v>
      </c>
      <c r="B165" s="1">
        <v>1.2252000000000001</v>
      </c>
      <c r="C165" s="1">
        <v>1.5575000000000001</v>
      </c>
      <c r="D165" s="1">
        <v>0.15675946827188361</v>
      </c>
      <c r="E165" s="1">
        <v>16.739999999999998</v>
      </c>
      <c r="F165" s="1">
        <v>87.1</v>
      </c>
      <c r="G165" s="1">
        <f>VLOOKUP(A165,[1]黄金期货历史数据!$A:$B,2,)</f>
        <v>1593.2</v>
      </c>
      <c r="H165" s="1">
        <v>83.474000000000004</v>
      </c>
      <c r="I165" s="1">
        <v>2.8740000000000001</v>
      </c>
      <c r="J165" s="1">
        <v>3.504</v>
      </c>
    </row>
    <row r="166" spans="1:10" x14ac:dyDescent="0.3">
      <c r="A166" s="2">
        <v>41105</v>
      </c>
      <c r="B166" s="1">
        <v>1.2157</v>
      </c>
      <c r="C166" s="1">
        <v>1.5621</v>
      </c>
      <c r="D166" s="1">
        <v>0.1568947393193906</v>
      </c>
      <c r="E166" s="1">
        <v>16.27</v>
      </c>
      <c r="F166" s="1">
        <v>91.44</v>
      </c>
      <c r="G166" s="1">
        <f>VLOOKUP(A166,[1]黄金期货历史数据!$A:$B,2,)</f>
        <v>1583.9</v>
      </c>
      <c r="H166" s="1">
        <v>83.572999999999993</v>
      </c>
      <c r="I166" s="1">
        <v>3.081</v>
      </c>
      <c r="J166" s="1">
        <v>3.448</v>
      </c>
    </row>
    <row r="167" spans="1:10" x14ac:dyDescent="0.3">
      <c r="A167" s="2">
        <v>41112</v>
      </c>
      <c r="B167" s="1">
        <v>1.2319</v>
      </c>
      <c r="C167" s="1">
        <v>1.5749</v>
      </c>
      <c r="D167" s="1">
        <v>0.15671770439906596</v>
      </c>
      <c r="E167" s="1">
        <v>16.7</v>
      </c>
      <c r="F167" s="1">
        <v>90.13</v>
      </c>
      <c r="G167" s="1">
        <f>VLOOKUP(A167,[1]黄金期货历史数据!$A:$B,2,)</f>
        <v>1619.2</v>
      </c>
      <c r="H167" s="1">
        <v>82.765000000000001</v>
      </c>
      <c r="I167" s="1">
        <v>3.01</v>
      </c>
      <c r="J167" s="1">
        <v>3.4260000000000002</v>
      </c>
    </row>
    <row r="168" spans="1:10" x14ac:dyDescent="0.3">
      <c r="A168" s="2">
        <v>41119</v>
      </c>
      <c r="B168" s="1">
        <v>1.2386999999999999</v>
      </c>
      <c r="C168" s="1">
        <v>1.5643</v>
      </c>
      <c r="D168" s="1">
        <v>0.15692674659468961</v>
      </c>
      <c r="E168" s="1">
        <v>15.64</v>
      </c>
      <c r="F168" s="1">
        <v>91.4</v>
      </c>
      <c r="G168" s="1">
        <f>VLOOKUP(A168,[1]黄金期货历史数据!$A:$B,2,)</f>
        <v>1607.1</v>
      </c>
      <c r="H168" s="1">
        <v>82.445999999999998</v>
      </c>
      <c r="I168" s="1">
        <v>2.8769999999999998</v>
      </c>
      <c r="J168" s="1">
        <v>3.3725000000000001</v>
      </c>
    </row>
    <row r="169" spans="1:10" x14ac:dyDescent="0.3">
      <c r="A169" s="2">
        <v>41126</v>
      </c>
      <c r="B169" s="1">
        <v>1.2290000000000001</v>
      </c>
      <c r="C169" s="1">
        <v>1.569</v>
      </c>
      <c r="D169" s="1">
        <v>0.15722281617508332</v>
      </c>
      <c r="E169" s="1">
        <v>14.74</v>
      </c>
      <c r="F169" s="1">
        <v>92.87</v>
      </c>
      <c r="G169" s="1">
        <f>VLOOKUP(A169,[1]黄金期货历史数据!$A:$B,2,)</f>
        <v>1620.7</v>
      </c>
      <c r="H169" s="1">
        <v>82.631</v>
      </c>
      <c r="I169" s="1">
        <v>2.77</v>
      </c>
      <c r="J169" s="1">
        <v>3.3980000000000001</v>
      </c>
    </row>
    <row r="170" spans="1:10" x14ac:dyDescent="0.3">
      <c r="A170" s="2">
        <v>41133</v>
      </c>
      <c r="B170" s="1">
        <v>1.2334000000000001</v>
      </c>
      <c r="C170" s="1">
        <v>1.5701000000000001</v>
      </c>
      <c r="D170" s="1">
        <v>0.15727474324898166</v>
      </c>
      <c r="E170" s="1">
        <v>13.45</v>
      </c>
      <c r="F170" s="1">
        <v>96.01</v>
      </c>
      <c r="G170" s="1">
        <f>VLOOKUP(A170,[1]黄金期货历史数据!$A:$B,2,)</f>
        <v>1617.3</v>
      </c>
      <c r="H170" s="1">
        <v>82.662999999999997</v>
      </c>
      <c r="I170" s="1">
        <v>2.7189999999999999</v>
      </c>
      <c r="J170" s="1">
        <v>3.4235000000000002</v>
      </c>
    </row>
    <row r="171" spans="1:10" x14ac:dyDescent="0.3">
      <c r="A171" s="2">
        <v>41140</v>
      </c>
      <c r="B171" s="1">
        <v>1.2513000000000001</v>
      </c>
      <c r="C171" s="1">
        <v>1.5811999999999999</v>
      </c>
      <c r="D171" s="1">
        <v>0.15736384093662958</v>
      </c>
      <c r="E171" s="1">
        <v>15.18</v>
      </c>
      <c r="F171" s="1">
        <v>96.15</v>
      </c>
      <c r="G171" s="1">
        <f>VLOOKUP(A171,[1]黄金期货历史数据!$A:$B,2,)</f>
        <v>1670.7</v>
      </c>
      <c r="H171" s="1">
        <v>81.602999999999994</v>
      </c>
      <c r="I171" s="1">
        <v>2.702</v>
      </c>
      <c r="J171" s="1">
        <v>3.4860000000000002</v>
      </c>
    </row>
    <row r="172" spans="1:10" x14ac:dyDescent="0.3">
      <c r="A172" s="2">
        <v>41147</v>
      </c>
      <c r="B172" s="1">
        <v>1.2577</v>
      </c>
      <c r="C172" s="1">
        <v>1.5867</v>
      </c>
      <c r="D172" s="1">
        <v>0.1575175238245255</v>
      </c>
      <c r="E172" s="1">
        <v>17.47</v>
      </c>
      <c r="F172" s="1">
        <v>96.47</v>
      </c>
      <c r="G172" s="1">
        <f>VLOOKUP(A172,[1]黄金期货历史数据!$A:$B,2,)</f>
        <v>1686.4</v>
      </c>
      <c r="H172" s="1">
        <v>81.215999999999994</v>
      </c>
      <c r="I172" s="1">
        <v>2.7989999999999999</v>
      </c>
      <c r="J172" s="1">
        <v>3.4575</v>
      </c>
    </row>
    <row r="173" spans="1:10" x14ac:dyDescent="0.3">
      <c r="A173" s="2">
        <v>41154</v>
      </c>
      <c r="B173" s="1">
        <v>1.2816000000000001</v>
      </c>
      <c r="C173" s="1">
        <v>1.6006</v>
      </c>
      <c r="D173" s="1">
        <v>0.15765659241041163</v>
      </c>
      <c r="E173" s="1">
        <v>14.38</v>
      </c>
      <c r="F173" s="1">
        <v>96.42</v>
      </c>
      <c r="G173" s="1">
        <f>VLOOKUP(A173,[1]黄金期货历史数据!$A:$B,2,)</f>
        <v>1739.3</v>
      </c>
      <c r="H173" s="1">
        <v>80.233999999999995</v>
      </c>
      <c r="I173" s="1">
        <v>2.6819999999999999</v>
      </c>
      <c r="J173" s="1">
        <v>3.6475</v>
      </c>
    </row>
    <row r="174" spans="1:10" x14ac:dyDescent="0.3">
      <c r="A174" s="2">
        <v>41161</v>
      </c>
      <c r="B174" s="1">
        <v>1.3127</v>
      </c>
      <c r="C174" s="1">
        <v>1.6216999999999999</v>
      </c>
      <c r="D174" s="1">
        <v>0.1583556350852745</v>
      </c>
      <c r="E174" s="1">
        <v>14.51</v>
      </c>
      <c r="F174" s="1">
        <v>99</v>
      </c>
      <c r="G174" s="1">
        <f>VLOOKUP(A174,[1]黄金期货历史数据!$A:$B,2,)</f>
        <v>1771.4</v>
      </c>
      <c r="H174" s="1">
        <v>78.840999999999994</v>
      </c>
      <c r="I174" s="1">
        <v>2.9430000000000001</v>
      </c>
      <c r="J174" s="1">
        <v>3.8370000000000002</v>
      </c>
    </row>
    <row r="175" spans="1:10" x14ac:dyDescent="0.3">
      <c r="A175" s="2">
        <v>41168</v>
      </c>
      <c r="B175" s="1">
        <v>1.298</v>
      </c>
      <c r="C175" s="1">
        <v>1.6229</v>
      </c>
      <c r="D175" s="1">
        <v>0.15859673607917149</v>
      </c>
      <c r="E175" s="1">
        <v>13.98</v>
      </c>
      <c r="F175" s="1">
        <v>92.89</v>
      </c>
      <c r="G175" s="1">
        <f>VLOOKUP(A175,[1]黄金期货历史数据!$A:$B,2,)</f>
        <v>1776.7</v>
      </c>
      <c r="H175" s="1">
        <v>79.397999999999996</v>
      </c>
      <c r="I175" s="1">
        <v>2.8849999999999998</v>
      </c>
      <c r="J175" s="1">
        <v>3.7930000000000001</v>
      </c>
    </row>
    <row r="176" spans="1:10" x14ac:dyDescent="0.3">
      <c r="A176" s="2">
        <v>41175</v>
      </c>
      <c r="B176" s="1">
        <v>1.2858000000000001</v>
      </c>
      <c r="C176" s="1">
        <v>1.6166</v>
      </c>
      <c r="D176" s="1">
        <v>0.15912164850027846</v>
      </c>
      <c r="E176" s="1">
        <v>15.73</v>
      </c>
      <c r="F176" s="1">
        <v>92.19</v>
      </c>
      <c r="G176" s="1">
        <f>VLOOKUP(A176,[1]黄金期货历史数据!$A:$B,2,)</f>
        <v>1773.9</v>
      </c>
      <c r="H176" s="1">
        <v>80.025000000000006</v>
      </c>
      <c r="I176" s="1">
        <v>3.32</v>
      </c>
      <c r="J176" s="1">
        <v>3.758</v>
      </c>
    </row>
    <row r="177" spans="1:10" x14ac:dyDescent="0.3">
      <c r="A177" s="2">
        <v>41182</v>
      </c>
      <c r="B177" s="1">
        <v>1.3033999999999999</v>
      </c>
      <c r="C177" s="1">
        <v>1.6136999999999999</v>
      </c>
      <c r="D177" s="1">
        <v>0.15912164850027846</v>
      </c>
      <c r="E177" s="1">
        <v>14.33</v>
      </c>
      <c r="F177" s="1">
        <v>89.88</v>
      </c>
      <c r="G177" s="1">
        <f>VLOOKUP(A177,[1]黄金期货历史数据!$A:$B,2,)</f>
        <v>1780.8</v>
      </c>
      <c r="H177" s="1">
        <v>79.427999999999997</v>
      </c>
      <c r="I177" s="1">
        <v>3.3959999999999999</v>
      </c>
      <c r="J177" s="1">
        <v>3.778</v>
      </c>
    </row>
    <row r="178" spans="1:10" x14ac:dyDescent="0.3">
      <c r="A178" s="2">
        <v>41189</v>
      </c>
      <c r="B178" s="1">
        <v>1.2949999999999999</v>
      </c>
      <c r="C178" s="1">
        <v>1.6072</v>
      </c>
      <c r="D178" s="1">
        <v>0.1595608884350268</v>
      </c>
      <c r="E178" s="1">
        <v>16.14</v>
      </c>
      <c r="F178" s="1">
        <v>91.86</v>
      </c>
      <c r="G178" s="1">
        <f>VLOOKUP(A178,[1]黄金期货历史数据!$A:$B,2,)</f>
        <v>1759.7</v>
      </c>
      <c r="H178" s="1">
        <v>79.739999999999995</v>
      </c>
      <c r="I178" s="1">
        <v>3.6110000000000002</v>
      </c>
      <c r="J178" s="1">
        <v>3.7029999999999998</v>
      </c>
    </row>
    <row r="179" spans="1:10" x14ac:dyDescent="0.3">
      <c r="A179" s="2">
        <v>41196</v>
      </c>
      <c r="B179" s="1">
        <v>1.3022</v>
      </c>
      <c r="C179" s="1">
        <v>1.6005</v>
      </c>
      <c r="D179" s="1">
        <v>0.15990277911030093</v>
      </c>
      <c r="E179" s="1">
        <v>17.059999999999999</v>
      </c>
      <c r="F179" s="1">
        <v>90.05</v>
      </c>
      <c r="G179" s="1">
        <f>VLOOKUP(A179,[1]黄金期货历史数据!$A:$B,2,)</f>
        <v>1724</v>
      </c>
      <c r="H179" s="1">
        <v>79.688000000000002</v>
      </c>
      <c r="I179" s="1">
        <v>3.617</v>
      </c>
      <c r="J179" s="1">
        <v>3.6375000000000002</v>
      </c>
    </row>
    <row r="180" spans="1:10" x14ac:dyDescent="0.3">
      <c r="A180" s="2">
        <v>41203</v>
      </c>
      <c r="B180" s="1">
        <v>1.2942</v>
      </c>
      <c r="C180" s="1">
        <v>1.6105</v>
      </c>
      <c r="D180" s="1">
        <v>0.16003840921821239</v>
      </c>
      <c r="E180" s="1">
        <v>17.809999999999999</v>
      </c>
      <c r="F180" s="1">
        <v>86.28</v>
      </c>
      <c r="G180" s="1">
        <f>VLOOKUP(A180,[1]黄金期货历史数据!$A:$B,2,)</f>
        <v>1711.9</v>
      </c>
      <c r="H180" s="1">
        <v>80.156000000000006</v>
      </c>
      <c r="I180" s="1">
        <v>3.4</v>
      </c>
      <c r="J180" s="1">
        <v>3.55</v>
      </c>
    </row>
    <row r="181" spans="1:10" x14ac:dyDescent="0.3">
      <c r="A181" s="2">
        <v>41210</v>
      </c>
      <c r="B181" s="1">
        <v>1.2837000000000001</v>
      </c>
      <c r="C181" s="1">
        <v>1.6025</v>
      </c>
      <c r="D181" s="1">
        <v>0.16021789633902106</v>
      </c>
      <c r="E181" s="1">
        <v>17.59</v>
      </c>
      <c r="F181" s="1">
        <v>84.86</v>
      </c>
      <c r="G181" s="1">
        <f>VLOOKUP(A181,[1]黄金期货历史数据!$A:$B,2,)</f>
        <v>1676.2</v>
      </c>
      <c r="H181" s="1">
        <v>80.683000000000007</v>
      </c>
      <c r="I181" s="1">
        <v>3.5539999999999998</v>
      </c>
      <c r="J181" s="1">
        <v>3.4870000000000001</v>
      </c>
    </row>
    <row r="182" spans="1:10" x14ac:dyDescent="0.3">
      <c r="A182" s="2">
        <v>41217</v>
      </c>
      <c r="B182" s="1">
        <v>1.2708999999999999</v>
      </c>
      <c r="C182" s="1">
        <v>1.5896999999999999</v>
      </c>
      <c r="D182" s="1">
        <v>0.16012297444437329</v>
      </c>
      <c r="E182" s="1">
        <v>18.61</v>
      </c>
      <c r="F182" s="1">
        <v>86.07</v>
      </c>
      <c r="G182" s="1">
        <f>VLOOKUP(A182,[1]黄金期货历史数据!$A:$B,2,)</f>
        <v>1731.9</v>
      </c>
      <c r="H182" s="1">
        <v>81.097999999999999</v>
      </c>
      <c r="I182" s="1">
        <v>3.5030000000000001</v>
      </c>
      <c r="J182" s="1">
        <v>3.452</v>
      </c>
    </row>
    <row r="183" spans="1:10" x14ac:dyDescent="0.3">
      <c r="A183" s="2">
        <v>41224</v>
      </c>
      <c r="B183" s="1">
        <v>1.2744</v>
      </c>
      <c r="C183" s="1">
        <v>1.5886</v>
      </c>
      <c r="D183" s="1">
        <v>0.16036949130797357</v>
      </c>
      <c r="E183" s="1">
        <v>16.41</v>
      </c>
      <c r="F183" s="1">
        <v>86.67</v>
      </c>
      <c r="G183" s="1">
        <f>VLOOKUP(A183,[1]黄金期货历史数据!$A:$B,2,)</f>
        <v>1715.7</v>
      </c>
      <c r="H183" s="1">
        <v>81.31</v>
      </c>
      <c r="I183" s="1">
        <v>3.79</v>
      </c>
      <c r="J183" s="1">
        <v>3.4575</v>
      </c>
    </row>
    <row r="184" spans="1:10" x14ac:dyDescent="0.3">
      <c r="A184" s="2">
        <v>41231</v>
      </c>
      <c r="B184" s="1">
        <v>1.2976000000000001</v>
      </c>
      <c r="C184" s="1">
        <v>1.6032999999999999</v>
      </c>
      <c r="D184" s="1">
        <v>0.16054714466903205</v>
      </c>
      <c r="E184" s="1">
        <v>15.14</v>
      </c>
      <c r="F184" s="1">
        <v>88.28</v>
      </c>
      <c r="G184" s="1">
        <f>VLOOKUP(A184,[1]黄金期货历史数据!$A:$B,2,)</f>
        <v>1752.5</v>
      </c>
      <c r="H184" s="1">
        <v>80.236000000000004</v>
      </c>
      <c r="I184" s="1">
        <v>3.9009999999999998</v>
      </c>
      <c r="J184" s="1">
        <v>3.5329999999999999</v>
      </c>
    </row>
    <row r="185" spans="1:10" x14ac:dyDescent="0.3">
      <c r="A185" s="2">
        <v>41238</v>
      </c>
      <c r="B185" s="1">
        <v>1.2986</v>
      </c>
      <c r="C185" s="1">
        <v>1.6012</v>
      </c>
      <c r="D185" s="1">
        <v>0.16059871199832976</v>
      </c>
      <c r="E185" s="1">
        <v>15.87</v>
      </c>
      <c r="F185" s="1">
        <v>88.91</v>
      </c>
      <c r="G185" s="1">
        <f>VLOOKUP(A185,[1]黄金期货历史数据!$A:$B,2,)</f>
        <v>1712.7</v>
      </c>
      <c r="H185" s="1">
        <v>80.162999999999997</v>
      </c>
      <c r="I185" s="1">
        <v>3.5609999999999999</v>
      </c>
      <c r="J185" s="1">
        <v>3.645</v>
      </c>
    </row>
    <row r="186" spans="1:10" x14ac:dyDescent="0.3">
      <c r="A186" s="2">
        <v>41245</v>
      </c>
      <c r="B186" s="1">
        <v>1.2927</v>
      </c>
      <c r="C186" s="1">
        <v>1.6037999999999999</v>
      </c>
      <c r="D186" s="1">
        <v>0.16051106723808606</v>
      </c>
      <c r="E186" s="1">
        <v>15.9</v>
      </c>
      <c r="F186" s="1">
        <v>85.93</v>
      </c>
      <c r="G186" s="1">
        <f>VLOOKUP(A186,[1]黄金期货历史数据!$A:$B,2,)</f>
        <v>1705.5</v>
      </c>
      <c r="H186" s="1">
        <v>80.402000000000001</v>
      </c>
      <c r="I186" s="1">
        <v>3.5510000000000002</v>
      </c>
      <c r="J186" s="1">
        <v>3.6579999999999999</v>
      </c>
    </row>
    <row r="187" spans="1:10" x14ac:dyDescent="0.3">
      <c r="A187" s="2">
        <v>41252</v>
      </c>
      <c r="B187" s="1">
        <v>1.3163</v>
      </c>
      <c r="C187" s="1">
        <v>1.6168</v>
      </c>
      <c r="D187" s="1">
        <v>0.16021789633902106</v>
      </c>
      <c r="E187" s="1">
        <v>17</v>
      </c>
      <c r="F187" s="1">
        <v>86.73</v>
      </c>
      <c r="G187" s="1">
        <f>VLOOKUP(A187,[1]黄金期货历史数据!$A:$B,2,)</f>
        <v>1697</v>
      </c>
      <c r="H187" s="1">
        <v>79.56</v>
      </c>
      <c r="I187" s="1">
        <v>3.3140000000000001</v>
      </c>
      <c r="J187" s="1">
        <v>3.6779999999999999</v>
      </c>
    </row>
    <row r="188" spans="1:10" x14ac:dyDescent="0.3">
      <c r="A188" s="2">
        <v>41259</v>
      </c>
      <c r="B188" s="1">
        <v>1.3188</v>
      </c>
      <c r="C188" s="1">
        <v>1.6172</v>
      </c>
      <c r="D188" s="1">
        <v>0.16054972224898051</v>
      </c>
      <c r="E188" s="1">
        <v>17.84</v>
      </c>
      <c r="F188" s="1">
        <v>88.66</v>
      </c>
      <c r="G188" s="1">
        <f>VLOOKUP(A188,[1]黄金期货历史数据!$A:$B,2,)</f>
        <v>1660.1</v>
      </c>
      <c r="H188" s="1">
        <v>79.712000000000003</v>
      </c>
      <c r="I188" s="1">
        <v>3.4510000000000001</v>
      </c>
      <c r="J188" s="1">
        <v>3.5619999999999998</v>
      </c>
    </row>
    <row r="189" spans="1:10" x14ac:dyDescent="0.3">
      <c r="A189" s="2">
        <v>41266</v>
      </c>
      <c r="B189" s="1">
        <v>1.3216000000000001</v>
      </c>
      <c r="C189" s="1">
        <v>1.617</v>
      </c>
      <c r="D189" s="1">
        <v>0.1604698557375997</v>
      </c>
      <c r="E189" s="1">
        <v>22.72</v>
      </c>
      <c r="F189" s="1">
        <v>90.8</v>
      </c>
      <c r="G189" s="1">
        <f>VLOOKUP(A189,[1]黄金期货历史数据!$A:$B,2,)</f>
        <v>1658.1</v>
      </c>
      <c r="H189" s="1">
        <v>79.784999999999997</v>
      </c>
      <c r="I189" s="1">
        <v>3.4689999999999999</v>
      </c>
      <c r="J189" s="1">
        <v>3.5895000000000001</v>
      </c>
    </row>
    <row r="190" spans="1:10" x14ac:dyDescent="0.3">
      <c r="A190" s="2">
        <v>41273</v>
      </c>
      <c r="B190" s="1">
        <v>1.3069</v>
      </c>
      <c r="C190" s="1">
        <v>1.6071</v>
      </c>
      <c r="D190" s="1">
        <v>0.16050076237862129</v>
      </c>
      <c r="E190" s="1">
        <v>13.83</v>
      </c>
      <c r="F190" s="1">
        <v>93.09</v>
      </c>
      <c r="G190" s="1">
        <f>VLOOKUP(A190,[1]黄金期货历史数据!$A:$B,2,)</f>
        <v>1649.9</v>
      </c>
      <c r="H190" s="1">
        <v>80.61</v>
      </c>
      <c r="I190" s="1">
        <v>3.2869999999999999</v>
      </c>
      <c r="J190" s="1">
        <v>3.6934999999999998</v>
      </c>
    </row>
    <row r="191" spans="1:10" x14ac:dyDescent="0.3">
      <c r="A191" s="2">
        <v>41280</v>
      </c>
      <c r="B191" s="1">
        <v>1.3344</v>
      </c>
      <c r="C191" s="1">
        <v>1.6132</v>
      </c>
      <c r="D191" s="1">
        <v>0.16087257283505735</v>
      </c>
      <c r="E191" s="1">
        <v>13.36</v>
      </c>
      <c r="F191" s="1">
        <v>93.56</v>
      </c>
      <c r="G191" s="1">
        <f>VLOOKUP(A191,[1]黄金期货历史数据!$A:$B,2,)</f>
        <v>1661.6</v>
      </c>
      <c r="H191" s="1">
        <v>79.611000000000004</v>
      </c>
      <c r="I191" s="1">
        <v>3.327</v>
      </c>
      <c r="J191" s="1">
        <v>3.6539999999999999</v>
      </c>
    </row>
    <row r="192" spans="1:10" x14ac:dyDescent="0.3">
      <c r="A192" s="2">
        <v>41287</v>
      </c>
      <c r="B192" s="1">
        <v>1.3319000000000001</v>
      </c>
      <c r="C192" s="1">
        <v>1.5868</v>
      </c>
      <c r="D192" s="1">
        <v>0.16089069086462657</v>
      </c>
      <c r="E192" s="1">
        <v>12.46</v>
      </c>
      <c r="F192" s="1">
        <v>95.56</v>
      </c>
      <c r="G192" s="1">
        <f>VLOOKUP(A192,[1]黄金期货历史数据!$A:$B,2,)</f>
        <v>1688</v>
      </c>
      <c r="H192" s="1">
        <v>80.116</v>
      </c>
      <c r="I192" s="1">
        <v>3.5659999999999998</v>
      </c>
      <c r="J192" s="1">
        <v>3.6789999999999998</v>
      </c>
    </row>
    <row r="193" spans="1:10" x14ac:dyDescent="0.3">
      <c r="A193" s="2">
        <v>41294</v>
      </c>
      <c r="B193" s="1">
        <v>1.3462000000000001</v>
      </c>
      <c r="C193" s="1">
        <v>1.5803</v>
      </c>
      <c r="D193" s="1">
        <v>0.16075878144843661</v>
      </c>
      <c r="E193" s="1">
        <v>12.89</v>
      </c>
      <c r="F193" s="1">
        <v>95.88</v>
      </c>
      <c r="G193" s="1">
        <f>VLOOKUP(A193,[1]黄金期货历史数据!$A:$B,2,)</f>
        <v>1657.6</v>
      </c>
      <c r="H193" s="1">
        <v>79.819999999999993</v>
      </c>
      <c r="I193" s="1">
        <v>3.444</v>
      </c>
      <c r="J193" s="1">
        <v>3.6520000000000001</v>
      </c>
    </row>
    <row r="194" spans="1:10" x14ac:dyDescent="0.3">
      <c r="A194" s="2">
        <v>41301</v>
      </c>
      <c r="B194" s="1">
        <v>1.3640000000000001</v>
      </c>
      <c r="C194" s="1">
        <v>1.5691999999999999</v>
      </c>
      <c r="D194" s="1">
        <v>0.1605806596653499</v>
      </c>
      <c r="E194" s="1">
        <v>12.9</v>
      </c>
      <c r="F194" s="1">
        <v>97.77</v>
      </c>
      <c r="G194" s="1">
        <f>VLOOKUP(A194,[1]黄金期货历史数据!$A:$B,2,)</f>
        <v>1670.6</v>
      </c>
      <c r="H194" s="1">
        <v>79.135000000000005</v>
      </c>
      <c r="I194" s="1">
        <v>3.3010000000000002</v>
      </c>
      <c r="J194" s="1">
        <v>3.7915000000000001</v>
      </c>
    </row>
    <row r="195" spans="1:10" x14ac:dyDescent="0.3">
      <c r="A195" s="2">
        <v>41308</v>
      </c>
      <c r="B195" s="1">
        <v>1.3365</v>
      </c>
      <c r="C195" s="1">
        <v>1.5798000000000001</v>
      </c>
      <c r="D195" s="1">
        <v>0.16044925792218212</v>
      </c>
      <c r="E195" s="1">
        <v>13.02</v>
      </c>
      <c r="F195" s="1">
        <v>95.72</v>
      </c>
      <c r="G195" s="1">
        <f>VLOOKUP(A195,[1]黄金期货历史数据!$A:$B,2,)</f>
        <v>1666.9</v>
      </c>
      <c r="H195" s="1">
        <v>80.316000000000003</v>
      </c>
      <c r="I195" s="1">
        <v>3.2719999999999998</v>
      </c>
      <c r="J195" s="1">
        <v>3.7685</v>
      </c>
    </row>
    <row r="196" spans="1:10" x14ac:dyDescent="0.3">
      <c r="A196" s="2">
        <v>41315</v>
      </c>
      <c r="B196" s="1">
        <v>1.3363</v>
      </c>
      <c r="C196" s="1">
        <v>1.5518000000000001</v>
      </c>
      <c r="D196" s="1">
        <v>0.16044925792218212</v>
      </c>
      <c r="E196" s="1">
        <v>12.46</v>
      </c>
      <c r="F196" s="1">
        <v>95.86</v>
      </c>
      <c r="G196" s="1">
        <f>VLOOKUP(A196,[1]黄金期货历史数据!$A:$B,2,)</f>
        <v>1609.5</v>
      </c>
      <c r="H196" s="1">
        <v>80.575999999999993</v>
      </c>
      <c r="I196" s="1">
        <v>3.153</v>
      </c>
      <c r="J196" s="1">
        <v>3.746</v>
      </c>
    </row>
    <row r="197" spans="1:10" x14ac:dyDescent="0.3">
      <c r="A197" s="2">
        <v>41322</v>
      </c>
      <c r="B197" s="1">
        <v>1.319</v>
      </c>
      <c r="C197" s="1">
        <v>1.5163</v>
      </c>
      <c r="D197" s="1">
        <v>0.16038235152603808</v>
      </c>
      <c r="E197" s="1">
        <v>14.17</v>
      </c>
      <c r="F197" s="1">
        <v>93.13</v>
      </c>
      <c r="G197" s="1">
        <f>VLOOKUP(A197,[1]黄金期货历史数据!$A:$B,2,)</f>
        <v>1572.8</v>
      </c>
      <c r="H197" s="1">
        <v>81.584999999999994</v>
      </c>
      <c r="I197" s="1">
        <v>3.2909999999999999</v>
      </c>
      <c r="J197" s="1">
        <v>3.5425</v>
      </c>
    </row>
    <row r="198" spans="1:10" x14ac:dyDescent="0.3">
      <c r="A198" s="2">
        <v>41329</v>
      </c>
      <c r="B198" s="1">
        <v>1.3022</v>
      </c>
      <c r="C198" s="1">
        <v>1.5038</v>
      </c>
      <c r="D198" s="1">
        <v>0.16070452865361745</v>
      </c>
      <c r="E198" s="1">
        <v>15.36</v>
      </c>
      <c r="F198" s="1">
        <v>90.68</v>
      </c>
      <c r="G198" s="1">
        <f>VLOOKUP(A198,[1]黄金期货历史数据!$A:$B,2,)</f>
        <v>1573.1</v>
      </c>
      <c r="H198" s="1">
        <v>82.358000000000004</v>
      </c>
      <c r="I198" s="1">
        <v>3.456</v>
      </c>
      <c r="J198" s="1">
        <v>3.5009999999999999</v>
      </c>
    </row>
    <row r="199" spans="1:10" x14ac:dyDescent="0.3">
      <c r="A199" s="2">
        <v>41336</v>
      </c>
      <c r="B199" s="1">
        <v>1.3006</v>
      </c>
      <c r="C199" s="1">
        <v>1.4917</v>
      </c>
      <c r="D199" s="1">
        <v>0.16090881297568668</v>
      </c>
      <c r="E199" s="1">
        <v>12.59</v>
      </c>
      <c r="F199" s="1">
        <v>91.95</v>
      </c>
      <c r="G199" s="1">
        <f>VLOOKUP(A199,[1]黄金期货历史数据!$A:$B,2,)</f>
        <v>1577.9</v>
      </c>
      <c r="H199" s="1">
        <v>82.730999999999995</v>
      </c>
      <c r="I199" s="1">
        <v>3.629</v>
      </c>
      <c r="J199" s="1">
        <v>3.5089999999999999</v>
      </c>
    </row>
    <row r="200" spans="1:10" x14ac:dyDescent="0.3">
      <c r="A200" s="2">
        <v>41343</v>
      </c>
      <c r="B200" s="1">
        <v>1.3076000000000001</v>
      </c>
      <c r="C200" s="1">
        <v>1.5116000000000001</v>
      </c>
      <c r="D200" s="1">
        <v>0.16093988895147662</v>
      </c>
      <c r="E200" s="1">
        <v>11.3</v>
      </c>
      <c r="F200" s="1">
        <v>93.45</v>
      </c>
      <c r="G200" s="1">
        <f>VLOOKUP(A200,[1]黄金期货历史数据!$A:$B,2,)</f>
        <v>1593.6</v>
      </c>
      <c r="H200" s="1">
        <v>82.256</v>
      </c>
      <c r="I200" s="1">
        <v>3.8719999999999999</v>
      </c>
      <c r="J200" s="1">
        <v>3.5205000000000002</v>
      </c>
    </row>
    <row r="201" spans="1:10" x14ac:dyDescent="0.3">
      <c r="A201" s="2">
        <v>41350</v>
      </c>
      <c r="B201" s="1">
        <v>1.2988</v>
      </c>
      <c r="C201" s="1">
        <v>1.5230999999999999</v>
      </c>
      <c r="D201" s="1">
        <v>0.16097356814011138</v>
      </c>
      <c r="E201" s="1">
        <v>13.57</v>
      </c>
      <c r="F201" s="1">
        <v>93.71</v>
      </c>
      <c r="G201" s="1">
        <f>VLOOKUP(A201,[1]黄金期货历史数据!$A:$B,2,)</f>
        <v>1607</v>
      </c>
      <c r="H201" s="1">
        <v>82.528999999999996</v>
      </c>
      <c r="I201" s="1">
        <v>3.927</v>
      </c>
      <c r="J201" s="1">
        <v>3.4660000000000002</v>
      </c>
    </row>
    <row r="202" spans="1:10" x14ac:dyDescent="0.3">
      <c r="A202" s="2">
        <v>41357</v>
      </c>
      <c r="B202" s="1">
        <v>1.282</v>
      </c>
      <c r="C202" s="1">
        <v>1.5203</v>
      </c>
      <c r="D202" s="1">
        <v>0.16100985380305274</v>
      </c>
      <c r="E202" s="1">
        <v>12.7</v>
      </c>
      <c r="F202" s="1">
        <v>97.23</v>
      </c>
      <c r="G202" s="1">
        <f>VLOOKUP(A202,[1]黄金期货历史数据!$A:$B,2,)</f>
        <v>1595.7</v>
      </c>
      <c r="H202" s="1">
        <v>83.174999999999997</v>
      </c>
      <c r="I202" s="1">
        <v>4.024</v>
      </c>
      <c r="J202" s="1">
        <v>3.4125000000000001</v>
      </c>
    </row>
    <row r="203" spans="1:10" x14ac:dyDescent="0.3">
      <c r="A203" s="2">
        <v>41364</v>
      </c>
      <c r="B203" s="1">
        <v>1.2989999999999999</v>
      </c>
      <c r="C203" s="1">
        <v>1.5335000000000001</v>
      </c>
      <c r="D203" s="1">
        <v>0.16125131016689509</v>
      </c>
      <c r="E203" s="1">
        <v>13.92</v>
      </c>
      <c r="F203" s="1">
        <v>92.7</v>
      </c>
      <c r="G203" s="1">
        <f>VLOOKUP(A203,[1]黄金期货历史数据!$A:$B,2,)</f>
        <v>1575.9</v>
      </c>
      <c r="H203" s="1">
        <v>82.602999999999994</v>
      </c>
      <c r="I203" s="1">
        <v>4.125</v>
      </c>
      <c r="J203" s="1">
        <v>3.3540000000000001</v>
      </c>
    </row>
    <row r="204" spans="1:10" x14ac:dyDescent="0.3">
      <c r="A204" s="2">
        <v>41371</v>
      </c>
      <c r="B204" s="1">
        <v>1.3111999999999999</v>
      </c>
      <c r="C204" s="1">
        <v>1.5342</v>
      </c>
      <c r="D204" s="1">
        <v>0.1615013162357273</v>
      </c>
      <c r="E204" s="1">
        <v>12.06</v>
      </c>
      <c r="F204" s="1">
        <v>91.29</v>
      </c>
      <c r="G204" s="1">
        <f>VLOOKUP(A204,[1]黄金期货历史数据!$A:$B,2,)</f>
        <v>1501.4</v>
      </c>
      <c r="H204" s="1">
        <v>82.406000000000006</v>
      </c>
      <c r="I204" s="1">
        <v>4.2220000000000004</v>
      </c>
      <c r="J204" s="1">
        <v>3.3605</v>
      </c>
    </row>
    <row r="205" spans="1:10" x14ac:dyDescent="0.3">
      <c r="A205" s="2">
        <v>41378</v>
      </c>
      <c r="B205" s="1">
        <v>1.3051999999999999</v>
      </c>
      <c r="C205" s="1">
        <v>1.5232000000000001</v>
      </c>
      <c r="D205" s="1">
        <v>0.16187516187516188</v>
      </c>
      <c r="E205" s="1">
        <v>14.97</v>
      </c>
      <c r="F205" s="1">
        <v>88.01</v>
      </c>
      <c r="G205" s="1">
        <f>VLOOKUP(A205,[1]黄金期货历史数据!$A:$B,2,)</f>
        <v>1395.6</v>
      </c>
      <c r="H205" s="1">
        <v>82.846000000000004</v>
      </c>
      <c r="I205" s="1">
        <v>4.4080000000000004</v>
      </c>
      <c r="J205" s="1">
        <v>3.1560000000000001</v>
      </c>
    </row>
    <row r="206" spans="1:10" x14ac:dyDescent="0.3">
      <c r="A206" s="2">
        <v>41385</v>
      </c>
      <c r="B206" s="1">
        <v>1.3028</v>
      </c>
      <c r="C206" s="1">
        <v>1.5479000000000001</v>
      </c>
      <c r="D206" s="1">
        <v>0.16220600162206</v>
      </c>
      <c r="E206" s="1">
        <v>13.61</v>
      </c>
      <c r="F206" s="1">
        <v>93</v>
      </c>
      <c r="G206" s="1">
        <f>VLOOKUP(A206,[1]黄金期货历史数据!$A:$B,2,)</f>
        <v>1453.6</v>
      </c>
      <c r="H206" s="1">
        <v>82.570999999999998</v>
      </c>
      <c r="I206" s="1">
        <v>4.1520000000000001</v>
      </c>
      <c r="J206" s="1">
        <v>3.1819999999999999</v>
      </c>
    </row>
    <row r="207" spans="1:10" x14ac:dyDescent="0.3">
      <c r="A207" s="2">
        <v>41392</v>
      </c>
      <c r="B207" s="1">
        <v>1.3115000000000001</v>
      </c>
      <c r="C207" s="1">
        <v>1.5572999999999999</v>
      </c>
      <c r="D207" s="1">
        <v>0.16245106161768766</v>
      </c>
      <c r="E207" s="1">
        <v>12.85</v>
      </c>
      <c r="F207" s="1">
        <v>95.61</v>
      </c>
      <c r="G207" s="1">
        <f>VLOOKUP(A207,[1]黄金期货历史数据!$A:$B,2,)</f>
        <v>1464.8</v>
      </c>
      <c r="H207" s="1">
        <v>82.194999999999993</v>
      </c>
      <c r="I207" s="1">
        <v>4.0410000000000004</v>
      </c>
      <c r="J207" s="1">
        <v>3.3144999999999998</v>
      </c>
    </row>
    <row r="208" spans="1:10" x14ac:dyDescent="0.3">
      <c r="A208" s="2">
        <v>41399</v>
      </c>
      <c r="B208" s="1">
        <v>1.2992999999999999</v>
      </c>
      <c r="C208" s="1">
        <v>1.5365</v>
      </c>
      <c r="D208" s="1">
        <v>0.16282136867642508</v>
      </c>
      <c r="E208" s="1">
        <v>12.59</v>
      </c>
      <c r="F208" s="1">
        <v>96.04</v>
      </c>
      <c r="G208" s="1">
        <f>VLOOKUP(A208,[1]黄金期货历史数据!$A:$B,2,)</f>
        <v>1437</v>
      </c>
      <c r="H208" s="1">
        <v>83.230999999999995</v>
      </c>
      <c r="I208" s="1">
        <v>3.91</v>
      </c>
      <c r="J208" s="1">
        <v>3.3530000000000002</v>
      </c>
    </row>
    <row r="209" spans="1:10" x14ac:dyDescent="0.3">
      <c r="A209" s="2">
        <v>41406</v>
      </c>
      <c r="B209" s="1">
        <v>1.2839</v>
      </c>
      <c r="C209" s="1">
        <v>1.5170999999999999</v>
      </c>
      <c r="D209" s="1">
        <v>0.16283462515469288</v>
      </c>
      <c r="E209" s="1">
        <v>12.45</v>
      </c>
      <c r="F209" s="1">
        <v>96.02</v>
      </c>
      <c r="G209" s="1">
        <f>VLOOKUP(A209,[1]黄金期货历史数据!$A:$B,2,)</f>
        <v>1365.3</v>
      </c>
      <c r="H209" s="1">
        <v>84.387</v>
      </c>
      <c r="I209" s="1">
        <v>4.0549999999999997</v>
      </c>
      <c r="J209" s="1">
        <v>3.323</v>
      </c>
    </row>
    <row r="210" spans="1:10" x14ac:dyDescent="0.3">
      <c r="A210" s="2">
        <v>41413</v>
      </c>
      <c r="B210" s="1">
        <v>1.2931999999999999</v>
      </c>
      <c r="C210" s="1">
        <v>1.5126999999999999</v>
      </c>
      <c r="D210" s="1">
        <v>0.16308956879118011</v>
      </c>
      <c r="E210" s="1">
        <v>13.99</v>
      </c>
      <c r="F210" s="1">
        <v>94.15</v>
      </c>
      <c r="G210" s="1">
        <f>VLOOKUP(A210,[1]黄金期货历史数据!$A:$B,2,)</f>
        <v>1387</v>
      </c>
      <c r="H210" s="1">
        <v>83.757999999999996</v>
      </c>
      <c r="I210" s="1">
        <v>4.2370000000000001</v>
      </c>
      <c r="J210" s="1">
        <v>3.2955000000000001</v>
      </c>
    </row>
    <row r="211" spans="1:10" x14ac:dyDescent="0.3">
      <c r="A211" s="2">
        <v>41420</v>
      </c>
      <c r="B211" s="1">
        <v>1.2999000000000001</v>
      </c>
      <c r="C211" s="1">
        <v>1.5199</v>
      </c>
      <c r="D211" s="1">
        <v>0.16300449892417029</v>
      </c>
      <c r="E211" s="1">
        <v>16.3</v>
      </c>
      <c r="F211" s="1">
        <v>91.97</v>
      </c>
      <c r="G211" s="1">
        <f>VLOOKUP(A211,[1]黄金期货历史数据!$A:$B,2,)</f>
        <v>1393</v>
      </c>
      <c r="H211" s="1">
        <v>83.400999999999996</v>
      </c>
      <c r="I211" s="1">
        <v>3.984</v>
      </c>
      <c r="J211" s="1">
        <v>3.3</v>
      </c>
    </row>
    <row r="212" spans="1:10" x14ac:dyDescent="0.3">
      <c r="A212" s="2">
        <v>41427</v>
      </c>
      <c r="B212" s="1">
        <v>1.3223</v>
      </c>
      <c r="C212" s="1">
        <v>1.5558000000000001</v>
      </c>
      <c r="D212" s="1">
        <v>0.16303904785196055</v>
      </c>
      <c r="E212" s="1">
        <v>15.14</v>
      </c>
      <c r="F212" s="1">
        <v>96.03</v>
      </c>
      <c r="G212" s="1">
        <f>VLOOKUP(A212,[1]黄金期货历史数据!$A:$B,2,)</f>
        <v>1383</v>
      </c>
      <c r="H212" s="1">
        <v>81.66</v>
      </c>
      <c r="I212" s="1">
        <v>3.8279999999999998</v>
      </c>
      <c r="J212" s="1">
        <v>3.2749999999999999</v>
      </c>
    </row>
    <row r="213" spans="1:10" x14ac:dyDescent="0.3">
      <c r="A213" s="2">
        <v>41434</v>
      </c>
      <c r="B213" s="1">
        <v>1.3347</v>
      </c>
      <c r="C213" s="1">
        <v>1.5705</v>
      </c>
      <c r="D213" s="1">
        <v>0.1631108501337509</v>
      </c>
      <c r="E213" s="1">
        <v>17.149999999999999</v>
      </c>
      <c r="F213" s="1">
        <v>97.85</v>
      </c>
      <c r="G213" s="1">
        <f>VLOOKUP(A213,[1]黄金期货历史数据!$A:$B,2,)</f>
        <v>1387.6</v>
      </c>
      <c r="H213" s="1">
        <v>80.650000000000006</v>
      </c>
      <c r="I213" s="1">
        <v>3.7330000000000001</v>
      </c>
      <c r="J213" s="1">
        <v>3.2080000000000002</v>
      </c>
    </row>
    <row r="214" spans="1:10" x14ac:dyDescent="0.3">
      <c r="A214" s="2">
        <v>41441</v>
      </c>
      <c r="B214" s="1">
        <v>1.3123</v>
      </c>
      <c r="C214" s="1">
        <v>1.5418000000000001</v>
      </c>
      <c r="D214" s="1">
        <v>0.16304170606841231</v>
      </c>
      <c r="E214" s="1">
        <v>18.899999999999999</v>
      </c>
      <c r="F214" s="1">
        <v>93.69</v>
      </c>
      <c r="G214" s="1">
        <f>VLOOKUP(A214,[1]黄金期货历史数据!$A:$B,2,)</f>
        <v>1292</v>
      </c>
      <c r="H214" s="1">
        <v>82.516999999999996</v>
      </c>
      <c r="I214" s="1">
        <v>3.7709999999999999</v>
      </c>
      <c r="J214" s="1">
        <v>3.0964999999999998</v>
      </c>
    </row>
    <row r="215" spans="1:10" x14ac:dyDescent="0.3">
      <c r="A215" s="2">
        <v>41448</v>
      </c>
      <c r="B215" s="1">
        <v>1.3009999999999999</v>
      </c>
      <c r="C215" s="1">
        <v>1.5212000000000001</v>
      </c>
      <c r="D215" s="1">
        <v>0.16293013555787278</v>
      </c>
      <c r="E215" s="1">
        <v>16.86</v>
      </c>
      <c r="F215" s="1">
        <v>96.56</v>
      </c>
      <c r="G215" s="1">
        <f>VLOOKUP(A215,[1]黄金期货历史数据!$A:$B,2,)</f>
        <v>1224.2</v>
      </c>
      <c r="H215" s="1">
        <v>83.376000000000005</v>
      </c>
      <c r="I215" s="1">
        <v>3.5649999999999999</v>
      </c>
      <c r="J215" s="1">
        <v>3.0575000000000001</v>
      </c>
    </row>
    <row r="216" spans="1:10" x14ac:dyDescent="0.3">
      <c r="A216" s="2">
        <v>41455</v>
      </c>
      <c r="B216" s="1">
        <v>1.2831999999999999</v>
      </c>
      <c r="C216" s="1">
        <v>1.4888999999999999</v>
      </c>
      <c r="D216" s="1">
        <v>0.16306297492091446</v>
      </c>
      <c r="E216" s="1">
        <v>14.89</v>
      </c>
      <c r="F216" s="1">
        <v>103.22</v>
      </c>
      <c r="G216" s="1">
        <f>VLOOKUP(A216,[1]黄金期货历史数据!$A:$B,2,)</f>
        <v>1213.3</v>
      </c>
      <c r="H216" s="1">
        <v>84.688999999999993</v>
      </c>
      <c r="I216" s="1">
        <v>3.617</v>
      </c>
      <c r="J216" s="1">
        <v>3.0649999999999999</v>
      </c>
    </row>
    <row r="217" spans="1:10" x14ac:dyDescent="0.3">
      <c r="A217" s="2">
        <v>41462</v>
      </c>
      <c r="B217" s="1">
        <v>1.3068</v>
      </c>
      <c r="C217" s="1">
        <v>1.5107999999999999</v>
      </c>
      <c r="D217" s="1">
        <v>0.16293279022403259</v>
      </c>
      <c r="E217" s="1">
        <v>13.84</v>
      </c>
      <c r="F217" s="1">
        <v>105.95</v>
      </c>
      <c r="G217" s="1">
        <f>VLOOKUP(A217,[1]黄金期货历史数据!$A:$B,2,)</f>
        <v>1278.0999999999999</v>
      </c>
      <c r="H217" s="1">
        <v>83.162999999999997</v>
      </c>
      <c r="I217" s="1">
        <v>3.6440000000000001</v>
      </c>
      <c r="J217" s="1">
        <v>3.1549999999999998</v>
      </c>
    </row>
    <row r="218" spans="1:10" x14ac:dyDescent="0.3">
      <c r="A218" s="2">
        <v>41469</v>
      </c>
      <c r="B218" s="1">
        <v>1.3142</v>
      </c>
      <c r="C218" s="1">
        <v>1.5267999999999999</v>
      </c>
      <c r="D218" s="1">
        <v>0.16292217207839815</v>
      </c>
      <c r="E218" s="1">
        <v>12.54</v>
      </c>
      <c r="F218" s="1">
        <v>108.05</v>
      </c>
      <c r="G218" s="1">
        <f>VLOOKUP(A218,[1]黄金期货历史数据!$A:$B,2,)</f>
        <v>1293.2</v>
      </c>
      <c r="H218" s="1">
        <v>82.710999999999999</v>
      </c>
      <c r="I218" s="1">
        <v>3.7890000000000001</v>
      </c>
      <c r="J218" s="1">
        <v>3.14</v>
      </c>
    </row>
    <row r="219" spans="1:10" x14ac:dyDescent="0.3">
      <c r="A219" s="2">
        <v>41476</v>
      </c>
      <c r="B219" s="1">
        <v>1.3279000000000001</v>
      </c>
      <c r="C219" s="1">
        <v>1.5381</v>
      </c>
      <c r="D219" s="1">
        <v>0.16308690901381345</v>
      </c>
      <c r="E219" s="1">
        <v>12.72</v>
      </c>
      <c r="F219" s="1">
        <v>104.7</v>
      </c>
      <c r="G219" s="1">
        <f>VLOOKUP(A219,[1]黄金期货历史数据!$A:$B,2,)</f>
        <v>1321.4</v>
      </c>
      <c r="H219" s="1">
        <v>81.763999999999996</v>
      </c>
      <c r="I219" s="1">
        <v>3.5550000000000002</v>
      </c>
      <c r="J219" s="1">
        <v>3.1055000000000001</v>
      </c>
    </row>
    <row r="220" spans="1:10" x14ac:dyDescent="0.3">
      <c r="A220" s="2">
        <v>41483</v>
      </c>
      <c r="B220" s="1">
        <v>1.3283</v>
      </c>
      <c r="C220" s="1">
        <v>1.5288999999999999</v>
      </c>
      <c r="D220" s="1">
        <v>0.16314544416347174</v>
      </c>
      <c r="E220" s="1">
        <v>11.98</v>
      </c>
      <c r="F220" s="1">
        <v>106.94</v>
      </c>
      <c r="G220" s="1">
        <f>VLOOKUP(A220,[1]黄金期货历史数据!$A:$B,2,)</f>
        <v>1310.3</v>
      </c>
      <c r="H220" s="1">
        <v>81.977999999999994</v>
      </c>
      <c r="I220" s="1">
        <v>3.347</v>
      </c>
      <c r="J220" s="1">
        <v>3.1779999999999999</v>
      </c>
    </row>
    <row r="221" spans="1:10" x14ac:dyDescent="0.3">
      <c r="A221" s="2">
        <v>41490</v>
      </c>
      <c r="B221" s="1">
        <v>1.3343</v>
      </c>
      <c r="C221" s="1">
        <v>1.55</v>
      </c>
      <c r="D221" s="1">
        <v>0.1633479802022248</v>
      </c>
      <c r="E221" s="1">
        <v>13.41</v>
      </c>
      <c r="F221" s="1">
        <v>105.97</v>
      </c>
      <c r="G221" s="1">
        <f>VLOOKUP(A221,[1]黄金期货历史数据!$A:$B,2,)</f>
        <v>1312.3</v>
      </c>
      <c r="H221" s="1">
        <v>81.17</v>
      </c>
      <c r="I221" s="1">
        <v>3.23</v>
      </c>
      <c r="J221" s="1">
        <v>3.3085</v>
      </c>
    </row>
    <row r="222" spans="1:10" x14ac:dyDescent="0.3">
      <c r="A222" s="2">
        <v>41497</v>
      </c>
      <c r="B222" s="1">
        <v>1.3329</v>
      </c>
      <c r="C222" s="1">
        <v>1.5629999999999999</v>
      </c>
      <c r="D222" s="1">
        <v>0.16353229762878169</v>
      </c>
      <c r="E222" s="1">
        <v>14.37</v>
      </c>
      <c r="F222" s="1">
        <v>107.46</v>
      </c>
      <c r="G222" s="1">
        <f>VLOOKUP(A222,[1]黄金期货历史数据!$A:$B,2,)</f>
        <v>1371</v>
      </c>
      <c r="H222" s="1">
        <v>81.293000000000006</v>
      </c>
      <c r="I222" s="1">
        <v>3.3679999999999999</v>
      </c>
      <c r="J222" s="1">
        <v>3.3645</v>
      </c>
    </row>
    <row r="223" spans="1:10" x14ac:dyDescent="0.3">
      <c r="A223" s="2">
        <v>41504</v>
      </c>
      <c r="B223" s="1">
        <v>1.3382000000000001</v>
      </c>
      <c r="C223" s="1">
        <v>1.5568</v>
      </c>
      <c r="D223" s="1">
        <v>0.163371998039536</v>
      </c>
      <c r="E223" s="1">
        <v>13.98</v>
      </c>
      <c r="F223" s="1">
        <v>106.42</v>
      </c>
      <c r="G223" s="1">
        <f>VLOOKUP(A223,[1]黄金期货历史数据!$A:$B,2,)</f>
        <v>1395.6</v>
      </c>
      <c r="H223" s="1">
        <v>81.391999999999996</v>
      </c>
      <c r="I223" s="1">
        <v>3.4849999999999999</v>
      </c>
      <c r="J223" s="1">
        <v>3.351</v>
      </c>
    </row>
    <row r="224" spans="1:10" x14ac:dyDescent="0.3">
      <c r="A224" s="2">
        <v>41511</v>
      </c>
      <c r="B224" s="1">
        <v>1.3222</v>
      </c>
      <c r="C224" s="1">
        <v>1.5509999999999999</v>
      </c>
      <c r="D224" s="1">
        <v>0.16341204346760355</v>
      </c>
      <c r="E224" s="1">
        <v>17.010000000000002</v>
      </c>
      <c r="F224" s="1">
        <v>107.65</v>
      </c>
      <c r="G224" s="1">
        <f>VLOOKUP(A224,[1]黄金期货历史数据!$A:$B,2,)</f>
        <v>1395.9</v>
      </c>
      <c r="H224" s="1">
        <v>82.141999999999996</v>
      </c>
      <c r="I224" s="1">
        <v>3.581</v>
      </c>
      <c r="J224" s="1">
        <v>3.2305000000000001</v>
      </c>
    </row>
    <row r="225" spans="1:10" x14ac:dyDescent="0.3">
      <c r="A225" s="2">
        <v>41518</v>
      </c>
      <c r="B225" s="1">
        <v>1.3180000000000001</v>
      </c>
      <c r="C225" s="1">
        <v>1.5630999999999999</v>
      </c>
      <c r="D225" s="1">
        <v>0.16338534433461319</v>
      </c>
      <c r="E225" s="1">
        <v>15.85</v>
      </c>
      <c r="F225" s="1">
        <v>110.53</v>
      </c>
      <c r="G225" s="1">
        <f>VLOOKUP(A225,[1]黄金期货历史数据!$A:$B,2,)</f>
        <v>1386.3</v>
      </c>
      <c r="H225" s="1">
        <v>82.167000000000002</v>
      </c>
      <c r="I225" s="1">
        <v>3.53</v>
      </c>
      <c r="J225" s="1">
        <v>3.2585000000000002</v>
      </c>
    </row>
    <row r="226" spans="1:10" x14ac:dyDescent="0.3">
      <c r="A226" s="2">
        <v>41525</v>
      </c>
      <c r="B226" s="1">
        <v>1.3293999999999999</v>
      </c>
      <c r="C226" s="1">
        <v>1.5874999999999999</v>
      </c>
      <c r="D226" s="1">
        <v>0.16343073805321304</v>
      </c>
      <c r="E226" s="1">
        <v>14.16</v>
      </c>
      <c r="F226" s="1">
        <v>108.21</v>
      </c>
      <c r="G226" s="1">
        <f>VLOOKUP(A226,[1]黄金期货历史数据!$A:$B,2,)</f>
        <v>1308.4000000000001</v>
      </c>
      <c r="H226" s="1">
        <v>81.447999999999993</v>
      </c>
      <c r="I226" s="1">
        <v>3.677</v>
      </c>
      <c r="J226" s="1">
        <v>3.2035</v>
      </c>
    </row>
    <row r="227" spans="1:10" x14ac:dyDescent="0.3">
      <c r="A227" s="2">
        <v>41532</v>
      </c>
      <c r="B227" s="1">
        <v>1.3524</v>
      </c>
      <c r="C227" s="1">
        <v>1.6006</v>
      </c>
      <c r="D227" s="1">
        <v>0.16336666013200027</v>
      </c>
      <c r="E227" s="1">
        <v>13.12</v>
      </c>
      <c r="F227" s="1">
        <v>104.68</v>
      </c>
      <c r="G227" s="1">
        <f>VLOOKUP(A227,[1]黄金期货历史数据!$A:$B,2,)</f>
        <v>1332.5</v>
      </c>
      <c r="H227" s="1">
        <v>80.549000000000007</v>
      </c>
      <c r="I227" s="1">
        <v>3.6869999999999998</v>
      </c>
      <c r="J227" s="1">
        <v>3.319</v>
      </c>
    </row>
    <row r="228" spans="1:10" x14ac:dyDescent="0.3">
      <c r="A228" s="2">
        <v>41539</v>
      </c>
      <c r="B228" s="1">
        <v>1.3522000000000001</v>
      </c>
      <c r="C228" s="1">
        <v>1.6138999999999999</v>
      </c>
      <c r="D228" s="1">
        <v>0.16340136276736547</v>
      </c>
      <c r="E228" s="1">
        <v>15.46</v>
      </c>
      <c r="F228" s="1">
        <v>102.87</v>
      </c>
      <c r="G228" s="1">
        <f>VLOOKUP(A228,[1]黄金期货历史数据!$A:$B,2,)</f>
        <v>1339.2</v>
      </c>
      <c r="H228" s="1">
        <v>80.376999999999995</v>
      </c>
      <c r="I228" s="1">
        <v>3.589</v>
      </c>
      <c r="J228" s="1">
        <v>3.3294999999999999</v>
      </c>
    </row>
    <row r="229" spans="1:10" x14ac:dyDescent="0.3">
      <c r="A229" s="2">
        <v>41546</v>
      </c>
      <c r="B229" s="1">
        <v>1.3557999999999999</v>
      </c>
      <c r="C229" s="1">
        <v>1.601</v>
      </c>
      <c r="D229" s="1">
        <v>0.16335865392469165</v>
      </c>
      <c r="E229" s="1">
        <v>16.739999999999998</v>
      </c>
      <c r="F229" s="1">
        <v>103.84</v>
      </c>
      <c r="G229" s="1">
        <f>VLOOKUP(A229,[1]黄金期货历史数据!$A:$B,2,)</f>
        <v>1309.9000000000001</v>
      </c>
      <c r="H229" s="1">
        <v>80.22</v>
      </c>
      <c r="I229" s="1">
        <v>3.5059999999999998</v>
      </c>
      <c r="J229" s="1">
        <v>3.3010000000000002</v>
      </c>
    </row>
    <row r="230" spans="1:10" x14ac:dyDescent="0.3">
      <c r="A230" s="2">
        <v>41553</v>
      </c>
      <c r="B230" s="1">
        <v>1.3542000000000001</v>
      </c>
      <c r="C230" s="1">
        <v>1.5955999999999999</v>
      </c>
      <c r="D230" s="1">
        <v>0.16338267490115349</v>
      </c>
      <c r="E230" s="1">
        <v>15.72</v>
      </c>
      <c r="F230" s="1">
        <v>102.02</v>
      </c>
      <c r="G230" s="1">
        <f>VLOOKUP(A230,[1]黄金期货历史数据!$A:$B,2,)</f>
        <v>1268.2</v>
      </c>
      <c r="H230" s="1">
        <v>80.451999999999998</v>
      </c>
      <c r="I230" s="1">
        <v>3.7759999999999998</v>
      </c>
      <c r="J230" s="1">
        <v>3.2690000000000001</v>
      </c>
    </row>
    <row r="231" spans="1:10" x14ac:dyDescent="0.3">
      <c r="A231" s="2">
        <v>41560</v>
      </c>
      <c r="B231" s="1">
        <v>1.3685</v>
      </c>
      <c r="C231" s="1">
        <v>1.6167</v>
      </c>
      <c r="D231" s="1">
        <v>0.16402046975462536</v>
      </c>
      <c r="E231" s="1">
        <v>13.04</v>
      </c>
      <c r="F231" s="1">
        <v>100.81</v>
      </c>
      <c r="G231" s="1">
        <f>VLOOKUP(A231,[1]黄金期货历史数据!$A:$B,2,)</f>
        <v>1314.6</v>
      </c>
      <c r="H231" s="1">
        <v>79.727000000000004</v>
      </c>
      <c r="I231" s="1">
        <v>3.7639999999999998</v>
      </c>
      <c r="J231" s="1">
        <v>3.2989999999999999</v>
      </c>
    </row>
    <row r="232" spans="1:10" x14ac:dyDescent="0.3">
      <c r="A232" s="2">
        <v>41567</v>
      </c>
      <c r="B232" s="1">
        <v>1.3805000000000001</v>
      </c>
      <c r="C232" s="1">
        <v>1.6166</v>
      </c>
      <c r="D232" s="1">
        <v>0.16436554898093361</v>
      </c>
      <c r="E232" s="1">
        <v>13.09</v>
      </c>
      <c r="F232" s="1">
        <v>97.85</v>
      </c>
      <c r="G232" s="1">
        <f>VLOOKUP(A232,[1]黄金期货历史数据!$A:$B,2,)</f>
        <v>1352.5</v>
      </c>
      <c r="H232" s="1">
        <v>79.245999999999995</v>
      </c>
      <c r="I232" s="1">
        <v>3.7069999999999999</v>
      </c>
      <c r="J232" s="1">
        <v>3.2690000000000001</v>
      </c>
    </row>
    <row r="233" spans="1:10" x14ac:dyDescent="0.3">
      <c r="A233" s="2">
        <v>41574</v>
      </c>
      <c r="B233" s="1">
        <v>1.3487</v>
      </c>
      <c r="C233" s="1">
        <v>1.5926</v>
      </c>
      <c r="D233" s="1">
        <v>0.16394786457906385</v>
      </c>
      <c r="E233" s="1">
        <v>13.28</v>
      </c>
      <c r="F233" s="1">
        <v>94.61</v>
      </c>
      <c r="G233" s="1">
        <f>VLOOKUP(A233,[1]黄金期货历史数据!$A:$B,2,)</f>
        <v>1313.6</v>
      </c>
      <c r="H233" s="1">
        <v>80.81</v>
      </c>
      <c r="I233" s="1">
        <v>3.5129999999999999</v>
      </c>
      <c r="J233" s="1">
        <v>3.3029999999999999</v>
      </c>
    </row>
    <row r="234" spans="1:10" x14ac:dyDescent="0.3">
      <c r="A234" s="2">
        <v>41581</v>
      </c>
      <c r="B234" s="1">
        <v>1.3371</v>
      </c>
      <c r="C234" s="1">
        <v>1.6017999999999999</v>
      </c>
      <c r="D234" s="1">
        <v>0.16418743637736841</v>
      </c>
      <c r="E234" s="1">
        <v>12.9</v>
      </c>
      <c r="F234" s="1">
        <v>94.6</v>
      </c>
      <c r="G234" s="1">
        <f>VLOOKUP(A234,[1]黄金期货历史数据!$A:$B,2,)</f>
        <v>1285.0999999999999</v>
      </c>
      <c r="H234" s="1">
        <v>81.387</v>
      </c>
      <c r="I234" s="1">
        <v>3.5590000000000002</v>
      </c>
      <c r="J234" s="1">
        <v>3.2595000000000001</v>
      </c>
    </row>
    <row r="235" spans="1:10" x14ac:dyDescent="0.3">
      <c r="A235" s="2">
        <v>41588</v>
      </c>
      <c r="B235" s="1">
        <v>1.3494999999999999</v>
      </c>
      <c r="C235" s="1">
        <v>1.6121000000000001</v>
      </c>
      <c r="D235" s="1">
        <v>0.16414431568234791</v>
      </c>
      <c r="E235" s="1">
        <v>12.19</v>
      </c>
      <c r="F235" s="1">
        <v>93.84</v>
      </c>
      <c r="G235" s="1">
        <f>VLOOKUP(A235,[1]黄金期货历史数据!$A:$B,2,)</f>
        <v>1287.8</v>
      </c>
      <c r="H235" s="1">
        <v>80.897999999999996</v>
      </c>
      <c r="I235" s="1">
        <v>3.66</v>
      </c>
      <c r="J235" s="1">
        <v>3.1775000000000002</v>
      </c>
    </row>
    <row r="236" spans="1:10" x14ac:dyDescent="0.3">
      <c r="A236" s="2">
        <v>41595</v>
      </c>
      <c r="B236" s="1">
        <v>1.3557999999999999</v>
      </c>
      <c r="C236" s="1">
        <v>1.6226</v>
      </c>
      <c r="D236" s="1">
        <v>0.16410391059618951</v>
      </c>
      <c r="E236" s="1">
        <v>12.26</v>
      </c>
      <c r="F236" s="1">
        <v>94.84</v>
      </c>
      <c r="G236" s="1">
        <f>VLOOKUP(A236,[1]黄金期货历史数据!$A:$B,2,)</f>
        <v>1244.3</v>
      </c>
      <c r="H236" s="1">
        <v>80.742000000000004</v>
      </c>
      <c r="I236" s="1">
        <v>3.7679999999999998</v>
      </c>
      <c r="J236" s="1">
        <v>3.2185000000000001</v>
      </c>
    </row>
    <row r="237" spans="1:10" x14ac:dyDescent="0.3">
      <c r="A237" s="2">
        <v>41602</v>
      </c>
      <c r="B237" s="1">
        <v>1.359</v>
      </c>
      <c r="C237" s="1">
        <v>1.6367</v>
      </c>
      <c r="D237" s="1">
        <v>0.16411737674785004</v>
      </c>
      <c r="E237" s="1">
        <v>13.7</v>
      </c>
      <c r="F237" s="1">
        <v>92.72</v>
      </c>
      <c r="G237" s="1">
        <f>VLOOKUP(A237,[1]黄金期货历史数据!$A:$B,2,)</f>
        <v>1250.4000000000001</v>
      </c>
      <c r="H237" s="1">
        <v>80.656999999999996</v>
      </c>
      <c r="I237" s="1">
        <v>3.9540000000000002</v>
      </c>
      <c r="J237" s="1">
        <v>3.2155</v>
      </c>
    </row>
    <row r="238" spans="1:10" x14ac:dyDescent="0.3">
      <c r="A238" s="2">
        <v>41609</v>
      </c>
      <c r="B238" s="1">
        <v>1.3706</v>
      </c>
      <c r="C238" s="1">
        <v>1.6349</v>
      </c>
      <c r="D238" s="1">
        <v>0.16442770935758094</v>
      </c>
      <c r="E238" s="1">
        <v>13.79</v>
      </c>
      <c r="F238" s="1">
        <v>97.65</v>
      </c>
      <c r="G238" s="1">
        <f>VLOOKUP(A238,[1]黄金期货历史数据!$A:$B,2,)</f>
        <v>1229</v>
      </c>
      <c r="H238" s="1">
        <v>80.314999999999998</v>
      </c>
      <c r="I238" s="1">
        <v>4.1139999999999999</v>
      </c>
      <c r="J238" s="1">
        <v>3.2565</v>
      </c>
    </row>
    <row r="239" spans="1:10" x14ac:dyDescent="0.3">
      <c r="A239" s="2">
        <v>41616</v>
      </c>
      <c r="B239" s="1">
        <v>1.3743000000000001</v>
      </c>
      <c r="C239" s="1">
        <v>1.6298999999999999</v>
      </c>
      <c r="D239" s="1">
        <v>0.1647093703160773</v>
      </c>
      <c r="E239" s="1">
        <v>15.76</v>
      </c>
      <c r="F239" s="1">
        <v>96.6</v>
      </c>
      <c r="G239" s="1">
        <f>VLOOKUP(A239,[1]黄金期货历史数据!$A:$B,2,)</f>
        <v>1234.5999999999999</v>
      </c>
      <c r="H239" s="1">
        <v>80.22</v>
      </c>
      <c r="I239" s="1">
        <v>4.351</v>
      </c>
      <c r="J239" s="1">
        <v>3.3224999999999998</v>
      </c>
    </row>
    <row r="240" spans="1:10" x14ac:dyDescent="0.3">
      <c r="A240" s="2">
        <v>41623</v>
      </c>
      <c r="B240" s="1">
        <v>1.3672</v>
      </c>
      <c r="C240" s="1">
        <v>1.6335999999999999</v>
      </c>
      <c r="D240" s="1">
        <v>0.16470665744309385</v>
      </c>
      <c r="E240" s="1">
        <v>13.79</v>
      </c>
      <c r="F240" s="1">
        <v>99.32</v>
      </c>
      <c r="G240" s="1">
        <f>VLOOKUP(A240,[1]黄金期货历史数据!$A:$B,2,)</f>
        <v>1203.7</v>
      </c>
      <c r="H240" s="1">
        <v>80.75</v>
      </c>
      <c r="I240" s="1">
        <v>4.4180000000000001</v>
      </c>
      <c r="J240" s="1">
        <v>3.3149999999999999</v>
      </c>
    </row>
    <row r="241" spans="1:10" x14ac:dyDescent="0.3">
      <c r="A241" s="2">
        <v>41630</v>
      </c>
      <c r="B241" s="1">
        <v>1.3742000000000001</v>
      </c>
      <c r="C241" s="1">
        <v>1.6480999999999999</v>
      </c>
      <c r="D241" s="1">
        <v>0.16478265168243086</v>
      </c>
      <c r="E241" s="1">
        <v>12.46</v>
      </c>
      <c r="F241" s="1">
        <v>100.32</v>
      </c>
      <c r="G241" s="1">
        <f>VLOOKUP(A241,[1]黄金期货历史数据!$A:$B,2,)</f>
        <v>1214</v>
      </c>
      <c r="H241" s="1">
        <v>80.537999999999997</v>
      </c>
      <c r="I241" s="1">
        <v>4.407</v>
      </c>
      <c r="J241" s="1">
        <v>3.3975</v>
      </c>
    </row>
    <row r="242" spans="1:10" x14ac:dyDescent="0.3">
      <c r="A242" s="2">
        <v>41637</v>
      </c>
      <c r="B242" s="1">
        <v>1.3588</v>
      </c>
      <c r="C242" s="1">
        <v>1.6416999999999999</v>
      </c>
      <c r="D242" s="1">
        <v>0.16524828554903742</v>
      </c>
      <c r="E242" s="1">
        <v>13.76</v>
      </c>
      <c r="F242" s="1">
        <v>93.96</v>
      </c>
      <c r="G242" s="1">
        <f>VLOOKUP(A242,[1]黄金期货历史数据!$A:$B,2,)</f>
        <v>1239</v>
      </c>
      <c r="H242" s="1">
        <v>80.954999999999998</v>
      </c>
      <c r="I242" s="1">
        <v>4.3040000000000003</v>
      </c>
      <c r="J242" s="1">
        <v>3.355</v>
      </c>
    </row>
    <row r="243" spans="1:10" x14ac:dyDescent="0.3">
      <c r="A243" s="2">
        <v>41644</v>
      </c>
      <c r="B243" s="1">
        <v>1.367</v>
      </c>
      <c r="C243" s="1">
        <v>1.6482000000000001</v>
      </c>
      <c r="D243" s="1">
        <v>0.16523190297582657</v>
      </c>
      <c r="E243" s="1">
        <v>12.14</v>
      </c>
      <c r="F243" s="1">
        <v>92.72</v>
      </c>
      <c r="G243" s="1">
        <f>VLOOKUP(A243,[1]黄金期货历史数据!$A:$B,2,)</f>
        <v>1247.3</v>
      </c>
      <c r="H243" s="1">
        <v>80.754000000000005</v>
      </c>
      <c r="I243" s="1">
        <v>4.0529999999999999</v>
      </c>
      <c r="J243" s="1">
        <v>3.3414999999999999</v>
      </c>
    </row>
    <row r="244" spans="1:10" x14ac:dyDescent="0.3">
      <c r="A244" s="2">
        <v>41651</v>
      </c>
      <c r="B244" s="1">
        <v>1.3541000000000001</v>
      </c>
      <c r="C244" s="1">
        <v>1.6424000000000001</v>
      </c>
      <c r="D244" s="1">
        <v>0.16528106044328381</v>
      </c>
      <c r="E244" s="1">
        <v>12.44</v>
      </c>
      <c r="F244" s="1">
        <v>94.37</v>
      </c>
      <c r="G244" s="1">
        <f>VLOOKUP(A244,[1]黄金期货历史数据!$A:$B,2,)</f>
        <v>1252.0999999999999</v>
      </c>
      <c r="H244" s="1">
        <v>81.361999999999995</v>
      </c>
      <c r="I244" s="1">
        <v>4.3259999999999996</v>
      </c>
      <c r="J244" s="1">
        <v>3.3445</v>
      </c>
    </row>
    <row r="245" spans="1:10" x14ac:dyDescent="0.3">
      <c r="A245" s="2">
        <v>41658</v>
      </c>
      <c r="B245" s="1">
        <v>1.3677999999999999</v>
      </c>
      <c r="C245" s="1">
        <v>1.6483000000000001</v>
      </c>
      <c r="D245" s="1">
        <v>0.16532204734823436</v>
      </c>
      <c r="E245" s="1">
        <v>18.14</v>
      </c>
      <c r="F245" s="1">
        <v>96.64</v>
      </c>
      <c r="G245" s="1">
        <f>VLOOKUP(A245,[1]黄金期货历史数据!$A:$B,2,)</f>
        <v>1264.4000000000001</v>
      </c>
      <c r="H245" s="1">
        <v>80.540999999999997</v>
      </c>
      <c r="I245" s="1">
        <v>5.1820000000000004</v>
      </c>
      <c r="J245" s="1">
        <v>3.2715000000000001</v>
      </c>
    </row>
    <row r="246" spans="1:10" x14ac:dyDescent="0.3">
      <c r="A246" s="2">
        <v>41665</v>
      </c>
      <c r="B246" s="1">
        <v>1.3487</v>
      </c>
      <c r="C246" s="1">
        <v>1.6435999999999999</v>
      </c>
      <c r="D246" s="1">
        <v>0.16498927569707969</v>
      </c>
      <c r="E246" s="1">
        <v>18.41</v>
      </c>
      <c r="F246" s="1">
        <v>97.49</v>
      </c>
      <c r="G246" s="1">
        <f>VLOOKUP(A246,[1]黄金期货历史数据!$A:$B,2,)</f>
        <v>1239.8</v>
      </c>
      <c r="H246" s="1">
        <v>81.403000000000006</v>
      </c>
      <c r="I246" s="1">
        <v>4.9429999999999996</v>
      </c>
      <c r="J246" s="1">
        <v>3.2</v>
      </c>
    </row>
    <row r="247" spans="1:10" x14ac:dyDescent="0.3">
      <c r="A247" s="2">
        <v>41672</v>
      </c>
      <c r="B247" s="1">
        <v>1.3634999999999999</v>
      </c>
      <c r="C247" s="1">
        <v>1.6412</v>
      </c>
      <c r="D247" s="1">
        <v>0.16492397004980705</v>
      </c>
      <c r="E247" s="1">
        <v>15.29</v>
      </c>
      <c r="F247" s="1">
        <v>99.88</v>
      </c>
      <c r="G247" s="1">
        <f>VLOOKUP(A247,[1]黄金期货历史数据!$A:$B,2,)</f>
        <v>1262.9000000000001</v>
      </c>
      <c r="H247" s="1">
        <v>80.757999999999996</v>
      </c>
      <c r="I247" s="1">
        <v>4.7750000000000004</v>
      </c>
      <c r="J247" s="1">
        <v>3.2370000000000001</v>
      </c>
    </row>
    <row r="248" spans="1:10" x14ac:dyDescent="0.3">
      <c r="A248" s="2">
        <v>41679</v>
      </c>
      <c r="B248" s="1">
        <v>1.3693</v>
      </c>
      <c r="C248" s="1">
        <v>1.6746000000000001</v>
      </c>
      <c r="D248" s="1">
        <v>0.16482882526496231</v>
      </c>
      <c r="E248" s="1">
        <v>13.57</v>
      </c>
      <c r="F248" s="1">
        <v>100.3</v>
      </c>
      <c r="G248" s="1">
        <f>VLOOKUP(A248,[1]黄金期货历史数据!$A:$B,2,)</f>
        <v>1318.6</v>
      </c>
      <c r="H248" s="1">
        <v>80.179000000000002</v>
      </c>
      <c r="I248" s="1">
        <v>5.2140000000000004</v>
      </c>
      <c r="J248" s="1">
        <v>3.2654999999999998</v>
      </c>
    </row>
    <row r="249" spans="1:10" x14ac:dyDescent="0.3">
      <c r="A249" s="2">
        <v>41686</v>
      </c>
      <c r="B249" s="1">
        <v>1.3740000000000001</v>
      </c>
      <c r="C249" s="1">
        <v>1.6617</v>
      </c>
      <c r="D249" s="1">
        <v>0.16416317819912993</v>
      </c>
      <c r="E249" s="1">
        <v>14.68</v>
      </c>
      <c r="F249" s="1">
        <v>102.2</v>
      </c>
      <c r="G249" s="1">
        <f>VLOOKUP(A249,[1]黄金期货历史数据!$A:$B,2,)</f>
        <v>1323.6</v>
      </c>
      <c r="H249" s="1">
        <v>80.27</v>
      </c>
      <c r="I249" s="1">
        <v>6.1349999999999998</v>
      </c>
      <c r="J249" s="1">
        <v>3.2759999999999998</v>
      </c>
    </row>
    <row r="250" spans="1:10" x14ac:dyDescent="0.3">
      <c r="A250" s="2">
        <v>41693</v>
      </c>
      <c r="B250" s="1">
        <v>1.3803000000000001</v>
      </c>
      <c r="C250" s="1">
        <v>1.6745000000000001</v>
      </c>
      <c r="D250" s="1">
        <v>0.16273393002441011</v>
      </c>
      <c r="E250" s="1">
        <v>14</v>
      </c>
      <c r="F250" s="1">
        <v>102.59</v>
      </c>
      <c r="G250" s="1">
        <f>VLOOKUP(A250,[1]黄金期货历史数据!$A:$B,2,)</f>
        <v>1321.7</v>
      </c>
      <c r="H250" s="1">
        <v>79.72</v>
      </c>
      <c r="I250" s="1">
        <v>4.609</v>
      </c>
      <c r="J250" s="1">
        <v>3.1875</v>
      </c>
    </row>
    <row r="251" spans="1:10" x14ac:dyDescent="0.3">
      <c r="A251" s="2">
        <v>41700</v>
      </c>
      <c r="B251" s="1">
        <v>1.3877999999999999</v>
      </c>
      <c r="C251" s="1">
        <v>1.6712</v>
      </c>
      <c r="D251" s="1">
        <v>0.16323865491348349</v>
      </c>
      <c r="E251" s="1">
        <v>14.11</v>
      </c>
      <c r="F251" s="1">
        <v>102.58</v>
      </c>
      <c r="G251" s="1">
        <f>VLOOKUP(A251,[1]黄金期货历史数据!$A:$B,2,)</f>
        <v>1338.6</v>
      </c>
      <c r="H251" s="1">
        <v>79.721999999999994</v>
      </c>
      <c r="I251" s="1">
        <v>4.6180000000000003</v>
      </c>
      <c r="J251" s="1">
        <v>3.0825</v>
      </c>
    </row>
    <row r="252" spans="1:10" x14ac:dyDescent="0.3">
      <c r="A252" s="2">
        <v>41707</v>
      </c>
      <c r="B252" s="1">
        <v>1.3914</v>
      </c>
      <c r="C252" s="1">
        <v>1.6646000000000001</v>
      </c>
      <c r="D252" s="1">
        <v>0.1625963383304608</v>
      </c>
      <c r="E252" s="1">
        <v>17.82</v>
      </c>
      <c r="F252" s="1">
        <v>98.89</v>
      </c>
      <c r="G252" s="1">
        <f>VLOOKUP(A252,[1]黄金期货历史数据!$A:$B,2,)</f>
        <v>1379.2</v>
      </c>
      <c r="H252" s="1">
        <v>79.438000000000002</v>
      </c>
      <c r="I252" s="1">
        <v>4.4249999999999998</v>
      </c>
      <c r="J252" s="1">
        <v>2.9504999999999999</v>
      </c>
    </row>
    <row r="253" spans="1:10" x14ac:dyDescent="0.3">
      <c r="A253" s="2">
        <v>41714</v>
      </c>
      <c r="B253" s="1">
        <v>1.3794</v>
      </c>
      <c r="C253" s="1">
        <v>1.6486000000000001</v>
      </c>
      <c r="D253" s="1">
        <v>0.1606425702811245</v>
      </c>
      <c r="E253" s="1">
        <v>15</v>
      </c>
      <c r="F253" s="1">
        <v>99.46</v>
      </c>
      <c r="G253" s="1">
        <f>VLOOKUP(A253,[1]黄金期货历史数据!$A:$B,2,)</f>
        <v>1336</v>
      </c>
      <c r="H253" s="1">
        <v>80.260999999999996</v>
      </c>
      <c r="I253" s="1">
        <v>4.3129999999999997</v>
      </c>
      <c r="J253" s="1">
        <v>2.9504999999999999</v>
      </c>
    </row>
    <row r="254" spans="1:10" x14ac:dyDescent="0.3">
      <c r="A254" s="2">
        <v>41721</v>
      </c>
      <c r="B254" s="1">
        <v>1.3753</v>
      </c>
      <c r="C254" s="1">
        <v>1.6637999999999999</v>
      </c>
      <c r="D254" s="1">
        <v>0.16097356814011138</v>
      </c>
      <c r="E254" s="1">
        <v>14.41</v>
      </c>
      <c r="F254" s="1">
        <v>101.67</v>
      </c>
      <c r="G254" s="1">
        <f>VLOOKUP(A254,[1]黄金期货历史数据!$A:$B,2,)</f>
        <v>1294.3</v>
      </c>
      <c r="H254" s="1">
        <v>80.334999999999994</v>
      </c>
      <c r="I254" s="1">
        <v>4.4850000000000003</v>
      </c>
      <c r="J254" s="1">
        <v>3.0394999999999999</v>
      </c>
    </row>
    <row r="255" spans="1:10" x14ac:dyDescent="0.3">
      <c r="A255" s="2">
        <v>41728</v>
      </c>
      <c r="B255" s="1">
        <v>1.3703000000000001</v>
      </c>
      <c r="C255" s="1">
        <v>1.6579999999999999</v>
      </c>
      <c r="D255" s="1">
        <v>0.160970976932859</v>
      </c>
      <c r="E255" s="1">
        <v>13.96</v>
      </c>
      <c r="F255" s="1">
        <v>101.14</v>
      </c>
      <c r="G255" s="1">
        <f>VLOOKUP(A255,[1]黄金期货历史数据!$A:$B,2,)</f>
        <v>1303.5</v>
      </c>
      <c r="H255" s="1">
        <v>80.570999999999998</v>
      </c>
      <c r="I255" s="1">
        <v>4.4390000000000001</v>
      </c>
      <c r="J255" s="1">
        <v>3.0219999999999998</v>
      </c>
    </row>
    <row r="256" spans="1:10" x14ac:dyDescent="0.3">
      <c r="A256" s="2">
        <v>41735</v>
      </c>
      <c r="B256" s="1">
        <v>1.3885000000000001</v>
      </c>
      <c r="C256" s="1">
        <v>1.6733</v>
      </c>
      <c r="D256" s="1">
        <v>0.16099689275996976</v>
      </c>
      <c r="E256" s="1">
        <v>17.03</v>
      </c>
      <c r="F256" s="1">
        <v>103.74</v>
      </c>
      <c r="G256" s="1">
        <f>VLOOKUP(A256,[1]黄金期货历史数据!$A:$B,2,)</f>
        <v>1319</v>
      </c>
      <c r="H256" s="1">
        <v>79.522999999999996</v>
      </c>
      <c r="I256" s="1">
        <v>4.62</v>
      </c>
      <c r="J256" s="1">
        <v>3.0405000000000002</v>
      </c>
    </row>
    <row r="257" spans="1:10" x14ac:dyDescent="0.3">
      <c r="A257" s="2">
        <v>41742</v>
      </c>
      <c r="B257" s="1">
        <v>1.3815</v>
      </c>
      <c r="C257" s="1">
        <v>1.6807000000000001</v>
      </c>
      <c r="D257" s="1">
        <v>0.16066321776292536</v>
      </c>
      <c r="E257" s="1">
        <v>13.36</v>
      </c>
      <c r="F257" s="1">
        <v>104.3</v>
      </c>
      <c r="G257" s="1">
        <f>VLOOKUP(A257,[1]黄金期货历史数据!$A:$B,2,)</f>
        <v>1293.9000000000001</v>
      </c>
      <c r="H257" s="1">
        <v>79.903000000000006</v>
      </c>
      <c r="I257" s="1">
        <v>4.7409999999999997</v>
      </c>
      <c r="J257" s="1">
        <v>3.0430000000000001</v>
      </c>
    </row>
    <row r="258" spans="1:10" x14ac:dyDescent="0.3">
      <c r="A258" s="2">
        <v>41749</v>
      </c>
      <c r="B258" s="1">
        <v>1.3833</v>
      </c>
      <c r="C258" s="1">
        <v>1.6805000000000001</v>
      </c>
      <c r="D258" s="1">
        <v>0.15990533604106369</v>
      </c>
      <c r="E258" s="1">
        <v>14.06</v>
      </c>
      <c r="F258" s="1">
        <v>100.6</v>
      </c>
      <c r="G258" s="1">
        <f>VLOOKUP(A258,[1]黄金期货历史数据!$A:$B,2,)</f>
        <v>1300.8</v>
      </c>
      <c r="H258" s="1">
        <v>79.817999999999998</v>
      </c>
      <c r="I258" s="1">
        <v>4.6470000000000002</v>
      </c>
      <c r="J258" s="1">
        <v>3.1080000000000001</v>
      </c>
    </row>
    <row r="259" spans="1:10" x14ac:dyDescent="0.3">
      <c r="A259" s="2">
        <v>41756</v>
      </c>
      <c r="B259" s="1">
        <v>1.387</v>
      </c>
      <c r="C259" s="1">
        <v>1.6866000000000001</v>
      </c>
      <c r="D259" s="1">
        <v>0.15976227373667984</v>
      </c>
      <c r="E259" s="1">
        <v>12.91</v>
      </c>
      <c r="F259" s="1">
        <v>99.76</v>
      </c>
      <c r="G259" s="1">
        <f>VLOOKUP(A259,[1]黄金期货历史数据!$A:$B,2,)</f>
        <v>1303.0999999999999</v>
      </c>
      <c r="H259" s="1">
        <v>79.563000000000002</v>
      </c>
      <c r="I259" s="1">
        <v>4.6740000000000004</v>
      </c>
      <c r="J259" s="1">
        <v>3.07</v>
      </c>
    </row>
    <row r="260" spans="1:10" x14ac:dyDescent="0.3">
      <c r="A260" s="2">
        <v>41763</v>
      </c>
      <c r="B260" s="1">
        <v>1.3759999999999999</v>
      </c>
      <c r="C260" s="1">
        <v>1.6851</v>
      </c>
      <c r="D260" s="1">
        <v>0.16057550260132314</v>
      </c>
      <c r="E260" s="1">
        <v>12.92</v>
      </c>
      <c r="F260" s="1">
        <v>99.99</v>
      </c>
      <c r="G260" s="1">
        <f>VLOOKUP(A260,[1]黄金期货历史数据!$A:$B,2,)</f>
        <v>1287.8</v>
      </c>
      <c r="H260" s="1">
        <v>79.960999999999999</v>
      </c>
      <c r="I260" s="1">
        <v>4.5309999999999997</v>
      </c>
      <c r="J260" s="1">
        <v>3.0830000000000002</v>
      </c>
    </row>
    <row r="261" spans="1:10" x14ac:dyDescent="0.3">
      <c r="A261" s="2">
        <v>41770</v>
      </c>
      <c r="B261" s="1">
        <v>1.3694999999999999</v>
      </c>
      <c r="C261" s="1">
        <v>1.6816</v>
      </c>
      <c r="D261" s="1">
        <v>0.16042609169955402</v>
      </c>
      <c r="E261" s="1">
        <v>12.44</v>
      </c>
      <c r="F261" s="1">
        <v>102.02</v>
      </c>
      <c r="G261" s="1">
        <f>VLOOKUP(A261,[1]黄金期货历史数据!$A:$B,2,)</f>
        <v>1293.5</v>
      </c>
      <c r="H261" s="1">
        <v>80.106999999999999</v>
      </c>
      <c r="I261" s="1">
        <v>4.4130000000000003</v>
      </c>
      <c r="J261" s="1">
        <v>3.1469999999999998</v>
      </c>
    </row>
    <row r="262" spans="1:10" x14ac:dyDescent="0.3">
      <c r="A262" s="2">
        <v>41777</v>
      </c>
      <c r="B262" s="1">
        <v>1.3633999999999999</v>
      </c>
      <c r="C262" s="1">
        <v>1.6832</v>
      </c>
      <c r="D262" s="1">
        <v>0.16034634811192175</v>
      </c>
      <c r="E262" s="1">
        <v>11.36</v>
      </c>
      <c r="F262" s="1">
        <v>104.35</v>
      </c>
      <c r="G262" s="1">
        <f>VLOOKUP(A262,[1]黄金期货历史数据!$A:$B,2,)</f>
        <v>1291.8</v>
      </c>
      <c r="H262" s="1">
        <v>80.45</v>
      </c>
      <c r="I262" s="1">
        <v>4.4050000000000002</v>
      </c>
      <c r="J262" s="1">
        <v>3.1675</v>
      </c>
    </row>
    <row r="263" spans="1:10" x14ac:dyDescent="0.3">
      <c r="A263" s="2">
        <v>41784</v>
      </c>
      <c r="B263" s="1">
        <v>1.3631</v>
      </c>
      <c r="C263" s="1">
        <v>1.6752</v>
      </c>
      <c r="D263" s="1">
        <v>0.16005377806943133</v>
      </c>
      <c r="E263" s="1">
        <v>11.4</v>
      </c>
      <c r="F263" s="1">
        <v>102.71</v>
      </c>
      <c r="G263" s="1">
        <f>VLOOKUP(A263,[1]黄金期货历史数据!$A:$B,2,)</f>
        <v>1246</v>
      </c>
      <c r="H263" s="1">
        <v>80.403999999999996</v>
      </c>
      <c r="I263" s="1">
        <v>4.5419999999999998</v>
      </c>
      <c r="J263" s="1">
        <v>3.1204999999999998</v>
      </c>
    </row>
    <row r="264" spans="1:10" x14ac:dyDescent="0.3">
      <c r="A264" s="2">
        <v>41791</v>
      </c>
      <c r="B264" s="1">
        <v>1.3643000000000001</v>
      </c>
      <c r="C264" s="1">
        <v>1.6802999999999999</v>
      </c>
      <c r="D264" s="1">
        <v>0.15998720102391809</v>
      </c>
      <c r="E264" s="1">
        <v>10.73</v>
      </c>
      <c r="F264" s="1">
        <v>102.66</v>
      </c>
      <c r="G264" s="1">
        <f>VLOOKUP(A264,[1]黄金期货历史数据!$A:$B,2,)</f>
        <v>1252.5</v>
      </c>
      <c r="H264" s="1">
        <v>80.427000000000007</v>
      </c>
      <c r="I264" s="1">
        <v>4.71</v>
      </c>
      <c r="J264" s="1">
        <v>3.0505</v>
      </c>
    </row>
    <row r="265" spans="1:10" x14ac:dyDescent="0.3">
      <c r="A265" s="2">
        <v>41798</v>
      </c>
      <c r="B265" s="1">
        <v>1.3542000000000001</v>
      </c>
      <c r="C265" s="1">
        <v>1.6964999999999999</v>
      </c>
      <c r="D265" s="1">
        <v>0.1610435622835977</v>
      </c>
      <c r="E265" s="1">
        <v>12.18</v>
      </c>
      <c r="F265" s="1">
        <v>106.91</v>
      </c>
      <c r="G265" s="1">
        <f>VLOOKUP(A265,[1]黄金期货历史数据!$A:$B,2,)</f>
        <v>1274.0999999999999</v>
      </c>
      <c r="H265" s="1">
        <v>80.656000000000006</v>
      </c>
      <c r="I265" s="1">
        <v>4.7389999999999999</v>
      </c>
      <c r="J265" s="1">
        <v>3.0289999999999999</v>
      </c>
    </row>
    <row r="266" spans="1:10" x14ac:dyDescent="0.3">
      <c r="A266" s="2">
        <v>41805</v>
      </c>
      <c r="B266" s="1">
        <v>1.3599000000000001</v>
      </c>
      <c r="C266" s="1">
        <v>1.7012</v>
      </c>
      <c r="D266" s="1">
        <v>0.16065547433528798</v>
      </c>
      <c r="E266" s="1">
        <v>10.85</v>
      </c>
      <c r="F266" s="1">
        <v>107.26</v>
      </c>
      <c r="G266" s="1">
        <f>VLOOKUP(A266,[1]黄金期货历史数据!$A:$B,2,)</f>
        <v>1316.6</v>
      </c>
      <c r="H266" s="1">
        <v>80.441000000000003</v>
      </c>
      <c r="I266" s="1">
        <v>4.5309999999999997</v>
      </c>
      <c r="J266" s="1">
        <v>3.1145</v>
      </c>
    </row>
    <row r="267" spans="1:10" x14ac:dyDescent="0.3">
      <c r="A267" s="2">
        <v>41812</v>
      </c>
      <c r="B267" s="1">
        <v>1.3649</v>
      </c>
      <c r="C267" s="1">
        <v>1.7035</v>
      </c>
      <c r="D267" s="1">
        <v>0.16081048484361182</v>
      </c>
      <c r="E267" s="1">
        <v>11.26</v>
      </c>
      <c r="F267" s="1">
        <v>105.74</v>
      </c>
      <c r="G267" s="1">
        <f>VLOOKUP(A267,[1]黄金期货历史数据!$A:$B,2,)</f>
        <v>1320.1</v>
      </c>
      <c r="H267" s="1">
        <v>80.085999999999999</v>
      </c>
      <c r="I267" s="1">
        <v>4.4089999999999998</v>
      </c>
      <c r="J267" s="1">
        <v>3.1680000000000001</v>
      </c>
    </row>
    <row r="268" spans="1:10" x14ac:dyDescent="0.3">
      <c r="A268" s="2">
        <v>41819</v>
      </c>
      <c r="B268" s="1">
        <v>1.3595999999999999</v>
      </c>
      <c r="C268" s="1">
        <v>1.716</v>
      </c>
      <c r="D268" s="1">
        <v>0.16118373333763156</v>
      </c>
      <c r="E268" s="1">
        <v>10.32</v>
      </c>
      <c r="F268" s="1">
        <v>104.06</v>
      </c>
      <c r="G268" s="1">
        <f>VLOOKUP(A268,[1]黄金期货历史数据!$A:$B,2,)</f>
        <v>1321.1</v>
      </c>
      <c r="H268" s="1">
        <v>80.281000000000006</v>
      </c>
      <c r="I268" s="1">
        <v>4.4059999999999997</v>
      </c>
      <c r="J268" s="1">
        <v>3.2795000000000001</v>
      </c>
    </row>
    <row r="269" spans="1:10" x14ac:dyDescent="0.3">
      <c r="A269" s="2">
        <v>41826</v>
      </c>
      <c r="B269" s="1">
        <v>1.3609</v>
      </c>
      <c r="C269" s="1">
        <v>1.7124999999999999</v>
      </c>
      <c r="D269" s="1">
        <v>0.16119932296284356</v>
      </c>
      <c r="E269" s="1">
        <v>12.08</v>
      </c>
      <c r="F269" s="1">
        <v>100.83</v>
      </c>
      <c r="G269" s="1">
        <f>VLOOKUP(A269,[1]黄金期货历史数据!$A:$B,2,)</f>
        <v>1338</v>
      </c>
      <c r="H269" s="1">
        <v>80.228999999999999</v>
      </c>
      <c r="I269" s="1">
        <v>4.1459999999999999</v>
      </c>
      <c r="J269" s="1">
        <v>3.2690000000000001</v>
      </c>
    </row>
    <row r="270" spans="1:10" x14ac:dyDescent="0.3">
      <c r="A270" s="2">
        <v>41833</v>
      </c>
      <c r="B270" s="1">
        <v>1.3525</v>
      </c>
      <c r="C270" s="1">
        <v>1.7088000000000001</v>
      </c>
      <c r="D270" s="1">
        <v>0.16108247422680411</v>
      </c>
      <c r="E270" s="1">
        <v>12.06</v>
      </c>
      <c r="F270" s="1">
        <v>103.13</v>
      </c>
      <c r="G270" s="1">
        <f>VLOOKUP(A270,[1]黄金期货历史数据!$A:$B,2,)</f>
        <v>1310</v>
      </c>
      <c r="H270" s="1">
        <v>80.594999999999999</v>
      </c>
      <c r="I270" s="1">
        <v>3.9510000000000001</v>
      </c>
      <c r="J270" s="1">
        <v>3.1844999999999999</v>
      </c>
    </row>
    <row r="271" spans="1:10" x14ac:dyDescent="0.3">
      <c r="A271" s="2">
        <v>41840</v>
      </c>
      <c r="B271" s="1">
        <v>1.3431999999999999</v>
      </c>
      <c r="C271" s="1">
        <v>1.6974</v>
      </c>
      <c r="D271" s="1">
        <v>0.1615065329392574</v>
      </c>
      <c r="E271" s="1">
        <v>12.69</v>
      </c>
      <c r="F271" s="1">
        <v>102.09</v>
      </c>
      <c r="G271" s="1">
        <f>VLOOKUP(A271,[1]黄金期货历史数据!$A:$B,2,)</f>
        <v>1304</v>
      </c>
      <c r="H271" s="1">
        <v>81.125</v>
      </c>
      <c r="I271" s="1">
        <v>3.7810000000000001</v>
      </c>
      <c r="J271" s="1">
        <v>3.2404999999999999</v>
      </c>
    </row>
    <row r="272" spans="1:10" x14ac:dyDescent="0.3">
      <c r="A272" s="2">
        <v>41847</v>
      </c>
      <c r="B272" s="1">
        <v>1.343</v>
      </c>
      <c r="C272" s="1">
        <v>1.6820999999999999</v>
      </c>
      <c r="D272" s="1">
        <v>0.16181753454804362</v>
      </c>
      <c r="E272" s="1">
        <v>17.03</v>
      </c>
      <c r="F272" s="1">
        <v>97.88</v>
      </c>
      <c r="G272" s="1">
        <f>VLOOKUP(A272,[1]黄金期货历史数据!$A:$B,2,)</f>
        <v>1294.0999999999999</v>
      </c>
      <c r="H272" s="1">
        <v>81.376999999999995</v>
      </c>
      <c r="I272" s="1">
        <v>3.798</v>
      </c>
      <c r="J272" s="1">
        <v>3.2204999999999999</v>
      </c>
    </row>
    <row r="273" spans="1:10" x14ac:dyDescent="0.3">
      <c r="A273" s="2">
        <v>41854</v>
      </c>
      <c r="B273" s="1">
        <v>1.3411</v>
      </c>
      <c r="C273" s="1">
        <v>1.6773</v>
      </c>
      <c r="D273" s="1">
        <v>0.16243786751567524</v>
      </c>
      <c r="E273" s="1">
        <v>15.77</v>
      </c>
      <c r="F273" s="1">
        <v>97.65</v>
      </c>
      <c r="G273" s="1">
        <f>VLOOKUP(A273,[1]黄金期货历史数据!$A:$B,2,)</f>
        <v>1310.0999999999999</v>
      </c>
      <c r="H273" s="1">
        <v>81.453999999999994</v>
      </c>
      <c r="I273" s="1">
        <v>3.9620000000000002</v>
      </c>
      <c r="J273" s="1">
        <v>3.1795</v>
      </c>
    </row>
    <row r="274" spans="1:10" x14ac:dyDescent="0.3">
      <c r="A274" s="2">
        <v>41861</v>
      </c>
      <c r="B274" s="1">
        <v>1.3399000000000001</v>
      </c>
      <c r="C274" s="1">
        <v>1.6697</v>
      </c>
      <c r="D274" s="1">
        <v>0.16267568974492452</v>
      </c>
      <c r="E274" s="1">
        <v>13.15</v>
      </c>
      <c r="F274" s="1">
        <v>97.35</v>
      </c>
      <c r="G274" s="1">
        <f>VLOOKUP(A274,[1]黄金期货历史数据!$A:$B,2,)</f>
        <v>1305.4000000000001</v>
      </c>
      <c r="H274" s="1">
        <v>81.468999999999994</v>
      </c>
      <c r="I274" s="1">
        <v>3.7759999999999998</v>
      </c>
      <c r="J274" s="1">
        <v>3.113</v>
      </c>
    </row>
    <row r="275" spans="1:10" x14ac:dyDescent="0.3">
      <c r="A275" s="2">
        <v>41868</v>
      </c>
      <c r="B275" s="1">
        <v>1.3243</v>
      </c>
      <c r="C275" s="1">
        <v>1.6571</v>
      </c>
      <c r="D275" s="1">
        <v>0.16256197675363732</v>
      </c>
      <c r="E275" s="1">
        <v>11.47</v>
      </c>
      <c r="F275" s="1">
        <v>93.65</v>
      </c>
      <c r="G275" s="1">
        <f>VLOOKUP(A275,[1]黄金期货历史数据!$A:$B,2,)</f>
        <v>1279.3</v>
      </c>
      <c r="H275" s="1">
        <v>82.376999999999995</v>
      </c>
      <c r="I275" s="1">
        <v>3.84</v>
      </c>
      <c r="J275" s="1">
        <v>3.2120000000000002</v>
      </c>
    </row>
    <row r="276" spans="1:10" x14ac:dyDescent="0.3">
      <c r="A276" s="2">
        <v>41875</v>
      </c>
      <c r="B276" s="1">
        <v>1.3132999999999999</v>
      </c>
      <c r="C276" s="1">
        <v>1.6598999999999999</v>
      </c>
      <c r="D276" s="1">
        <v>0.16277896244689335</v>
      </c>
      <c r="E276" s="1">
        <v>11.98</v>
      </c>
      <c r="F276" s="1">
        <v>95.96</v>
      </c>
      <c r="G276" s="1">
        <f>VLOOKUP(A276,[1]黄金期货历史数据!$A:$B,2,)</f>
        <v>1287.2</v>
      </c>
      <c r="H276" s="1">
        <v>82.783000000000001</v>
      </c>
      <c r="I276" s="1">
        <v>4.0650000000000004</v>
      </c>
      <c r="J276" s="1">
        <v>3.153</v>
      </c>
    </row>
    <row r="277" spans="1:10" x14ac:dyDescent="0.3">
      <c r="A277" s="2">
        <v>41882</v>
      </c>
      <c r="B277" s="1">
        <v>1.2949999999999999</v>
      </c>
      <c r="C277" s="1">
        <v>1.6327</v>
      </c>
      <c r="D277" s="1">
        <v>0.16285318785115219</v>
      </c>
      <c r="E277" s="1">
        <v>12.09</v>
      </c>
      <c r="F277" s="1">
        <v>93.29</v>
      </c>
      <c r="G277" s="1">
        <f>VLOOKUP(A277,[1]黄金期货历史数据!$A:$B,2,)</f>
        <v>1266.9000000000001</v>
      </c>
      <c r="H277" s="1">
        <v>83.757000000000005</v>
      </c>
      <c r="I277" s="1">
        <v>3.7930000000000001</v>
      </c>
      <c r="J277" s="1">
        <v>3.1669999999999998</v>
      </c>
    </row>
    <row r="278" spans="1:10" x14ac:dyDescent="0.3">
      <c r="A278" s="2">
        <v>41889</v>
      </c>
      <c r="B278" s="1">
        <v>1.2965</v>
      </c>
      <c r="C278" s="1">
        <v>1.6268</v>
      </c>
      <c r="D278" s="1">
        <v>0.16300715601414903</v>
      </c>
      <c r="E278" s="1">
        <v>13.31</v>
      </c>
      <c r="F278" s="1">
        <v>92.27</v>
      </c>
      <c r="G278" s="1">
        <f>VLOOKUP(A278,[1]黄金期货历史数据!$A:$B,2,)</f>
        <v>1230.9000000000001</v>
      </c>
      <c r="H278" s="1">
        <v>84.24</v>
      </c>
      <c r="I278" s="1">
        <v>3.8570000000000002</v>
      </c>
      <c r="J278" s="1">
        <v>3.105</v>
      </c>
    </row>
    <row r="279" spans="1:10" x14ac:dyDescent="0.3">
      <c r="A279" s="2">
        <v>41896</v>
      </c>
      <c r="B279" s="1">
        <v>1.2828999999999999</v>
      </c>
      <c r="C279" s="1">
        <v>1.6288</v>
      </c>
      <c r="D279" s="1">
        <v>0.16283992835043151</v>
      </c>
      <c r="E279" s="1">
        <v>12.11</v>
      </c>
      <c r="F279" s="1">
        <v>92.41</v>
      </c>
      <c r="G279" s="1">
        <f>VLOOKUP(A279,[1]黄金期货历史数据!$A:$B,2,)</f>
        <v>1216</v>
      </c>
      <c r="H279" s="1">
        <v>84.864999999999995</v>
      </c>
      <c r="I279" s="1">
        <v>3.8370000000000002</v>
      </c>
      <c r="J279" s="1">
        <v>3.0910000000000002</v>
      </c>
    </row>
    <row r="280" spans="1:10" x14ac:dyDescent="0.3">
      <c r="A280" s="2">
        <v>41903</v>
      </c>
      <c r="B280" s="1">
        <v>1.2685</v>
      </c>
      <c r="C280" s="1">
        <v>1.6247</v>
      </c>
      <c r="D280" s="1">
        <v>0.16320934863148959</v>
      </c>
      <c r="E280" s="1">
        <v>14.85</v>
      </c>
      <c r="F280" s="1">
        <v>93.54</v>
      </c>
      <c r="G280" s="1">
        <f>VLOOKUP(A280,[1]黄金期货历史数据!$A:$B,2,)</f>
        <v>1214.8</v>
      </c>
      <c r="H280" s="1">
        <v>85.766999999999996</v>
      </c>
      <c r="I280" s="1">
        <v>3.984</v>
      </c>
      <c r="J280" s="1">
        <v>3.0339999999999998</v>
      </c>
    </row>
    <row r="281" spans="1:10" x14ac:dyDescent="0.3">
      <c r="A281" s="2">
        <v>41910</v>
      </c>
      <c r="B281" s="1">
        <v>1.2517</v>
      </c>
      <c r="C281" s="1">
        <v>1.5964</v>
      </c>
      <c r="D281" s="1">
        <v>0.16289297931259161</v>
      </c>
      <c r="E281" s="1">
        <v>14.55</v>
      </c>
      <c r="F281" s="1">
        <v>89.74</v>
      </c>
      <c r="G281" s="1">
        <f>VLOOKUP(A281,[1]黄金期货历史数据!$A:$B,2,)</f>
        <v>1192.9000000000001</v>
      </c>
      <c r="H281" s="1">
        <v>86.822999999999993</v>
      </c>
      <c r="I281" s="1">
        <v>4.0389999999999997</v>
      </c>
      <c r="J281" s="1">
        <v>2.9984999999999999</v>
      </c>
    </row>
    <row r="282" spans="1:10" x14ac:dyDescent="0.3">
      <c r="A282" s="2">
        <v>41917</v>
      </c>
      <c r="B282" s="1">
        <v>1.2627999999999999</v>
      </c>
      <c r="C282" s="1">
        <v>1.6077999999999999</v>
      </c>
      <c r="D282" s="1">
        <v>0.16310286897946535</v>
      </c>
      <c r="E282" s="1">
        <v>21.24</v>
      </c>
      <c r="F282" s="1">
        <v>85.82</v>
      </c>
      <c r="G282" s="1">
        <f>VLOOKUP(A282,[1]黄金期货历史数据!$A:$B,2,)</f>
        <v>1221.7</v>
      </c>
      <c r="H282" s="1">
        <v>86.031000000000006</v>
      </c>
      <c r="I282" s="1">
        <v>3.859</v>
      </c>
      <c r="J282" s="1">
        <v>3.0350000000000001</v>
      </c>
    </row>
    <row r="283" spans="1:10" x14ac:dyDescent="0.3">
      <c r="A283" s="2">
        <v>41924</v>
      </c>
      <c r="B283" s="1">
        <v>1.2763</v>
      </c>
      <c r="C283" s="1">
        <v>1.6094999999999999</v>
      </c>
      <c r="D283" s="1">
        <v>0.16329196603527107</v>
      </c>
      <c r="E283" s="1">
        <v>21.99</v>
      </c>
      <c r="F283" s="1">
        <v>82.75</v>
      </c>
      <c r="G283" s="1">
        <f>VLOOKUP(A283,[1]黄金期货历史数据!$A:$B,2,)</f>
        <v>1239</v>
      </c>
      <c r="H283" s="1">
        <v>85.212999999999994</v>
      </c>
      <c r="I283" s="1">
        <v>3.766</v>
      </c>
      <c r="J283" s="1">
        <v>3.0034999999999998</v>
      </c>
    </row>
    <row r="284" spans="1:10" x14ac:dyDescent="0.3">
      <c r="A284" s="2">
        <v>41931</v>
      </c>
      <c r="B284" s="1">
        <v>1.2669999999999999</v>
      </c>
      <c r="C284" s="1">
        <v>1.6091</v>
      </c>
      <c r="D284" s="1">
        <v>0.16347882949158085</v>
      </c>
      <c r="E284" s="1">
        <v>16.11</v>
      </c>
      <c r="F284" s="1">
        <v>81.010000000000005</v>
      </c>
      <c r="G284" s="1">
        <f>VLOOKUP(A284,[1]黄金期货历史数据!$A:$B,2,)</f>
        <v>1231.8</v>
      </c>
      <c r="H284" s="1">
        <v>85.817999999999998</v>
      </c>
      <c r="I284" s="1">
        <v>3.6230000000000002</v>
      </c>
      <c r="J284" s="1">
        <v>3.0409999999999999</v>
      </c>
    </row>
    <row r="285" spans="1:10" x14ac:dyDescent="0.3">
      <c r="A285" s="2">
        <v>41938</v>
      </c>
      <c r="B285" s="1">
        <v>1.2524999999999999</v>
      </c>
      <c r="C285" s="1">
        <v>1.5998000000000001</v>
      </c>
      <c r="D285" s="1">
        <v>0.16359382924076102</v>
      </c>
      <c r="E285" s="1">
        <v>14.03</v>
      </c>
      <c r="F285" s="1">
        <v>80.540000000000006</v>
      </c>
      <c r="G285" s="1">
        <f>VLOOKUP(A285,[1]黄金期货历史数据!$A:$B,2,)</f>
        <v>1172</v>
      </c>
      <c r="H285" s="1">
        <v>87.016000000000005</v>
      </c>
      <c r="I285" s="1">
        <v>3.8730000000000002</v>
      </c>
      <c r="J285" s="1">
        <v>3.0470000000000002</v>
      </c>
    </row>
    <row r="286" spans="1:10" x14ac:dyDescent="0.3">
      <c r="A286" s="2">
        <v>41945</v>
      </c>
      <c r="B286" s="1">
        <v>1.2454000000000001</v>
      </c>
      <c r="C286" s="1">
        <v>1.5873999999999999</v>
      </c>
      <c r="D286" s="1">
        <v>0.16332663694121874</v>
      </c>
      <c r="E286" s="1">
        <v>13.12</v>
      </c>
      <c r="F286" s="1">
        <v>78.650000000000006</v>
      </c>
      <c r="G286" s="1">
        <f>VLOOKUP(A286,[1]黄金期货历史数据!$A:$B,2,)</f>
        <v>1170.2</v>
      </c>
      <c r="H286" s="1">
        <v>87.725999999999999</v>
      </c>
      <c r="I286" s="1">
        <v>4.4119999999999999</v>
      </c>
      <c r="J286" s="1">
        <v>3.0369999999999999</v>
      </c>
    </row>
    <row r="287" spans="1:10" x14ac:dyDescent="0.3">
      <c r="A287" s="2">
        <v>41952</v>
      </c>
      <c r="B287" s="1">
        <v>1.2524</v>
      </c>
      <c r="C287" s="1">
        <v>1.5669999999999999</v>
      </c>
      <c r="D287" s="1">
        <v>0.16314544416347174</v>
      </c>
      <c r="E287" s="1">
        <v>13.31</v>
      </c>
      <c r="F287" s="1">
        <v>75.819999999999993</v>
      </c>
      <c r="G287" s="1">
        <f>VLOOKUP(A287,[1]黄金期货历史数据!$A:$B,2,)</f>
        <v>1185.9000000000001</v>
      </c>
      <c r="H287" s="1">
        <v>87.593000000000004</v>
      </c>
      <c r="I287" s="1">
        <v>4.0199999999999996</v>
      </c>
      <c r="J287" s="1">
        <v>3.0445000000000002</v>
      </c>
    </row>
    <row r="288" spans="1:10" x14ac:dyDescent="0.3">
      <c r="A288" s="2">
        <v>41959</v>
      </c>
      <c r="B288" s="1">
        <v>1.2390000000000001</v>
      </c>
      <c r="C288" s="1">
        <v>1.5654999999999999</v>
      </c>
      <c r="D288" s="1">
        <v>0.16326797172198729</v>
      </c>
      <c r="E288" s="1">
        <v>12.9</v>
      </c>
      <c r="F288" s="1">
        <v>76.510000000000005</v>
      </c>
      <c r="G288" s="1">
        <f>VLOOKUP(A288,[1]黄金期货历史数据!$A:$B,2,)</f>
        <v>1198</v>
      </c>
      <c r="H288" s="1">
        <v>88.405000000000001</v>
      </c>
      <c r="I288" s="1">
        <v>4.266</v>
      </c>
      <c r="J288" s="1">
        <v>3.0335000000000001</v>
      </c>
    </row>
    <row r="289" spans="1:10" x14ac:dyDescent="0.3">
      <c r="A289" s="2">
        <v>41966</v>
      </c>
      <c r="B289" s="1">
        <v>1.2452000000000001</v>
      </c>
      <c r="C289" s="1">
        <v>1.5649</v>
      </c>
      <c r="D289" s="1">
        <v>0.16278161218908713</v>
      </c>
      <c r="E289" s="1">
        <v>13.33</v>
      </c>
      <c r="F289" s="1">
        <v>66.150000000000006</v>
      </c>
      <c r="G289" s="1">
        <f>VLOOKUP(A289,[1]黄金期货历史数据!$A:$B,2,)</f>
        <v>1175.5</v>
      </c>
      <c r="H289" s="1">
        <v>88.412999999999997</v>
      </c>
      <c r="I289" s="1">
        <v>4.0880000000000001</v>
      </c>
      <c r="J289" s="1">
        <v>2.8559999999999999</v>
      </c>
    </row>
    <row r="290" spans="1:10" x14ac:dyDescent="0.3">
      <c r="A290" s="2">
        <v>41973</v>
      </c>
      <c r="B290" s="1">
        <v>1.2285999999999999</v>
      </c>
      <c r="C290" s="1">
        <v>1.5583</v>
      </c>
      <c r="D290" s="1">
        <v>0.1625963383304608</v>
      </c>
      <c r="E290" s="1">
        <v>11.82</v>
      </c>
      <c r="F290" s="1">
        <v>65.84</v>
      </c>
      <c r="G290" s="1">
        <f>VLOOKUP(A290,[1]黄金期货历史数据!$A:$B,2,)</f>
        <v>1190.4000000000001</v>
      </c>
      <c r="H290" s="1">
        <v>89.36</v>
      </c>
      <c r="I290" s="1">
        <v>3.802</v>
      </c>
      <c r="J290" s="1">
        <v>2.9135</v>
      </c>
    </row>
    <row r="291" spans="1:10" x14ac:dyDescent="0.3">
      <c r="A291" s="2">
        <v>41980</v>
      </c>
      <c r="B291" s="1">
        <v>1.2462</v>
      </c>
      <c r="C291" s="1">
        <v>1.5720000000000001</v>
      </c>
      <c r="D291" s="1">
        <v>0.16163183500622283</v>
      </c>
      <c r="E291" s="1">
        <v>21.08</v>
      </c>
      <c r="F291" s="1">
        <v>57.81</v>
      </c>
      <c r="G291" s="1">
        <f>VLOOKUP(A291,[1]黄金期货历史数据!$A:$B,2,)</f>
        <v>1222.5</v>
      </c>
      <c r="H291" s="1">
        <v>88.344999999999999</v>
      </c>
      <c r="I291" s="1">
        <v>3.7949999999999999</v>
      </c>
      <c r="J291" s="1">
        <v>2.9415</v>
      </c>
    </row>
    <row r="292" spans="1:10" x14ac:dyDescent="0.3">
      <c r="A292" s="2">
        <v>41987</v>
      </c>
      <c r="B292" s="1">
        <v>1.2228000000000001</v>
      </c>
      <c r="C292" s="1">
        <v>1.5631999999999999</v>
      </c>
      <c r="D292" s="1">
        <v>0.160774288975707</v>
      </c>
      <c r="E292" s="1">
        <v>16.489999999999998</v>
      </c>
      <c r="F292" s="1">
        <v>56.52</v>
      </c>
      <c r="G292" s="1">
        <f>VLOOKUP(A292,[1]黄金期货历史数据!$A:$B,2,)</f>
        <v>1196</v>
      </c>
      <c r="H292" s="1">
        <v>89.840999999999994</v>
      </c>
      <c r="I292" s="1">
        <v>3.464</v>
      </c>
      <c r="J292" s="1">
        <v>2.8925000000000001</v>
      </c>
    </row>
    <row r="293" spans="1:10" x14ac:dyDescent="0.3">
      <c r="A293" s="2">
        <v>41994</v>
      </c>
      <c r="B293" s="1">
        <v>1.2176</v>
      </c>
      <c r="C293" s="1">
        <v>1.5556000000000001</v>
      </c>
      <c r="D293" s="1">
        <v>0.16095543144103397</v>
      </c>
      <c r="E293" s="1">
        <v>14.5</v>
      </c>
      <c r="F293" s="1">
        <v>54.73</v>
      </c>
      <c r="G293" s="1">
        <f>VLOOKUP(A293,[1]黄金期货历史数据!$A:$B,2,)</f>
        <v>1195.3</v>
      </c>
      <c r="H293" s="1">
        <v>90.31</v>
      </c>
      <c r="I293" s="1">
        <v>3.0070000000000001</v>
      </c>
      <c r="J293" s="1">
        <v>2.8235000000000001</v>
      </c>
    </row>
    <row r="294" spans="1:10" x14ac:dyDescent="0.3">
      <c r="A294" s="2">
        <v>42001</v>
      </c>
      <c r="B294" s="1">
        <v>1.2002999999999999</v>
      </c>
      <c r="C294" s="1">
        <v>1.5327999999999999</v>
      </c>
      <c r="D294" s="1">
        <v>0.16113178969078809</v>
      </c>
      <c r="E294" s="1">
        <v>17.79</v>
      </c>
      <c r="F294" s="1">
        <v>52.69</v>
      </c>
      <c r="G294" s="1">
        <f>VLOOKUP(A294,[1]黄金期货历史数据!$A:$B,2,)</f>
        <v>1186.5999999999999</v>
      </c>
      <c r="H294" s="1">
        <v>91.382999999999996</v>
      </c>
      <c r="I294" s="1">
        <v>3.0030000000000001</v>
      </c>
      <c r="J294" s="1">
        <v>2.8174999999999999</v>
      </c>
    </row>
    <row r="295" spans="1:10" x14ac:dyDescent="0.3">
      <c r="A295" s="2">
        <v>42008</v>
      </c>
      <c r="B295" s="1">
        <v>1.1841999999999999</v>
      </c>
      <c r="C295" s="1">
        <v>1.516</v>
      </c>
      <c r="D295" s="1">
        <v>0.16106171885066356</v>
      </c>
      <c r="E295" s="1">
        <v>17.55</v>
      </c>
      <c r="F295" s="1">
        <v>48.36</v>
      </c>
      <c r="G295" s="1">
        <f>VLOOKUP(A295,[1]黄金期货历史数据!$A:$B,2,)</f>
        <v>1216.5</v>
      </c>
      <c r="H295" s="1">
        <v>92.147000000000006</v>
      </c>
      <c r="I295" s="1">
        <v>2.9460000000000002</v>
      </c>
      <c r="J295" s="1">
        <v>2.7545000000000002</v>
      </c>
    </row>
    <row r="296" spans="1:10" x14ac:dyDescent="0.3">
      <c r="A296" s="2">
        <v>42015</v>
      </c>
      <c r="B296" s="1">
        <v>1.1569</v>
      </c>
      <c r="C296" s="1">
        <v>1.5150999999999999</v>
      </c>
      <c r="D296" s="1">
        <v>0.16110842597067826</v>
      </c>
      <c r="E296" s="1">
        <v>20.95</v>
      </c>
      <c r="F296" s="1">
        <v>48.69</v>
      </c>
      <c r="G296" s="1">
        <f>VLOOKUP(A296,[1]黄金期货历史数据!$A:$B,2,)</f>
        <v>1277.4000000000001</v>
      </c>
      <c r="H296" s="1">
        <v>92.89</v>
      </c>
      <c r="I296" s="1">
        <v>3.1269999999999998</v>
      </c>
      <c r="J296" s="1">
        <v>2.617</v>
      </c>
    </row>
    <row r="297" spans="1:10" x14ac:dyDescent="0.3">
      <c r="A297" s="2">
        <v>42022</v>
      </c>
      <c r="B297" s="1">
        <v>1.1208</v>
      </c>
      <c r="C297" s="1">
        <v>1.4990000000000001</v>
      </c>
      <c r="D297" s="1">
        <v>0.16055229991169623</v>
      </c>
      <c r="E297" s="1">
        <v>16.66</v>
      </c>
      <c r="F297" s="1">
        <v>45.59</v>
      </c>
      <c r="G297" s="1">
        <f>VLOOKUP(A297,[1]黄金期货历史数据!$A:$B,2,)</f>
        <v>1293.2</v>
      </c>
      <c r="H297" s="1">
        <v>95.052999999999997</v>
      </c>
      <c r="I297" s="1">
        <v>2.9860000000000002</v>
      </c>
      <c r="J297" s="1">
        <v>2.5015000000000001</v>
      </c>
    </row>
    <row r="298" spans="1:10" x14ac:dyDescent="0.3">
      <c r="A298" s="2">
        <v>42029</v>
      </c>
      <c r="B298" s="1">
        <v>1.1288</v>
      </c>
      <c r="C298" s="1">
        <v>1.5068999999999999</v>
      </c>
      <c r="D298" s="1">
        <v>0.16</v>
      </c>
      <c r="E298" s="1">
        <v>20.97</v>
      </c>
      <c r="F298" s="1">
        <v>48.24</v>
      </c>
      <c r="G298" s="1">
        <f>VLOOKUP(A298,[1]黄金期货历史数据!$A:$B,2,)</f>
        <v>1279.2</v>
      </c>
      <c r="H298" s="1">
        <v>94.998000000000005</v>
      </c>
      <c r="I298" s="1">
        <v>2.6909999999999998</v>
      </c>
      <c r="J298" s="1">
        <v>2.4954999999999998</v>
      </c>
    </row>
    <row r="299" spans="1:10" x14ac:dyDescent="0.3">
      <c r="A299" s="2">
        <v>42036</v>
      </c>
      <c r="B299" s="1">
        <v>1.1315999999999999</v>
      </c>
      <c r="C299" s="1">
        <v>1.5246</v>
      </c>
      <c r="D299" s="1">
        <v>0.1601537475976938</v>
      </c>
      <c r="E299" s="1">
        <v>17.29</v>
      </c>
      <c r="F299" s="1">
        <v>51.69</v>
      </c>
      <c r="G299" s="1">
        <f>VLOOKUP(A299,[1]黄金期货历史数据!$A:$B,2,)</f>
        <v>1234.5999999999999</v>
      </c>
      <c r="H299" s="1">
        <v>94.850999999999999</v>
      </c>
      <c r="I299" s="1">
        <v>2.5790000000000002</v>
      </c>
      <c r="J299" s="1">
        <v>2.5880000000000001</v>
      </c>
    </row>
    <row r="300" spans="1:10" x14ac:dyDescent="0.3">
      <c r="A300" s="2">
        <v>42043</v>
      </c>
      <c r="B300" s="1">
        <v>1.1385000000000001</v>
      </c>
      <c r="C300" s="1">
        <v>1.5399</v>
      </c>
      <c r="D300" s="1">
        <v>0.1602487059916991</v>
      </c>
      <c r="E300" s="1">
        <v>14.69</v>
      </c>
      <c r="F300" s="1">
        <v>52.78</v>
      </c>
      <c r="G300" s="1">
        <f>VLOOKUP(A300,[1]黄金期货历史数据!$A:$B,2,)</f>
        <v>1227.0999999999999</v>
      </c>
      <c r="H300" s="1">
        <v>94.278999999999996</v>
      </c>
      <c r="I300" s="1">
        <v>2.8039999999999998</v>
      </c>
      <c r="J300" s="1">
        <v>2.6110000000000002</v>
      </c>
    </row>
    <row r="301" spans="1:10" x14ac:dyDescent="0.3">
      <c r="A301" s="2">
        <v>42050</v>
      </c>
      <c r="B301" s="1">
        <v>1.1380999999999999</v>
      </c>
      <c r="C301" s="1">
        <v>1.54</v>
      </c>
      <c r="D301" s="1">
        <v>0.15986954645009674</v>
      </c>
      <c r="E301" s="1">
        <v>14.3</v>
      </c>
      <c r="F301" s="1">
        <v>50.34</v>
      </c>
      <c r="G301" s="1">
        <f>VLOOKUP(A301,[1]黄金期货历史数据!$A:$B,2,)</f>
        <v>1204.9000000000001</v>
      </c>
      <c r="H301" s="1">
        <v>94.34</v>
      </c>
      <c r="I301" s="1">
        <v>2.9510000000000001</v>
      </c>
      <c r="J301" s="1">
        <v>2.5979999999999999</v>
      </c>
    </row>
    <row r="302" spans="1:10" x14ac:dyDescent="0.3">
      <c r="A302" s="2">
        <v>42057</v>
      </c>
      <c r="B302" s="1">
        <v>1.1195999999999999</v>
      </c>
      <c r="C302" s="1">
        <v>1.5434000000000001</v>
      </c>
      <c r="D302" s="1">
        <v>0.15949980860022969</v>
      </c>
      <c r="E302" s="1">
        <v>13.34</v>
      </c>
      <c r="F302" s="1">
        <v>49.76</v>
      </c>
      <c r="G302" s="1">
        <f>VLOOKUP(A302,[1]黄金期货历史数据!$A:$B,2,)</f>
        <v>1213.5</v>
      </c>
      <c r="H302" s="1">
        <v>95.320999999999998</v>
      </c>
      <c r="I302" s="1">
        <v>2.734</v>
      </c>
      <c r="J302" s="1">
        <v>2.6915</v>
      </c>
    </row>
    <row r="303" spans="1:10" x14ac:dyDescent="0.3">
      <c r="A303" s="2">
        <v>42064</v>
      </c>
      <c r="B303" s="1">
        <v>1.0844</v>
      </c>
      <c r="C303" s="1">
        <v>1.5037</v>
      </c>
      <c r="D303" s="1">
        <v>0.15968063872255489</v>
      </c>
      <c r="E303" s="1">
        <v>15.2</v>
      </c>
      <c r="F303" s="1">
        <v>49.61</v>
      </c>
      <c r="G303" s="1">
        <f>VLOOKUP(A303,[1]黄金期货历史数据!$A:$B,2,)</f>
        <v>1164.8</v>
      </c>
      <c r="H303" s="1">
        <v>97.603999999999999</v>
      </c>
      <c r="I303" s="1">
        <v>2.839</v>
      </c>
      <c r="J303" s="1">
        <v>2.609</v>
      </c>
    </row>
    <row r="304" spans="1:10" x14ac:dyDescent="0.3">
      <c r="A304" s="2">
        <v>42071</v>
      </c>
      <c r="B304" s="1">
        <v>1.0495000000000001</v>
      </c>
      <c r="C304" s="1">
        <v>1.4743999999999999</v>
      </c>
      <c r="D304" s="1">
        <v>0.1597571691029635</v>
      </c>
      <c r="E304" s="1">
        <v>16</v>
      </c>
      <c r="F304" s="1">
        <v>44.84</v>
      </c>
      <c r="G304" s="1">
        <f>VLOOKUP(A304,[1]黄金期货历史数据!$A:$B,2,)</f>
        <v>1152.8</v>
      </c>
      <c r="H304" s="1">
        <v>100.31399999999999</v>
      </c>
      <c r="I304" s="1">
        <v>2.7269999999999999</v>
      </c>
      <c r="J304" s="1">
        <v>2.6635</v>
      </c>
    </row>
    <row r="305" spans="1:10" x14ac:dyDescent="0.3">
      <c r="A305" s="2">
        <v>42078</v>
      </c>
      <c r="B305" s="1">
        <v>1.0822000000000001</v>
      </c>
      <c r="C305" s="1">
        <v>1.4951000000000001</v>
      </c>
      <c r="D305" s="1">
        <v>0.16115516018822923</v>
      </c>
      <c r="E305" s="1">
        <v>13.02</v>
      </c>
      <c r="F305" s="1">
        <v>45.72</v>
      </c>
      <c r="G305" s="1">
        <f>VLOOKUP(A305,[1]黄金期货历史数据!$A:$B,2,)</f>
        <v>1185</v>
      </c>
      <c r="H305" s="1">
        <v>98.171000000000006</v>
      </c>
      <c r="I305" s="1">
        <v>2.786</v>
      </c>
      <c r="J305" s="1">
        <v>2.7610000000000001</v>
      </c>
    </row>
    <row r="306" spans="1:10" x14ac:dyDescent="0.3">
      <c r="A306" s="2">
        <v>42085</v>
      </c>
      <c r="B306" s="1">
        <v>1.0889</v>
      </c>
      <c r="C306" s="1">
        <v>1.4877</v>
      </c>
      <c r="D306" s="1">
        <v>0.16090104585679807</v>
      </c>
      <c r="E306" s="1">
        <v>15.07</v>
      </c>
      <c r="F306" s="1">
        <v>48.87</v>
      </c>
      <c r="G306" s="1">
        <f>VLOOKUP(A306,[1]黄金期货历史数据!$A:$B,2,)</f>
        <v>1200.3</v>
      </c>
      <c r="H306" s="1">
        <v>97.52</v>
      </c>
      <c r="I306" s="1">
        <v>2.59</v>
      </c>
      <c r="J306" s="1">
        <v>2.7675000000000001</v>
      </c>
    </row>
    <row r="307" spans="1:10" x14ac:dyDescent="0.3">
      <c r="A307" s="2">
        <v>42092</v>
      </c>
      <c r="B307" s="1">
        <v>1.0978000000000001</v>
      </c>
      <c r="C307" s="1">
        <v>1.4921</v>
      </c>
      <c r="D307" s="1">
        <v>0.16145959473641722</v>
      </c>
      <c r="E307" s="1">
        <v>14.67</v>
      </c>
      <c r="F307" s="1">
        <v>49.14</v>
      </c>
      <c r="G307" s="1">
        <f>VLOOKUP(A307,[1]黄金期货历史数据!$A:$B,2,)</f>
        <v>1200.9000000000001</v>
      </c>
      <c r="H307" s="1">
        <v>96.801000000000002</v>
      </c>
      <c r="I307" s="1">
        <v>2.7130000000000001</v>
      </c>
      <c r="J307" s="1">
        <v>2.7360000000000002</v>
      </c>
    </row>
    <row r="308" spans="1:10" x14ac:dyDescent="0.3">
      <c r="A308" s="2">
        <v>42099</v>
      </c>
      <c r="B308" s="1">
        <v>1.0604</v>
      </c>
      <c r="C308" s="1">
        <v>1.4631000000000001</v>
      </c>
      <c r="D308" s="1">
        <v>0.16106950148989288</v>
      </c>
      <c r="E308" s="1">
        <v>12.58</v>
      </c>
      <c r="F308" s="1">
        <v>51.64</v>
      </c>
      <c r="G308" s="1">
        <f>VLOOKUP(A308,[1]黄金期货历史数据!$A:$B,2,)</f>
        <v>1204.5999999999999</v>
      </c>
      <c r="H308" s="1">
        <v>99.596000000000004</v>
      </c>
      <c r="I308" s="1">
        <v>2.5110000000000001</v>
      </c>
      <c r="J308" s="1">
        <v>2.7364999999999999</v>
      </c>
    </row>
    <row r="309" spans="1:10" x14ac:dyDescent="0.3">
      <c r="A309" s="2">
        <v>42106</v>
      </c>
      <c r="B309" s="1">
        <v>1.0807</v>
      </c>
      <c r="C309" s="1">
        <v>1.4962</v>
      </c>
      <c r="D309" s="1">
        <v>0.16134757494594856</v>
      </c>
      <c r="E309" s="1">
        <v>13.89</v>
      </c>
      <c r="F309" s="1">
        <v>55.74</v>
      </c>
      <c r="G309" s="1">
        <f>VLOOKUP(A309,[1]黄金期货历史数据!$A:$B,2,)</f>
        <v>1203.0999999999999</v>
      </c>
      <c r="H309" s="1">
        <v>97.706999999999994</v>
      </c>
      <c r="I309" s="1">
        <v>2.6339999999999999</v>
      </c>
      <c r="J309" s="1">
        <v>2.7725</v>
      </c>
    </row>
    <row r="310" spans="1:10" x14ac:dyDescent="0.3">
      <c r="A310" s="2">
        <v>42113</v>
      </c>
      <c r="B310" s="1">
        <v>1.0873999999999999</v>
      </c>
      <c r="C310" s="1">
        <v>1.5188999999999999</v>
      </c>
      <c r="D310" s="1">
        <v>0.16145959473641722</v>
      </c>
      <c r="E310" s="1">
        <v>12.29</v>
      </c>
      <c r="F310" s="1">
        <v>57.15</v>
      </c>
      <c r="G310" s="1">
        <f>VLOOKUP(A310,[1]黄金期货历史数据!$A:$B,2,)</f>
        <v>1175</v>
      </c>
      <c r="H310" s="1">
        <v>97.099000000000004</v>
      </c>
      <c r="I310" s="1">
        <v>2.5310000000000001</v>
      </c>
      <c r="J310" s="1">
        <v>2.7519999999999998</v>
      </c>
    </row>
    <row r="311" spans="1:10" x14ac:dyDescent="0.3">
      <c r="A311" s="2">
        <v>42120</v>
      </c>
      <c r="B311" s="1">
        <v>1.1201000000000001</v>
      </c>
      <c r="C311" s="1">
        <v>1.5141</v>
      </c>
      <c r="D311" s="1">
        <v>0.16121751467079384</v>
      </c>
      <c r="E311" s="1">
        <v>12.7</v>
      </c>
      <c r="F311" s="1">
        <v>59.15</v>
      </c>
      <c r="G311" s="1">
        <f>VLOOKUP(A311,[1]黄金期货历史数据!$A:$B,2,)</f>
        <v>1175</v>
      </c>
      <c r="H311" s="1">
        <v>95.444999999999993</v>
      </c>
      <c r="I311" s="1">
        <v>2.7759999999999998</v>
      </c>
      <c r="J311" s="1">
        <v>2.9295</v>
      </c>
    </row>
    <row r="312" spans="1:10" x14ac:dyDescent="0.3">
      <c r="A312" s="2">
        <v>42127</v>
      </c>
      <c r="B312" s="1">
        <v>1.1204000000000001</v>
      </c>
      <c r="C312" s="1">
        <v>1.5456000000000001</v>
      </c>
      <c r="D312" s="1">
        <v>0.1610461558282604</v>
      </c>
      <c r="E312" s="1">
        <v>12.86</v>
      </c>
      <c r="F312" s="1">
        <v>59.39</v>
      </c>
      <c r="G312" s="1">
        <f>VLOOKUP(A312,[1]黄金期货历史数据!$A:$B,2,)</f>
        <v>1189.4000000000001</v>
      </c>
      <c r="H312" s="1">
        <v>94.903999999999996</v>
      </c>
      <c r="I312" s="1">
        <v>2.88</v>
      </c>
      <c r="J312" s="1">
        <v>2.9205000000000001</v>
      </c>
    </row>
    <row r="313" spans="1:10" x14ac:dyDescent="0.3">
      <c r="A313" s="2">
        <v>42134</v>
      </c>
      <c r="B313" s="1">
        <v>1.1453</v>
      </c>
      <c r="C313" s="1">
        <v>1.5723</v>
      </c>
      <c r="D313" s="1">
        <v>0.16113178969078809</v>
      </c>
      <c r="E313" s="1">
        <v>12.38</v>
      </c>
      <c r="F313" s="1">
        <v>59.69</v>
      </c>
      <c r="G313" s="1">
        <f>VLOOKUP(A313,[1]黄金期货历史数据!$A:$B,2,)</f>
        <v>1225.8</v>
      </c>
      <c r="H313" s="1">
        <v>93.18</v>
      </c>
      <c r="I313" s="1">
        <v>3.016</v>
      </c>
      <c r="J313" s="1">
        <v>2.9245000000000001</v>
      </c>
    </row>
    <row r="314" spans="1:10" x14ac:dyDescent="0.3">
      <c r="A314" s="2">
        <v>42141</v>
      </c>
      <c r="B314" s="1">
        <v>1.1017999999999999</v>
      </c>
      <c r="C314" s="1">
        <v>1.5489999999999999</v>
      </c>
      <c r="D314" s="1">
        <v>0.16135798883402716</v>
      </c>
      <c r="E314" s="1">
        <v>12.13</v>
      </c>
      <c r="F314" s="1">
        <v>59.72</v>
      </c>
      <c r="G314" s="1">
        <f>VLOOKUP(A314,[1]黄金期货历史数据!$A:$B,2,)</f>
        <v>1204.4000000000001</v>
      </c>
      <c r="H314" s="1">
        <v>96.11</v>
      </c>
      <c r="I314" s="1">
        <v>2.887</v>
      </c>
      <c r="J314" s="1">
        <v>2.8109999999999999</v>
      </c>
    </row>
    <row r="315" spans="1:10" x14ac:dyDescent="0.3">
      <c r="A315" s="2">
        <v>42148</v>
      </c>
      <c r="B315" s="1">
        <v>1.0988</v>
      </c>
      <c r="C315" s="1">
        <v>1.5290999999999999</v>
      </c>
      <c r="D315" s="1">
        <v>0.16133455947598535</v>
      </c>
      <c r="E315" s="1">
        <v>13.84</v>
      </c>
      <c r="F315" s="1">
        <v>60.3</v>
      </c>
      <c r="G315" s="1">
        <f>VLOOKUP(A315,[1]黄金期货历史数据!$A:$B,2,)</f>
        <v>1189.8</v>
      </c>
      <c r="H315" s="1">
        <v>96.986000000000004</v>
      </c>
      <c r="I315" s="1">
        <v>2.6419999999999999</v>
      </c>
      <c r="J315" s="1">
        <v>2.7330000000000001</v>
      </c>
    </row>
    <row r="316" spans="1:10" x14ac:dyDescent="0.3">
      <c r="A316" s="2">
        <v>42155</v>
      </c>
      <c r="B316" s="1">
        <v>1.1113</v>
      </c>
      <c r="C316" s="1">
        <v>1.5271999999999999</v>
      </c>
      <c r="D316" s="1">
        <v>0.1612019215269046</v>
      </c>
      <c r="E316" s="1">
        <v>14.21</v>
      </c>
      <c r="F316" s="1">
        <v>59.13</v>
      </c>
      <c r="G316" s="1">
        <f>VLOOKUP(A316,[1]黄金期货历史数据!$A:$B,2,)</f>
        <v>1168.0999999999999</v>
      </c>
      <c r="H316" s="1">
        <v>96.361000000000004</v>
      </c>
      <c r="I316" s="1">
        <v>2.59</v>
      </c>
      <c r="J316" s="1">
        <v>2.6960000000000002</v>
      </c>
    </row>
    <row r="317" spans="1:10" x14ac:dyDescent="0.3">
      <c r="A317" s="2">
        <v>42162</v>
      </c>
      <c r="B317" s="1">
        <v>1.1269</v>
      </c>
      <c r="C317" s="1">
        <v>1.5559000000000001</v>
      </c>
      <c r="D317" s="1">
        <v>0.16107469033390781</v>
      </c>
      <c r="E317" s="1">
        <v>13.78</v>
      </c>
      <c r="F317" s="1">
        <v>59.96</v>
      </c>
      <c r="G317" s="1">
        <f>VLOOKUP(A317,[1]黄金期货历史数据!$A:$B,2,)</f>
        <v>1179.2</v>
      </c>
      <c r="H317" s="1">
        <v>94.986999999999995</v>
      </c>
      <c r="I317" s="1">
        <v>2.75</v>
      </c>
      <c r="J317" s="1">
        <v>2.6829999999999998</v>
      </c>
    </row>
    <row r="318" spans="1:10" x14ac:dyDescent="0.3">
      <c r="A318" s="2">
        <v>42169</v>
      </c>
      <c r="B318" s="1">
        <v>1.1353</v>
      </c>
      <c r="C318" s="1">
        <v>1.5884</v>
      </c>
      <c r="D318" s="1">
        <v>0.1610435622835977</v>
      </c>
      <c r="E318" s="1">
        <v>13.96</v>
      </c>
      <c r="F318" s="1">
        <v>59.61</v>
      </c>
      <c r="G318" s="1">
        <f>VLOOKUP(A318,[1]黄金期货历史数据!$A:$B,2,)</f>
        <v>1201.9000000000001</v>
      </c>
      <c r="H318" s="1">
        <v>94.272000000000006</v>
      </c>
      <c r="I318" s="1">
        <v>2.8159999999999998</v>
      </c>
      <c r="J318" s="1">
        <v>2.5750000000000002</v>
      </c>
    </row>
    <row r="319" spans="1:10" x14ac:dyDescent="0.3">
      <c r="A319" s="2">
        <v>42176</v>
      </c>
      <c r="B319" s="1">
        <v>1.1166</v>
      </c>
      <c r="C319" s="1">
        <v>1.5751999999999999</v>
      </c>
      <c r="D319" s="1">
        <v>0.16105653084232566</v>
      </c>
      <c r="E319" s="1">
        <v>14.02</v>
      </c>
      <c r="F319" s="1">
        <v>59.63</v>
      </c>
      <c r="G319" s="1">
        <f>VLOOKUP(A319,[1]黄金期货历史数据!$A:$B,2,)</f>
        <v>1173.2</v>
      </c>
      <c r="H319" s="1">
        <v>95.650999999999996</v>
      </c>
      <c r="I319" s="1">
        <v>2.7730000000000001</v>
      </c>
      <c r="J319" s="1">
        <v>2.6395</v>
      </c>
    </row>
    <row r="320" spans="1:10" x14ac:dyDescent="0.3">
      <c r="A320" s="2">
        <v>42183</v>
      </c>
      <c r="B320" s="1">
        <v>1.1113999999999999</v>
      </c>
      <c r="C320" s="1">
        <v>1.5570999999999999</v>
      </c>
      <c r="D320" s="1">
        <v>0.16114217574165685</v>
      </c>
      <c r="E320" s="1">
        <v>16.79</v>
      </c>
      <c r="F320" s="1">
        <v>56.93</v>
      </c>
      <c r="G320" s="1">
        <f>VLOOKUP(A320,[1]黄金期货历史数据!$A:$B,2,)</f>
        <v>1164.0999999999999</v>
      </c>
      <c r="H320" s="1">
        <v>96.29</v>
      </c>
      <c r="I320" s="1">
        <v>2.8220000000000001</v>
      </c>
      <c r="J320" s="1">
        <v>2.6309999999999998</v>
      </c>
    </row>
    <row r="321" spans="1:10" x14ac:dyDescent="0.3">
      <c r="A321" s="2">
        <v>42190</v>
      </c>
      <c r="B321" s="1">
        <v>1.1164000000000001</v>
      </c>
      <c r="C321" s="1">
        <v>1.5526</v>
      </c>
      <c r="D321" s="1">
        <v>0.16105134316820202</v>
      </c>
      <c r="E321" s="1">
        <v>16.829999999999998</v>
      </c>
      <c r="F321" s="1">
        <v>52.74</v>
      </c>
      <c r="G321" s="1">
        <f>VLOOKUP(A321,[1]黄金期货历史数据!$A:$B,2,)</f>
        <v>1158.4000000000001</v>
      </c>
      <c r="H321" s="1">
        <v>96.171999999999997</v>
      </c>
      <c r="I321" s="1">
        <v>2.77</v>
      </c>
      <c r="J321" s="1">
        <v>2.5375000000000001</v>
      </c>
    </row>
    <row r="322" spans="1:10" x14ac:dyDescent="0.3">
      <c r="A322" s="2">
        <v>42197</v>
      </c>
      <c r="B322" s="1">
        <v>1.083</v>
      </c>
      <c r="C322" s="1">
        <v>1.5609</v>
      </c>
      <c r="D322" s="1">
        <v>0.1610435622835977</v>
      </c>
      <c r="E322" s="1">
        <v>11.95</v>
      </c>
      <c r="F322" s="1">
        <v>50.89</v>
      </c>
      <c r="G322" s="1">
        <f>VLOOKUP(A322,[1]黄金期货历史数据!$A:$B,2,)</f>
        <v>1132.2</v>
      </c>
      <c r="H322" s="1">
        <v>97.989000000000004</v>
      </c>
      <c r="I322" s="1">
        <v>2.87</v>
      </c>
      <c r="J322" s="1">
        <v>2.496</v>
      </c>
    </row>
    <row r="323" spans="1:10" x14ac:dyDescent="0.3">
      <c r="A323" s="2">
        <v>42204</v>
      </c>
      <c r="B323" s="1">
        <v>1.0984</v>
      </c>
      <c r="C323" s="1">
        <v>1.5513999999999999</v>
      </c>
      <c r="D323" s="1">
        <v>0.16104096882246843</v>
      </c>
      <c r="E323" s="1">
        <v>13.74</v>
      </c>
      <c r="F323" s="1">
        <v>48.14</v>
      </c>
      <c r="G323" s="1">
        <f>VLOOKUP(A323,[1]黄金期货历史数据!$A:$B,2,)</f>
        <v>1085.7</v>
      </c>
      <c r="H323" s="1">
        <v>97.346000000000004</v>
      </c>
      <c r="I323" s="1">
        <v>2.7759999999999998</v>
      </c>
      <c r="J323" s="1">
        <v>2.3824999999999998</v>
      </c>
    </row>
    <row r="324" spans="1:10" x14ac:dyDescent="0.3">
      <c r="A324" s="2">
        <v>42211</v>
      </c>
      <c r="B324" s="1">
        <v>1.0988</v>
      </c>
      <c r="C324" s="1">
        <v>1.5624</v>
      </c>
      <c r="D324" s="1">
        <v>0.16103837544486851</v>
      </c>
      <c r="E324" s="1">
        <v>12.12</v>
      </c>
      <c r="F324" s="1">
        <v>47.12</v>
      </c>
      <c r="G324" s="1">
        <f>VLOOKUP(A324,[1]黄金期货历史数据!$A:$B,2,)</f>
        <v>1094.7</v>
      </c>
      <c r="H324" s="1">
        <v>97.438999999999993</v>
      </c>
      <c r="I324" s="1">
        <v>2.7160000000000002</v>
      </c>
      <c r="J324" s="1">
        <v>2.3690000000000002</v>
      </c>
    </row>
    <row r="325" spans="1:10" x14ac:dyDescent="0.3">
      <c r="A325" s="2">
        <v>42218</v>
      </c>
      <c r="B325" s="1">
        <v>1.0969</v>
      </c>
      <c r="C325" s="1">
        <v>1.5496000000000001</v>
      </c>
      <c r="D325" s="1">
        <v>0.16103837544486851</v>
      </c>
      <c r="E325" s="1">
        <v>13.39</v>
      </c>
      <c r="F325" s="1">
        <v>43.87</v>
      </c>
      <c r="G325" s="1">
        <f>VLOOKUP(A325,[1]黄金期货历史数据!$A:$B,2,)</f>
        <v>1093.8</v>
      </c>
      <c r="H325" s="1">
        <v>97.619</v>
      </c>
      <c r="I325" s="1">
        <v>2.798</v>
      </c>
      <c r="J325" s="1">
        <v>2.3370000000000002</v>
      </c>
    </row>
    <row r="326" spans="1:10" x14ac:dyDescent="0.3">
      <c r="A326" s="2">
        <v>42225</v>
      </c>
      <c r="B326" s="1">
        <v>1.1106</v>
      </c>
      <c r="C326" s="1">
        <v>1.5646</v>
      </c>
      <c r="D326" s="1">
        <v>0.1564504521418067</v>
      </c>
      <c r="E326" s="1">
        <v>12.83</v>
      </c>
      <c r="F326" s="1">
        <v>42.5</v>
      </c>
      <c r="G326" s="1">
        <f>VLOOKUP(A326,[1]黄金期货历史数据!$A:$B,2,)</f>
        <v>1112.4000000000001</v>
      </c>
      <c r="H326" s="1">
        <v>96.533000000000001</v>
      </c>
      <c r="I326" s="1">
        <v>2.8010000000000002</v>
      </c>
      <c r="J326" s="1">
        <v>2.3515000000000001</v>
      </c>
    </row>
    <row r="327" spans="1:10" x14ac:dyDescent="0.3">
      <c r="A327" s="2">
        <v>42232</v>
      </c>
      <c r="B327" s="1">
        <v>1.1389</v>
      </c>
      <c r="C327" s="1">
        <v>1.5697000000000001</v>
      </c>
      <c r="D327" s="1">
        <v>0.15652391685449538</v>
      </c>
      <c r="E327" s="1">
        <v>28.03</v>
      </c>
      <c r="F327" s="1">
        <v>40.450000000000003</v>
      </c>
      <c r="G327" s="1">
        <f>VLOOKUP(A327,[1]黄金期货历史数据!$A:$B,2,)</f>
        <v>1159.2</v>
      </c>
      <c r="H327" s="1">
        <v>95.004999999999995</v>
      </c>
      <c r="I327" s="1">
        <v>2.6760000000000002</v>
      </c>
      <c r="J327" s="1">
        <v>2.302</v>
      </c>
    </row>
    <row r="328" spans="1:10" x14ac:dyDescent="0.3">
      <c r="A328" s="2">
        <v>42239</v>
      </c>
      <c r="B328" s="1">
        <v>1.1178999999999999</v>
      </c>
      <c r="C328" s="1">
        <v>1.5392999999999999</v>
      </c>
      <c r="D328" s="1">
        <v>0.15653126712060736</v>
      </c>
      <c r="E328" s="1">
        <v>26.05</v>
      </c>
      <c r="F328" s="1">
        <v>45.22</v>
      </c>
      <c r="G328" s="1">
        <f>VLOOKUP(A328,[1]黄金期货历史数据!$A:$B,2,)</f>
        <v>1133.7</v>
      </c>
      <c r="H328" s="1">
        <v>96.135000000000005</v>
      </c>
      <c r="I328" s="1">
        <v>2.7149999999999999</v>
      </c>
      <c r="J328" s="1">
        <v>2.3460000000000001</v>
      </c>
    </row>
    <row r="329" spans="1:10" x14ac:dyDescent="0.3">
      <c r="A329" s="2">
        <v>42246</v>
      </c>
      <c r="B329" s="1">
        <v>1.1147</v>
      </c>
      <c r="C329" s="1">
        <v>1.5170999999999999</v>
      </c>
      <c r="D329" s="1">
        <v>0.15733413049292783</v>
      </c>
      <c r="E329" s="1">
        <v>27.8</v>
      </c>
      <c r="F329" s="1">
        <v>46.05</v>
      </c>
      <c r="G329" s="1">
        <f>VLOOKUP(A329,[1]黄金期货历史数据!$A:$B,2,)</f>
        <v>1121.0999999999999</v>
      </c>
      <c r="H329" s="1">
        <v>96.24</v>
      </c>
      <c r="I329" s="1">
        <v>2.6549999999999998</v>
      </c>
      <c r="J329" s="1">
        <v>2.3125</v>
      </c>
    </row>
    <row r="330" spans="1:10" x14ac:dyDescent="0.3">
      <c r="A330" s="2">
        <v>42253</v>
      </c>
      <c r="B330" s="1">
        <v>1.1339999999999999</v>
      </c>
      <c r="C330" s="1">
        <v>1.5429999999999999</v>
      </c>
      <c r="D330" s="1">
        <v>0.15686274509803921</v>
      </c>
      <c r="E330" s="1">
        <v>23.2</v>
      </c>
      <c r="F330" s="1">
        <v>44.63</v>
      </c>
      <c r="G330" s="1">
        <f>VLOOKUP(A330,[1]黄金期货历史数据!$A:$B,2,)</f>
        <v>1103.3</v>
      </c>
      <c r="H330" s="1">
        <v>95.194000000000003</v>
      </c>
      <c r="I330" s="1">
        <v>2.6930000000000001</v>
      </c>
      <c r="J330" s="1">
        <v>2.4544999999999999</v>
      </c>
    </row>
    <row r="331" spans="1:10" x14ac:dyDescent="0.3">
      <c r="A331" s="2">
        <v>42260</v>
      </c>
      <c r="B331" s="1">
        <v>1.1305000000000001</v>
      </c>
      <c r="C331" s="1">
        <v>1.5531999999999999</v>
      </c>
      <c r="D331" s="1">
        <v>0.15712647109658565</v>
      </c>
      <c r="E331" s="1">
        <v>22.28</v>
      </c>
      <c r="F331" s="1">
        <v>44.68</v>
      </c>
      <c r="G331" s="1">
        <f>VLOOKUP(A331,[1]黄金期货历史数据!$A:$B,2,)</f>
        <v>1138</v>
      </c>
      <c r="H331" s="1">
        <v>94.995999999999995</v>
      </c>
      <c r="I331" s="1">
        <v>2.605</v>
      </c>
      <c r="J331" s="1">
        <v>2.3875000000000002</v>
      </c>
    </row>
    <row r="332" spans="1:10" x14ac:dyDescent="0.3">
      <c r="A332" s="2">
        <v>42267</v>
      </c>
      <c r="B332" s="1">
        <v>1.1194999999999999</v>
      </c>
      <c r="C332" s="1">
        <v>1.5182</v>
      </c>
      <c r="D332" s="1">
        <v>0.15688489355359972</v>
      </c>
      <c r="E332" s="1">
        <v>23.62</v>
      </c>
      <c r="F332" s="1">
        <v>45.7</v>
      </c>
      <c r="G332" s="1">
        <f>VLOOKUP(A332,[1]黄金期货历史数据!$A:$B,2,)</f>
        <v>1145.5999999999999</v>
      </c>
      <c r="H332" s="1">
        <v>96.433999999999997</v>
      </c>
      <c r="I332" s="1">
        <v>2.5640000000000001</v>
      </c>
      <c r="J332" s="1">
        <v>2.2854999999999999</v>
      </c>
    </row>
    <row r="333" spans="1:10" x14ac:dyDescent="0.3">
      <c r="A333" s="2">
        <v>42274</v>
      </c>
      <c r="B333" s="1">
        <v>1.1211</v>
      </c>
      <c r="C333" s="1">
        <v>1.5182</v>
      </c>
      <c r="D333" s="1">
        <v>0.15733165512901195</v>
      </c>
      <c r="E333" s="1">
        <v>20.94</v>
      </c>
      <c r="F333" s="1">
        <v>45.54</v>
      </c>
      <c r="G333" s="1">
        <f>VLOOKUP(A333,[1]黄金期货历史数据!$A:$B,2,)</f>
        <v>1136.5999999999999</v>
      </c>
      <c r="H333" s="1">
        <v>95.966999999999999</v>
      </c>
      <c r="I333" s="1">
        <v>2.4510000000000001</v>
      </c>
      <c r="J333" s="1">
        <v>2.3254999999999999</v>
      </c>
    </row>
    <row r="334" spans="1:10" x14ac:dyDescent="0.3">
      <c r="A334" s="2">
        <v>42281</v>
      </c>
      <c r="B334" s="1">
        <v>1.1357999999999999</v>
      </c>
      <c r="C334" s="1">
        <v>1.5304</v>
      </c>
      <c r="D334" s="1">
        <v>0.1575969615305817</v>
      </c>
      <c r="E334" s="1">
        <v>17.079999999999998</v>
      </c>
      <c r="F334" s="1">
        <v>49.63</v>
      </c>
      <c r="G334" s="1">
        <f>VLOOKUP(A334,[1]黄金期货历史数据!$A:$B,2,)</f>
        <v>1155.9000000000001</v>
      </c>
      <c r="H334" s="1">
        <v>94.882999999999996</v>
      </c>
      <c r="I334" s="1">
        <v>2.5019999999999998</v>
      </c>
      <c r="J334" s="1">
        <v>2.4140000000000001</v>
      </c>
    </row>
    <row r="335" spans="1:10" x14ac:dyDescent="0.3">
      <c r="A335" s="2">
        <v>42288</v>
      </c>
      <c r="B335" s="1">
        <v>1.1346000000000001</v>
      </c>
      <c r="C335" s="1">
        <v>1.5435000000000001</v>
      </c>
      <c r="D335" s="1">
        <v>0.15741833923652104</v>
      </c>
      <c r="E335" s="1">
        <v>15.05</v>
      </c>
      <c r="F335" s="1">
        <v>47.26</v>
      </c>
      <c r="G335" s="1">
        <f>VLOOKUP(A335,[1]黄金期货历史数据!$A:$B,2,)</f>
        <v>1183.0999999999999</v>
      </c>
      <c r="H335" s="1">
        <v>94.587999999999994</v>
      </c>
      <c r="I335" s="1">
        <v>2.4300000000000002</v>
      </c>
      <c r="J335" s="1">
        <v>2.4035000000000002</v>
      </c>
    </row>
    <row r="336" spans="1:10" x14ac:dyDescent="0.3">
      <c r="A336" s="2">
        <v>42295</v>
      </c>
      <c r="B336" s="1">
        <v>1.1017999999999999</v>
      </c>
      <c r="C336" s="1">
        <v>1.5314000000000001</v>
      </c>
      <c r="D336" s="1">
        <v>0.15750263816918933</v>
      </c>
      <c r="E336" s="1">
        <v>14.46</v>
      </c>
      <c r="F336" s="1">
        <v>44.6</v>
      </c>
      <c r="G336" s="1">
        <f>VLOOKUP(A336,[1]黄金期货历史数据!$A:$B,2,)</f>
        <v>1162.8</v>
      </c>
      <c r="H336" s="1">
        <v>97.242999999999995</v>
      </c>
      <c r="I336" s="1">
        <v>2.286</v>
      </c>
      <c r="J336" s="1">
        <v>2.35</v>
      </c>
    </row>
    <row r="337" spans="1:10" x14ac:dyDescent="0.3">
      <c r="A337" s="2">
        <v>42302</v>
      </c>
      <c r="B337" s="1">
        <v>1.1005</v>
      </c>
      <c r="C337" s="1">
        <v>1.5428999999999999</v>
      </c>
      <c r="D337" s="1">
        <v>0.15827543090486063</v>
      </c>
      <c r="E337" s="1">
        <v>15.07</v>
      </c>
      <c r="F337" s="1">
        <v>46.59</v>
      </c>
      <c r="G337" s="1">
        <f>VLOOKUP(A337,[1]黄金期货历史数据!$A:$B,2,)</f>
        <v>1141.8</v>
      </c>
      <c r="H337" s="1">
        <v>97.019000000000005</v>
      </c>
      <c r="I337" s="1">
        <v>2.3210000000000002</v>
      </c>
      <c r="J337" s="1">
        <v>2.3235000000000001</v>
      </c>
    </row>
    <row r="338" spans="1:10" x14ac:dyDescent="0.3">
      <c r="A338" s="2">
        <v>42309</v>
      </c>
      <c r="B338" s="1">
        <v>1.0741000000000001</v>
      </c>
      <c r="C338" s="1">
        <v>1.5049999999999999</v>
      </c>
      <c r="D338" s="1">
        <v>0.15740594994490792</v>
      </c>
      <c r="E338" s="1">
        <v>14.33</v>
      </c>
      <c r="F338" s="1">
        <v>44.29</v>
      </c>
      <c r="G338" s="1">
        <f>VLOOKUP(A338,[1]黄金期货历史数据!$A:$B,2,)</f>
        <v>1088.0999999999999</v>
      </c>
      <c r="H338" s="1">
        <v>99.26</v>
      </c>
      <c r="I338" s="1">
        <v>2.371</v>
      </c>
      <c r="J338" s="1">
        <v>2.25</v>
      </c>
    </row>
    <row r="339" spans="1:10" x14ac:dyDescent="0.3">
      <c r="A339" s="2">
        <v>42316</v>
      </c>
      <c r="B339" s="1">
        <v>1.0779000000000001</v>
      </c>
      <c r="C339" s="1">
        <v>1.5233000000000001</v>
      </c>
      <c r="D339" s="1">
        <v>0.1568947393193906</v>
      </c>
      <c r="E339" s="1">
        <v>20.079999999999998</v>
      </c>
      <c r="F339" s="1">
        <v>40.74</v>
      </c>
      <c r="G339" s="1">
        <f>VLOOKUP(A339,[1]黄金期货历史数据!$A:$B,2,)</f>
        <v>1081.2</v>
      </c>
      <c r="H339" s="1">
        <v>99.096999999999994</v>
      </c>
      <c r="I339" s="1">
        <v>2.3610000000000002</v>
      </c>
      <c r="J339" s="1">
        <v>2.1739999999999999</v>
      </c>
    </row>
    <row r="340" spans="1:10" x14ac:dyDescent="0.3">
      <c r="A340" s="2">
        <v>42323</v>
      </c>
      <c r="B340" s="1">
        <v>1.0646</v>
      </c>
      <c r="C340" s="1">
        <v>1.5192000000000001</v>
      </c>
      <c r="D340" s="1">
        <v>0.15661707126076743</v>
      </c>
      <c r="E340" s="1">
        <v>15.47</v>
      </c>
      <c r="F340" s="1">
        <v>40.39</v>
      </c>
      <c r="G340" s="1">
        <f>VLOOKUP(A340,[1]黄金期货历史数据!$A:$B,2,)</f>
        <v>1076.3</v>
      </c>
      <c r="H340" s="1">
        <v>99.623999999999995</v>
      </c>
      <c r="I340" s="1">
        <v>2.145</v>
      </c>
      <c r="J340" s="1">
        <v>2.0579999999999998</v>
      </c>
    </row>
    <row r="341" spans="1:10" x14ac:dyDescent="0.3">
      <c r="A341" s="2">
        <v>42330</v>
      </c>
      <c r="B341" s="1">
        <v>1.0592999999999999</v>
      </c>
      <c r="C341" s="1">
        <v>1.5037</v>
      </c>
      <c r="D341" s="1">
        <v>0.15637461101815509</v>
      </c>
      <c r="E341" s="1">
        <v>15.12</v>
      </c>
      <c r="F341" s="1">
        <v>41.71</v>
      </c>
      <c r="G341" s="1">
        <f>VLOOKUP(A341,[1]黄金期货历史数据!$A:$B,2,)</f>
        <v>1056.2</v>
      </c>
      <c r="H341" s="1">
        <v>100.07299999999999</v>
      </c>
      <c r="I341" s="1">
        <v>2.2120000000000002</v>
      </c>
      <c r="J341" s="1">
        <v>2.0554999999999999</v>
      </c>
    </row>
    <row r="342" spans="1:10" x14ac:dyDescent="0.3">
      <c r="A342" s="2">
        <v>42337</v>
      </c>
      <c r="B342" s="1">
        <v>1.0886</v>
      </c>
      <c r="C342" s="1">
        <v>1.5112000000000001</v>
      </c>
      <c r="D342" s="1">
        <v>0.15622558975160131</v>
      </c>
      <c r="E342" s="1">
        <v>14.81</v>
      </c>
      <c r="F342" s="1">
        <v>39.97</v>
      </c>
      <c r="G342" s="1">
        <f>VLOOKUP(A342,[1]黄金期货历史数据!$A:$B,2,)</f>
        <v>1084.0999999999999</v>
      </c>
      <c r="H342" s="1">
        <v>98.343000000000004</v>
      </c>
      <c r="I342" s="1">
        <v>2.1859999999999999</v>
      </c>
      <c r="J342" s="1">
        <v>2.0775000000000001</v>
      </c>
    </row>
    <row r="343" spans="1:10" x14ac:dyDescent="0.3">
      <c r="A343" s="2">
        <v>42344</v>
      </c>
      <c r="B343" s="1">
        <v>1.099</v>
      </c>
      <c r="C343" s="1">
        <v>1.5217000000000001</v>
      </c>
      <c r="D343" s="1">
        <v>0.15491146809598313</v>
      </c>
      <c r="E343" s="1">
        <v>24.39</v>
      </c>
      <c r="F343" s="1">
        <v>35.619999999999997</v>
      </c>
      <c r="G343" s="1">
        <f>VLOOKUP(A343,[1]黄金期货历史数据!$A:$B,2,)</f>
        <v>1075.7</v>
      </c>
      <c r="H343" s="1">
        <v>97.551000000000002</v>
      </c>
      <c r="I343" s="1">
        <v>1.99</v>
      </c>
      <c r="J343" s="1">
        <v>2.1135000000000002</v>
      </c>
    </row>
    <row r="344" spans="1:10" x14ac:dyDescent="0.3">
      <c r="A344" s="2">
        <v>42351</v>
      </c>
      <c r="B344" s="1">
        <v>1.0868</v>
      </c>
      <c r="C344" s="1">
        <v>1.4894000000000001</v>
      </c>
      <c r="D344" s="1">
        <v>0.15428527347064724</v>
      </c>
      <c r="E344" s="1">
        <v>20.7</v>
      </c>
      <c r="F344" s="1">
        <v>34.729999999999997</v>
      </c>
      <c r="G344" s="1">
        <f>VLOOKUP(A344,[1]黄金期货历史数据!$A:$B,2,)</f>
        <v>1065</v>
      </c>
      <c r="H344" s="1">
        <v>98.730999999999995</v>
      </c>
      <c r="I344" s="1">
        <v>1.7669999999999999</v>
      </c>
      <c r="J344" s="1">
        <v>2.11</v>
      </c>
    </row>
    <row r="345" spans="1:10" x14ac:dyDescent="0.3">
      <c r="A345" s="2">
        <v>42358</v>
      </c>
      <c r="B345" s="1">
        <v>1.0976999999999999</v>
      </c>
      <c r="C345" s="1">
        <v>1.4933000000000001</v>
      </c>
      <c r="D345" s="1">
        <v>0.15440676919276142</v>
      </c>
      <c r="E345" s="1">
        <v>15.74</v>
      </c>
      <c r="F345" s="1">
        <v>38.1</v>
      </c>
      <c r="G345" s="1">
        <f>VLOOKUP(A345,[1]黄金期货历史数据!$A:$B,2,)</f>
        <v>1075.9000000000001</v>
      </c>
      <c r="H345" s="1">
        <v>98.016000000000005</v>
      </c>
      <c r="I345" s="1">
        <v>2.0289999999999999</v>
      </c>
      <c r="J345" s="1">
        <v>2.1204999999999998</v>
      </c>
    </row>
    <row r="346" spans="1:10" x14ac:dyDescent="0.3">
      <c r="A346" s="2">
        <v>42365</v>
      </c>
      <c r="B346" s="1">
        <v>1.0860000000000001</v>
      </c>
      <c r="C346" s="1">
        <v>1.4748000000000001</v>
      </c>
      <c r="D346" s="1">
        <v>0.15399778243193299</v>
      </c>
      <c r="E346" s="1">
        <v>18.21</v>
      </c>
      <c r="F346" s="1">
        <v>37.04</v>
      </c>
      <c r="G346" s="1">
        <f>VLOOKUP(A346,[1]黄金期货历史数据!$A:$B,2,)</f>
        <v>1060.5</v>
      </c>
      <c r="H346" s="1">
        <v>98.745000000000005</v>
      </c>
      <c r="I346" s="1">
        <v>2.3370000000000002</v>
      </c>
      <c r="J346" s="1">
        <v>2.1349999999999998</v>
      </c>
    </row>
    <row r="347" spans="1:10" x14ac:dyDescent="0.3">
      <c r="A347" s="2">
        <v>42372</v>
      </c>
      <c r="B347" s="1">
        <v>1.0931999999999999</v>
      </c>
      <c r="C347" s="1">
        <v>1.452</v>
      </c>
      <c r="D347" s="1">
        <v>0.15159554309103312</v>
      </c>
      <c r="E347" s="1">
        <v>27.01</v>
      </c>
      <c r="F347" s="1">
        <v>33.159999999999997</v>
      </c>
      <c r="G347" s="1">
        <f>VLOOKUP(A347,[1]黄金期货历史数据!$A:$B,2,)</f>
        <v>1098.0999999999999</v>
      </c>
      <c r="H347" s="1">
        <v>98.599000000000004</v>
      </c>
      <c r="I347" s="1">
        <v>2.472</v>
      </c>
      <c r="J347" s="1">
        <v>2.0219999999999998</v>
      </c>
    </row>
    <row r="348" spans="1:10" x14ac:dyDescent="0.3">
      <c r="A348" s="2">
        <v>42379</v>
      </c>
      <c r="B348" s="1">
        <v>1.0916999999999999</v>
      </c>
      <c r="C348" s="1">
        <v>1.4258</v>
      </c>
      <c r="D348" s="1">
        <v>0.15186259472429345</v>
      </c>
      <c r="E348" s="1">
        <v>27.02</v>
      </c>
      <c r="F348" s="1">
        <v>29.42</v>
      </c>
      <c r="G348" s="1">
        <f>VLOOKUP(A348,[1]黄金期货历史数据!$A:$B,2,)</f>
        <v>1090.7</v>
      </c>
      <c r="H348" s="1">
        <v>99.02</v>
      </c>
      <c r="I348" s="1">
        <v>2.1</v>
      </c>
      <c r="J348" s="1">
        <v>1.9435</v>
      </c>
    </row>
    <row r="349" spans="1:10" x14ac:dyDescent="0.3">
      <c r="A349" s="2">
        <v>42386</v>
      </c>
      <c r="B349" s="1">
        <v>1.0797000000000001</v>
      </c>
      <c r="C349" s="1">
        <v>1.4265000000000001</v>
      </c>
      <c r="D349" s="1">
        <v>0.15199647368181057</v>
      </c>
      <c r="E349" s="1">
        <v>22.34</v>
      </c>
      <c r="F349" s="1">
        <v>32.19</v>
      </c>
      <c r="G349" s="1">
        <f>VLOOKUP(A349,[1]黄金期货历史数据!$A:$B,2,)</f>
        <v>1096</v>
      </c>
      <c r="H349" s="1">
        <v>99.650999999999996</v>
      </c>
      <c r="I349" s="1">
        <v>2.1389999999999998</v>
      </c>
      <c r="J349" s="1">
        <v>2.0024999999999999</v>
      </c>
    </row>
    <row r="350" spans="1:10" x14ac:dyDescent="0.3">
      <c r="A350" s="2">
        <v>42393</v>
      </c>
      <c r="B350" s="1">
        <v>1.0837000000000001</v>
      </c>
      <c r="C350" s="1">
        <v>1.4247000000000001</v>
      </c>
      <c r="D350" s="1">
        <v>0.1520658140843357</v>
      </c>
      <c r="E350" s="1">
        <v>20.2</v>
      </c>
      <c r="F350" s="1">
        <v>33.619999999999997</v>
      </c>
      <c r="G350" s="1">
        <f>VLOOKUP(A350,[1]黄金期货历史数据!$A:$B,2,)</f>
        <v>1116.4000000000001</v>
      </c>
      <c r="H350" s="1">
        <v>99.652000000000001</v>
      </c>
      <c r="I350" s="1">
        <v>2.298</v>
      </c>
      <c r="J350" s="1">
        <v>2.0705</v>
      </c>
    </row>
    <row r="351" spans="1:10" x14ac:dyDescent="0.3">
      <c r="A351" s="2">
        <v>42400</v>
      </c>
      <c r="B351" s="1">
        <v>1.1158999999999999</v>
      </c>
      <c r="C351" s="1">
        <v>1.4502999999999999</v>
      </c>
      <c r="D351" s="1">
        <v>0.15211670393525914</v>
      </c>
      <c r="E351" s="1">
        <v>23.38</v>
      </c>
      <c r="F351" s="1">
        <v>30.89</v>
      </c>
      <c r="G351" s="1">
        <f>VLOOKUP(A351,[1]黄金期货历史数据!$A:$B,2,)</f>
        <v>1157.7</v>
      </c>
      <c r="H351" s="1">
        <v>97.054000000000002</v>
      </c>
      <c r="I351" s="1">
        <v>2.0630000000000002</v>
      </c>
      <c r="J351" s="1">
        <v>2.105</v>
      </c>
    </row>
    <row r="352" spans="1:10" x14ac:dyDescent="0.3">
      <c r="A352" s="2">
        <v>42407</v>
      </c>
      <c r="B352" s="1">
        <v>1.1259999999999999</v>
      </c>
      <c r="C352" s="1">
        <v>1.4507000000000001</v>
      </c>
      <c r="D352" s="1">
        <v>0.15211670393525914</v>
      </c>
      <c r="E352" s="1">
        <v>25.4</v>
      </c>
      <c r="F352" s="1">
        <v>29.44</v>
      </c>
      <c r="G352" s="1">
        <f>VLOOKUP(A352,[1]黄金期货历史数据!$A:$B,2,)</f>
        <v>1239.4000000000001</v>
      </c>
      <c r="H352" s="1">
        <v>95.981999999999999</v>
      </c>
      <c r="I352" s="1">
        <v>1.966</v>
      </c>
      <c r="J352" s="1">
        <v>2.0310000000000001</v>
      </c>
    </row>
    <row r="353" spans="1:10" x14ac:dyDescent="0.3">
      <c r="A353" s="2">
        <v>42414</v>
      </c>
      <c r="B353" s="1">
        <v>1.1134999999999999</v>
      </c>
      <c r="C353" s="1">
        <v>1.4406000000000001</v>
      </c>
      <c r="D353" s="1">
        <v>0.15331779712989083</v>
      </c>
      <c r="E353" s="1">
        <v>20.53</v>
      </c>
      <c r="F353" s="1">
        <v>29.64</v>
      </c>
      <c r="G353" s="1">
        <f>VLOOKUP(A353,[1]黄金期货历史数据!$A:$B,2,)</f>
        <v>1230.8</v>
      </c>
      <c r="H353" s="1">
        <v>96.603999999999999</v>
      </c>
      <c r="I353" s="1">
        <v>1.804</v>
      </c>
      <c r="J353" s="1">
        <v>2.0775000000000001</v>
      </c>
    </row>
    <row r="354" spans="1:10" x14ac:dyDescent="0.3">
      <c r="A354" s="2">
        <v>42421</v>
      </c>
      <c r="B354" s="1">
        <v>1.0933999999999999</v>
      </c>
      <c r="C354" s="1">
        <v>1.387</v>
      </c>
      <c r="D354" s="1">
        <v>0.152895847348786</v>
      </c>
      <c r="E354" s="1">
        <v>19.809999999999999</v>
      </c>
      <c r="F354" s="1">
        <v>32.78</v>
      </c>
      <c r="G354" s="1">
        <f>VLOOKUP(A354,[1]黄金期货历史数据!$A:$B,2,)</f>
        <v>1220.7</v>
      </c>
      <c r="H354" s="1">
        <v>98.174999999999997</v>
      </c>
      <c r="I354" s="1">
        <v>1.7909999999999999</v>
      </c>
      <c r="J354" s="1">
        <v>2.125</v>
      </c>
    </row>
    <row r="355" spans="1:10" x14ac:dyDescent="0.3">
      <c r="A355" s="2">
        <v>42428</v>
      </c>
      <c r="B355" s="1">
        <v>1.1004</v>
      </c>
      <c r="C355" s="1">
        <v>1.4227000000000001</v>
      </c>
      <c r="D355" s="1">
        <v>0.15365703749231716</v>
      </c>
      <c r="E355" s="1">
        <v>16.86</v>
      </c>
      <c r="F355" s="1">
        <v>35.92</v>
      </c>
      <c r="G355" s="1">
        <f>VLOOKUP(A355,[1]黄金期货历史数据!$A:$B,2,)</f>
        <v>1271.0999999999999</v>
      </c>
      <c r="H355" s="1">
        <v>97.343000000000004</v>
      </c>
      <c r="I355" s="1">
        <v>1.6659999999999999</v>
      </c>
      <c r="J355" s="1">
        <v>2.2745000000000002</v>
      </c>
    </row>
    <row r="356" spans="1:10" x14ac:dyDescent="0.3">
      <c r="A356" s="2">
        <v>42435</v>
      </c>
      <c r="B356" s="1">
        <v>1.1153</v>
      </c>
      <c r="C356" s="1">
        <v>1.4387000000000001</v>
      </c>
      <c r="D356" s="1">
        <v>0.15395747694486783</v>
      </c>
      <c r="E356" s="1">
        <v>16.5</v>
      </c>
      <c r="F356" s="1">
        <v>38.5</v>
      </c>
      <c r="G356" s="1">
        <f>VLOOKUP(A356,[1]黄金期货历史数据!$A:$B,2,)</f>
        <v>1259.9000000000001</v>
      </c>
      <c r="H356" s="1">
        <v>96.171999999999997</v>
      </c>
      <c r="I356" s="1">
        <v>1.8220000000000001</v>
      </c>
      <c r="J356" s="1">
        <v>2.2410000000000001</v>
      </c>
    </row>
    <row r="357" spans="1:10" x14ac:dyDescent="0.3">
      <c r="A357" s="2">
        <v>42442</v>
      </c>
      <c r="B357" s="1">
        <v>1.127</v>
      </c>
      <c r="C357" s="1">
        <v>1.4480999999999999</v>
      </c>
      <c r="D357" s="1">
        <v>0.15452129303418011</v>
      </c>
      <c r="E357" s="1">
        <v>14.02</v>
      </c>
      <c r="F357" s="1">
        <v>39.44</v>
      </c>
      <c r="G357" s="1">
        <f>VLOOKUP(A357,[1]黄金期货历史数据!$A:$B,2,)</f>
        <v>1254.8</v>
      </c>
      <c r="H357" s="1">
        <v>95.12</v>
      </c>
      <c r="I357" s="1">
        <v>1.907</v>
      </c>
      <c r="J357" s="1">
        <v>2.2825000000000002</v>
      </c>
    </row>
    <row r="358" spans="1:10" x14ac:dyDescent="0.3">
      <c r="A358" s="2">
        <v>42449</v>
      </c>
      <c r="B358" s="1">
        <v>1.1166</v>
      </c>
      <c r="C358" s="1">
        <v>1.4142999999999999</v>
      </c>
      <c r="D358" s="1">
        <v>0.1534683855125844</v>
      </c>
      <c r="E358" s="1">
        <v>14.74</v>
      </c>
      <c r="F358" s="1">
        <v>39.46</v>
      </c>
      <c r="G358" s="1">
        <f>VLOOKUP(A358,[1]黄金期货历史数据!$A:$B,2,)</f>
        <v>1222.2</v>
      </c>
      <c r="H358" s="1">
        <v>96.173000000000002</v>
      </c>
      <c r="I358" s="1">
        <v>1.806</v>
      </c>
      <c r="J358" s="1">
        <v>2.2290000000000001</v>
      </c>
    </row>
    <row r="359" spans="1:10" x14ac:dyDescent="0.3">
      <c r="A359" s="2">
        <v>42456</v>
      </c>
      <c r="B359" s="1">
        <v>1.1387</v>
      </c>
      <c r="C359" s="1">
        <v>1.4226000000000001</v>
      </c>
      <c r="D359" s="1">
        <v>0.154354335813293</v>
      </c>
      <c r="E359" s="1">
        <v>13.1</v>
      </c>
      <c r="F359" s="1">
        <v>36.79</v>
      </c>
      <c r="G359" s="1">
        <f>VLOOKUP(A359,[1]黄金期货历史数据!$A:$B,2,)</f>
        <v>1223.5</v>
      </c>
      <c r="H359" s="1">
        <v>94.617999999999995</v>
      </c>
      <c r="I359" s="1">
        <v>1.956</v>
      </c>
      <c r="J359" s="1">
        <v>2.1684999999999999</v>
      </c>
    </row>
    <row r="360" spans="1:10" x14ac:dyDescent="0.3">
      <c r="A360" s="2">
        <v>42463</v>
      </c>
      <c r="B360" s="1">
        <v>1.1400999999999999</v>
      </c>
      <c r="C360" s="1">
        <v>1.4126000000000001</v>
      </c>
      <c r="D360" s="1">
        <v>0.154659902873581</v>
      </c>
      <c r="E360" s="1">
        <v>15.36</v>
      </c>
      <c r="F360" s="1">
        <v>39.72</v>
      </c>
      <c r="G360" s="1">
        <f>VLOOKUP(A360,[1]黄金期货历史数据!$A:$B,2,)</f>
        <v>1243.8</v>
      </c>
      <c r="H360" s="1">
        <v>94.251999999999995</v>
      </c>
      <c r="I360" s="1">
        <v>1.99</v>
      </c>
      <c r="J360" s="1">
        <v>2.093</v>
      </c>
    </row>
    <row r="361" spans="1:10" x14ac:dyDescent="0.3">
      <c r="A361" s="2">
        <v>42470</v>
      </c>
      <c r="B361" s="1">
        <v>1.1283000000000001</v>
      </c>
      <c r="C361" s="1">
        <v>1.4195</v>
      </c>
      <c r="D361" s="1">
        <v>0.15442584470937057</v>
      </c>
      <c r="E361" s="1">
        <v>13.62</v>
      </c>
      <c r="F361" s="1">
        <v>40.36</v>
      </c>
      <c r="G361" s="1">
        <f>VLOOKUP(A361,[1]黄金期货历史数据!$A:$B,2,)</f>
        <v>1234.5999999999999</v>
      </c>
      <c r="H361" s="1">
        <v>94.686000000000007</v>
      </c>
      <c r="I361" s="1">
        <v>1.9019999999999999</v>
      </c>
      <c r="J361" s="1">
        <v>2.1575000000000002</v>
      </c>
    </row>
    <row r="362" spans="1:10" x14ac:dyDescent="0.3">
      <c r="A362" s="2">
        <v>42477</v>
      </c>
      <c r="B362" s="1">
        <v>1.1234</v>
      </c>
      <c r="C362" s="1">
        <v>1.4402999999999999</v>
      </c>
      <c r="D362" s="1">
        <v>0.15382485502007415</v>
      </c>
      <c r="E362" s="1">
        <v>13.22</v>
      </c>
      <c r="F362" s="1">
        <v>43.73</v>
      </c>
      <c r="G362" s="1">
        <f>VLOOKUP(A362,[1]黄金期货历史数据!$A:$B,2,)</f>
        <v>1230</v>
      </c>
      <c r="H362" s="1">
        <v>95.08</v>
      </c>
      <c r="I362" s="1">
        <v>2.14</v>
      </c>
      <c r="J362" s="1">
        <v>2.2665000000000002</v>
      </c>
    </row>
    <row r="363" spans="1:10" x14ac:dyDescent="0.3">
      <c r="A363" s="2">
        <v>42484</v>
      </c>
      <c r="B363" s="1">
        <v>1.1456</v>
      </c>
      <c r="C363" s="1">
        <v>1.4613</v>
      </c>
      <c r="D363" s="1">
        <v>0.15446162400951483</v>
      </c>
      <c r="E363" s="1">
        <v>15.7</v>
      </c>
      <c r="F363" s="1">
        <v>45.92</v>
      </c>
      <c r="G363" s="1">
        <f>VLOOKUP(A363,[1]黄金期货历史数据!$A:$B,2,)</f>
        <v>1291.5</v>
      </c>
      <c r="H363" s="1">
        <v>93.054000000000002</v>
      </c>
      <c r="I363" s="1">
        <v>2.1779999999999999</v>
      </c>
      <c r="J363" s="1">
        <v>2.2835000000000001</v>
      </c>
    </row>
    <row r="364" spans="1:10" x14ac:dyDescent="0.3">
      <c r="A364" s="2">
        <v>42491</v>
      </c>
      <c r="B364" s="1">
        <v>1.1405000000000001</v>
      </c>
      <c r="C364" s="1">
        <v>1.4430000000000001</v>
      </c>
      <c r="D364" s="1">
        <v>0.15384378701866125</v>
      </c>
      <c r="E364" s="1">
        <v>14.72</v>
      </c>
      <c r="F364" s="1">
        <v>44.66</v>
      </c>
      <c r="G364" s="1">
        <f>VLOOKUP(A364,[1]黄金期货历史数据!$A:$B,2,)</f>
        <v>1295.0999999999999</v>
      </c>
      <c r="H364" s="1">
        <v>93.882999999999996</v>
      </c>
      <c r="I364" s="1">
        <v>2.101</v>
      </c>
      <c r="J364" s="1">
        <v>2.1539999999999999</v>
      </c>
    </row>
    <row r="365" spans="1:10" x14ac:dyDescent="0.3">
      <c r="A365" s="2">
        <v>42498</v>
      </c>
      <c r="B365" s="1">
        <v>1.1308</v>
      </c>
      <c r="C365" s="1">
        <v>1.4361999999999999</v>
      </c>
      <c r="D365" s="1">
        <v>0.15309246785058175</v>
      </c>
      <c r="E365" s="1">
        <v>15.04</v>
      </c>
      <c r="F365" s="1">
        <v>46.21</v>
      </c>
      <c r="G365" s="1">
        <f>VLOOKUP(A365,[1]黄金期货历史数据!$A:$B,2,)</f>
        <v>1273.8</v>
      </c>
      <c r="H365" s="1">
        <v>94.593000000000004</v>
      </c>
      <c r="I365" s="1">
        <v>2.0960000000000001</v>
      </c>
      <c r="J365" s="1">
        <v>2.0739999999999998</v>
      </c>
    </row>
    <row r="366" spans="1:10" x14ac:dyDescent="0.3">
      <c r="A366" s="2">
        <v>42505</v>
      </c>
      <c r="B366" s="1">
        <v>1.1224000000000001</v>
      </c>
      <c r="C366" s="1">
        <v>1.4500999999999999</v>
      </c>
      <c r="D366" s="1">
        <v>0.15269506794930524</v>
      </c>
      <c r="E366" s="1">
        <v>15.2</v>
      </c>
      <c r="F366" s="1">
        <v>47.75</v>
      </c>
      <c r="G366" s="1">
        <f>VLOOKUP(A366,[1]黄金期货历史数据!$A:$B,2,)</f>
        <v>1254.4000000000001</v>
      </c>
      <c r="H366" s="1">
        <v>95.343000000000004</v>
      </c>
      <c r="I366" s="1">
        <v>2.0619999999999998</v>
      </c>
      <c r="J366" s="1">
        <v>2.0554999999999999</v>
      </c>
    </row>
    <row r="367" spans="1:10" x14ac:dyDescent="0.3">
      <c r="A367" s="2">
        <v>42512</v>
      </c>
      <c r="B367" s="1">
        <v>1.1114999999999999</v>
      </c>
      <c r="C367" s="1">
        <v>1.4624999999999999</v>
      </c>
      <c r="D367" s="1">
        <v>0.15236237868145597</v>
      </c>
      <c r="E367" s="1">
        <v>13.12</v>
      </c>
      <c r="F367" s="1">
        <v>49.33</v>
      </c>
      <c r="G367" s="1">
        <f>VLOOKUP(A367,[1]黄金期货历史数据!$A:$B,2,)</f>
        <v>1216.7</v>
      </c>
      <c r="H367" s="1">
        <v>95.5</v>
      </c>
      <c r="I367" s="1">
        <v>2.169</v>
      </c>
      <c r="J367" s="1">
        <v>2.1190000000000002</v>
      </c>
    </row>
    <row r="368" spans="1:10" x14ac:dyDescent="0.3">
      <c r="A368" s="2">
        <v>42519</v>
      </c>
      <c r="B368" s="1">
        <v>1.1367</v>
      </c>
      <c r="C368" s="1">
        <v>1.452</v>
      </c>
      <c r="D368" s="1">
        <v>0.15232756519619792</v>
      </c>
      <c r="E368" s="1">
        <v>13.47</v>
      </c>
      <c r="F368" s="1">
        <v>48.62</v>
      </c>
      <c r="G368" s="1">
        <f>VLOOKUP(A368,[1]黄金期货历史数据!$A:$B,2,)</f>
        <v>1242.9000000000001</v>
      </c>
      <c r="H368" s="1">
        <v>94.028000000000006</v>
      </c>
      <c r="I368" s="1">
        <v>2.3980000000000001</v>
      </c>
      <c r="J368" s="1">
        <v>2.1154999999999999</v>
      </c>
    </row>
    <row r="369" spans="1:10" x14ac:dyDescent="0.3">
      <c r="A369" s="2">
        <v>42526</v>
      </c>
      <c r="B369" s="1">
        <v>1.1251</v>
      </c>
      <c r="C369" s="1">
        <v>1.4258</v>
      </c>
      <c r="D369" s="1">
        <v>0.15239488562763834</v>
      </c>
      <c r="E369" s="1">
        <v>17.03</v>
      </c>
      <c r="F369" s="1">
        <v>49.07</v>
      </c>
      <c r="G369" s="1">
        <f>VLOOKUP(A369,[1]黄金期货历史数据!$A:$B,2,)</f>
        <v>1275.9000000000001</v>
      </c>
      <c r="H369" s="1">
        <v>94.561000000000007</v>
      </c>
      <c r="I369" s="1">
        <v>2.556</v>
      </c>
      <c r="J369" s="1">
        <v>2.0329999999999999</v>
      </c>
    </row>
    <row r="370" spans="1:10" x14ac:dyDescent="0.3">
      <c r="A370" s="2">
        <v>42533</v>
      </c>
      <c r="B370" s="1">
        <v>1.1276999999999999</v>
      </c>
      <c r="C370" s="1">
        <v>1.4358</v>
      </c>
      <c r="D370" s="1">
        <v>0.15178191973772084</v>
      </c>
      <c r="E370" s="1">
        <v>19.41</v>
      </c>
      <c r="F370" s="1">
        <v>47.98</v>
      </c>
      <c r="G370" s="1">
        <f>VLOOKUP(A370,[1]黄金期货历史数据!$A:$B,2,)</f>
        <v>1294.8</v>
      </c>
      <c r="H370" s="1">
        <v>94.34</v>
      </c>
      <c r="I370" s="1">
        <v>2.6230000000000002</v>
      </c>
      <c r="J370" s="1">
        <v>2.0535000000000001</v>
      </c>
    </row>
    <row r="371" spans="1:10" x14ac:dyDescent="0.3">
      <c r="A371" s="2">
        <v>42540</v>
      </c>
      <c r="B371" s="1">
        <v>1.1116999999999999</v>
      </c>
      <c r="C371" s="1">
        <v>1.3680000000000001</v>
      </c>
      <c r="D371" s="1">
        <v>0.15101633996798453</v>
      </c>
      <c r="E371" s="1">
        <v>25.76</v>
      </c>
      <c r="F371" s="1">
        <v>47.64</v>
      </c>
      <c r="G371" s="1">
        <f>VLOOKUP(A371,[1]黄金期货历史数据!$A:$B,2,)</f>
        <v>1322.4</v>
      </c>
      <c r="H371" s="1">
        <v>95.573999999999998</v>
      </c>
      <c r="I371" s="1">
        <v>2.6619999999999999</v>
      </c>
      <c r="J371" s="1">
        <v>2.113</v>
      </c>
    </row>
    <row r="372" spans="1:10" x14ac:dyDescent="0.3">
      <c r="A372" s="2">
        <v>42547</v>
      </c>
      <c r="B372" s="1">
        <v>1.1135999999999999</v>
      </c>
      <c r="C372" s="1">
        <v>1.3262</v>
      </c>
      <c r="D372" s="1">
        <v>0.15024715657256185</v>
      </c>
      <c r="E372" s="1">
        <v>14.77</v>
      </c>
      <c r="F372" s="1">
        <v>48.99</v>
      </c>
      <c r="G372" s="1">
        <f>VLOOKUP(A372,[1]黄金期货历史数据!$A:$B,2,)</f>
        <v>1340.4</v>
      </c>
      <c r="H372" s="1">
        <v>95.713999999999999</v>
      </c>
      <c r="I372" s="1">
        <v>2.9870000000000001</v>
      </c>
      <c r="J372" s="1">
        <v>2.2170000000000001</v>
      </c>
    </row>
    <row r="373" spans="1:10" x14ac:dyDescent="0.3">
      <c r="A373" s="2">
        <v>42554</v>
      </c>
      <c r="B373" s="1">
        <v>1.1054999999999999</v>
      </c>
      <c r="C373" s="1">
        <v>1.2956000000000001</v>
      </c>
      <c r="D373" s="1">
        <v>0.14951929546507975</v>
      </c>
      <c r="E373" s="1">
        <v>13.2</v>
      </c>
      <c r="F373" s="1">
        <v>45.41</v>
      </c>
      <c r="G373" s="1">
        <f>VLOOKUP(A373,[1]黄金期货历史数据!$A:$B,2,)</f>
        <v>1360.5</v>
      </c>
      <c r="H373" s="1">
        <v>96.326999999999998</v>
      </c>
      <c r="I373" s="1">
        <v>2.8010000000000002</v>
      </c>
      <c r="J373" s="1">
        <v>2.1190000000000002</v>
      </c>
    </row>
    <row r="374" spans="1:10" x14ac:dyDescent="0.3">
      <c r="A374" s="2">
        <v>42561</v>
      </c>
      <c r="B374" s="1">
        <v>1.1035999999999999</v>
      </c>
      <c r="C374" s="1">
        <v>1.3192999999999999</v>
      </c>
      <c r="D374" s="1">
        <v>0.14950588305649828</v>
      </c>
      <c r="E374" s="1">
        <v>12.67</v>
      </c>
      <c r="F374" s="1">
        <v>45.95</v>
      </c>
      <c r="G374" s="1">
        <f>VLOOKUP(A374,[1]黄金期货历史数据!$A:$B,2,)</f>
        <v>1329.3</v>
      </c>
      <c r="H374" s="1">
        <v>96.563000000000002</v>
      </c>
      <c r="I374" s="1">
        <v>2.7559999999999998</v>
      </c>
      <c r="J374" s="1">
        <v>2.2334999999999998</v>
      </c>
    </row>
    <row r="375" spans="1:10" x14ac:dyDescent="0.3">
      <c r="A375" s="2">
        <v>42568</v>
      </c>
      <c r="B375" s="1">
        <v>1.0975999999999999</v>
      </c>
      <c r="C375" s="1">
        <v>1.3110999999999999</v>
      </c>
      <c r="D375" s="1">
        <v>0.14971180477580656</v>
      </c>
      <c r="E375" s="1">
        <v>12.02</v>
      </c>
      <c r="F375" s="1">
        <v>44.19</v>
      </c>
      <c r="G375" s="1">
        <f>VLOOKUP(A375,[1]黄金期货历史数据!$A:$B,2,)</f>
        <v>1325.3</v>
      </c>
      <c r="H375" s="1">
        <v>97.516000000000005</v>
      </c>
      <c r="I375" s="1">
        <v>2.7770000000000001</v>
      </c>
      <c r="J375" s="1">
        <v>2.2355</v>
      </c>
    </row>
    <row r="376" spans="1:10" x14ac:dyDescent="0.3">
      <c r="A376" s="2">
        <v>42575</v>
      </c>
      <c r="B376" s="1">
        <v>1.1173999999999999</v>
      </c>
      <c r="C376" s="1">
        <v>1.3230999999999999</v>
      </c>
      <c r="D376" s="1">
        <v>0.15066367348168683</v>
      </c>
      <c r="E376" s="1">
        <v>11.87</v>
      </c>
      <c r="F376" s="1">
        <v>41.6</v>
      </c>
      <c r="G376" s="1">
        <f>VLOOKUP(A376,[1]黄金期货历史数据!$A:$B,2,)</f>
        <v>1353.1</v>
      </c>
      <c r="H376" s="1">
        <v>95.491</v>
      </c>
      <c r="I376" s="1">
        <v>2.8759999999999999</v>
      </c>
      <c r="J376" s="1">
        <v>2.2250000000000001</v>
      </c>
    </row>
    <row r="377" spans="1:10" x14ac:dyDescent="0.3">
      <c r="A377" s="2">
        <v>42582</v>
      </c>
      <c r="B377" s="1">
        <v>1.1085</v>
      </c>
      <c r="C377" s="1">
        <v>1.3072999999999999</v>
      </c>
      <c r="D377" s="1">
        <v>0.15023135628868459</v>
      </c>
      <c r="E377" s="1">
        <v>11.39</v>
      </c>
      <c r="F377" s="1">
        <v>41.8</v>
      </c>
      <c r="G377" s="1">
        <f>VLOOKUP(A377,[1]黄金期货历史数据!$A:$B,2,)</f>
        <v>1339.5</v>
      </c>
      <c r="H377" s="1">
        <v>96.135999999999996</v>
      </c>
      <c r="I377" s="1">
        <v>2.7719999999999998</v>
      </c>
      <c r="J377" s="1">
        <v>2.16</v>
      </c>
    </row>
    <row r="378" spans="1:10" x14ac:dyDescent="0.3">
      <c r="A378" s="2">
        <v>42589</v>
      </c>
      <c r="B378" s="1">
        <v>1.1161000000000001</v>
      </c>
      <c r="C378" s="1">
        <v>1.2923</v>
      </c>
      <c r="D378" s="1">
        <v>0.15070908625081006</v>
      </c>
      <c r="E378" s="1">
        <v>11.55</v>
      </c>
      <c r="F378" s="1">
        <v>44.49</v>
      </c>
      <c r="G378" s="1">
        <f>VLOOKUP(A378,[1]黄金期货历史数据!$A:$B,2,)</f>
        <v>1338.9</v>
      </c>
      <c r="H378" s="1">
        <v>95.682000000000002</v>
      </c>
      <c r="I378" s="1">
        <v>2.5859999999999999</v>
      </c>
      <c r="J378" s="1">
        <v>2.1440000000000001</v>
      </c>
    </row>
    <row r="379" spans="1:10" x14ac:dyDescent="0.3">
      <c r="A379" s="2">
        <v>42596</v>
      </c>
      <c r="B379" s="1">
        <v>1.1326000000000001</v>
      </c>
      <c r="C379" s="1">
        <v>1.3075000000000001</v>
      </c>
      <c r="D379" s="1">
        <v>0.15030361329886371</v>
      </c>
      <c r="E379" s="1">
        <v>11.34</v>
      </c>
      <c r="F379" s="1">
        <v>48.52</v>
      </c>
      <c r="G379" s="1">
        <f>VLOOKUP(A379,[1]黄金期货历史数据!$A:$B,2,)</f>
        <v>1342.2</v>
      </c>
      <c r="H379" s="1">
        <v>94.483000000000004</v>
      </c>
      <c r="I379" s="1">
        <v>2.5840000000000001</v>
      </c>
      <c r="J379" s="1">
        <v>2.1715</v>
      </c>
    </row>
    <row r="380" spans="1:10" x14ac:dyDescent="0.3">
      <c r="A380" s="2">
        <v>42603</v>
      </c>
      <c r="B380" s="1">
        <v>1.1197999999999999</v>
      </c>
      <c r="C380" s="1">
        <v>1.3139000000000001</v>
      </c>
      <c r="D380" s="1">
        <v>0.14988234236124642</v>
      </c>
      <c r="E380" s="1">
        <v>13.65</v>
      </c>
      <c r="F380" s="1">
        <v>47.64</v>
      </c>
      <c r="G380" s="1">
        <f>VLOOKUP(A380,[1]黄金期货历史数据!$A:$B,2,)</f>
        <v>1322.6</v>
      </c>
      <c r="H380" s="1">
        <v>95.542000000000002</v>
      </c>
      <c r="I380" s="1">
        <v>2.871</v>
      </c>
      <c r="J380" s="1">
        <v>2.0815000000000001</v>
      </c>
    </row>
    <row r="381" spans="1:10" x14ac:dyDescent="0.3">
      <c r="A381" s="2">
        <v>42610</v>
      </c>
      <c r="B381" s="1">
        <v>1.1155999999999999</v>
      </c>
      <c r="C381" s="1">
        <v>1.3292999999999999</v>
      </c>
      <c r="D381" s="1">
        <v>0.1496893945063992</v>
      </c>
      <c r="E381" s="1">
        <v>11.98</v>
      </c>
      <c r="F381" s="1">
        <v>44.44</v>
      </c>
      <c r="G381" s="1">
        <f>VLOOKUP(A381,[1]黄金期货历史数据!$A:$B,2,)</f>
        <v>1324.9</v>
      </c>
      <c r="H381" s="1">
        <v>95.843999999999994</v>
      </c>
      <c r="I381" s="1">
        <v>2.7919999999999998</v>
      </c>
      <c r="J381" s="1">
        <v>2.0760000000000001</v>
      </c>
    </row>
    <row r="382" spans="1:10" x14ac:dyDescent="0.3">
      <c r="A382" s="2">
        <v>42617</v>
      </c>
      <c r="B382" s="1">
        <v>1.1233</v>
      </c>
      <c r="C382" s="1">
        <v>1.3267</v>
      </c>
      <c r="D382" s="1">
        <v>0.14974319042841527</v>
      </c>
      <c r="E382" s="1">
        <v>17.5</v>
      </c>
      <c r="F382" s="1">
        <v>45.88</v>
      </c>
      <c r="G382" s="1">
        <f>VLOOKUP(A382,[1]黄金期货历史数据!$A:$B,2,)</f>
        <v>1332.1</v>
      </c>
      <c r="H382" s="1">
        <v>95.328000000000003</v>
      </c>
      <c r="I382" s="1">
        <v>2.7970000000000002</v>
      </c>
      <c r="J382" s="1">
        <v>2.0920000000000001</v>
      </c>
    </row>
    <row r="383" spans="1:10" x14ac:dyDescent="0.3">
      <c r="A383" s="2">
        <v>42624</v>
      </c>
      <c r="B383" s="1">
        <v>1.1154999999999999</v>
      </c>
      <c r="C383" s="1">
        <v>1.3001</v>
      </c>
      <c r="D383" s="1">
        <v>0.14984865286061078</v>
      </c>
      <c r="E383" s="1">
        <v>15.37</v>
      </c>
      <c r="F383" s="1">
        <v>43.03</v>
      </c>
      <c r="G383" s="1">
        <f>VLOOKUP(A383,[1]黄金期货历史数据!$A:$B,2,)</f>
        <v>1307.8</v>
      </c>
      <c r="H383" s="1">
        <v>96.105000000000004</v>
      </c>
      <c r="I383" s="1">
        <v>2.948</v>
      </c>
      <c r="J383" s="1">
        <v>2.157</v>
      </c>
    </row>
    <row r="384" spans="1:10" x14ac:dyDescent="0.3">
      <c r="A384" s="2">
        <v>42631</v>
      </c>
      <c r="B384" s="1">
        <v>1.1226</v>
      </c>
      <c r="C384" s="1">
        <v>1.2974000000000001</v>
      </c>
      <c r="D384" s="1">
        <v>0.14993852520466608</v>
      </c>
      <c r="E384" s="1">
        <v>12.29</v>
      </c>
      <c r="F384" s="1">
        <v>44.48</v>
      </c>
      <c r="G384" s="1">
        <f>VLOOKUP(A384,[1]黄金期货历史数据!$A:$B,2,)</f>
        <v>1339.3</v>
      </c>
      <c r="H384" s="1">
        <v>95.391999999999996</v>
      </c>
      <c r="I384" s="1">
        <v>2.9550000000000001</v>
      </c>
      <c r="J384" s="1">
        <v>2.1974999999999998</v>
      </c>
    </row>
    <row r="385" spans="1:10" x14ac:dyDescent="0.3">
      <c r="A385" s="2">
        <v>42638</v>
      </c>
      <c r="B385" s="1">
        <v>1.1241000000000001</v>
      </c>
      <c r="C385" s="1">
        <v>1.2976000000000001</v>
      </c>
      <c r="D385" s="1">
        <v>0.14988908207926135</v>
      </c>
      <c r="E385" s="1">
        <v>13.29</v>
      </c>
      <c r="F385" s="1">
        <v>48.24</v>
      </c>
      <c r="G385" s="1">
        <f>VLOOKUP(A385,[1]黄金期货历史数据!$A:$B,2,)</f>
        <v>1317.1</v>
      </c>
      <c r="H385" s="1">
        <v>95.385000000000005</v>
      </c>
      <c r="I385" s="1">
        <v>2.9060000000000001</v>
      </c>
      <c r="J385" s="1">
        <v>2.2105000000000001</v>
      </c>
    </row>
    <row r="386" spans="1:10" x14ac:dyDescent="0.3">
      <c r="A386" s="2">
        <v>42645</v>
      </c>
      <c r="B386" s="1">
        <v>1.1201000000000001</v>
      </c>
      <c r="C386" s="1">
        <v>1.2434000000000001</v>
      </c>
      <c r="D386" s="1">
        <v>0.14988908207926135</v>
      </c>
      <c r="E386" s="1">
        <v>13.48</v>
      </c>
      <c r="F386" s="1">
        <v>49.81</v>
      </c>
      <c r="G386" s="1">
        <f>VLOOKUP(A386,[1]黄金期货历史数据!$A:$B,2,)</f>
        <v>1251.9000000000001</v>
      </c>
      <c r="H386" s="1">
        <v>96.653999999999996</v>
      </c>
      <c r="I386" s="1">
        <v>3.1930000000000001</v>
      </c>
      <c r="J386" s="1">
        <v>2.1635</v>
      </c>
    </row>
    <row r="387" spans="1:10" x14ac:dyDescent="0.3">
      <c r="A387" s="2">
        <v>42652</v>
      </c>
      <c r="B387" s="1">
        <v>1.0971</v>
      </c>
      <c r="C387" s="1">
        <v>1.2186999999999999</v>
      </c>
      <c r="D387" s="1">
        <v>0.14861490904767566</v>
      </c>
      <c r="E387" s="1">
        <v>16.12</v>
      </c>
      <c r="F387" s="1">
        <v>50.35</v>
      </c>
      <c r="G387" s="1">
        <f>VLOOKUP(A387,[1]黄金期货历史数据!$A:$B,2,)</f>
        <v>1255.5</v>
      </c>
      <c r="H387" s="1">
        <v>97.997</v>
      </c>
      <c r="I387" s="1">
        <v>3.2850000000000001</v>
      </c>
      <c r="J387" s="1">
        <v>2.1105</v>
      </c>
    </row>
    <row r="388" spans="1:10" x14ac:dyDescent="0.3">
      <c r="A388" s="2">
        <v>42659</v>
      </c>
      <c r="B388" s="1">
        <v>1.0884</v>
      </c>
      <c r="C388" s="1">
        <v>1.2235</v>
      </c>
      <c r="D388" s="1">
        <v>0.14778252323880178</v>
      </c>
      <c r="E388" s="1">
        <v>13.34</v>
      </c>
      <c r="F388" s="1">
        <v>50.85</v>
      </c>
      <c r="G388" s="1">
        <f>VLOOKUP(A388,[1]黄金期货历史数据!$A:$B,2,)</f>
        <v>1267.7</v>
      </c>
      <c r="H388" s="1">
        <v>98.686000000000007</v>
      </c>
      <c r="I388" s="1">
        <v>2.9929999999999999</v>
      </c>
      <c r="J388" s="1">
        <v>2.0884999999999998</v>
      </c>
    </row>
    <row r="389" spans="1:10" x14ac:dyDescent="0.3">
      <c r="A389" s="2">
        <v>42666</v>
      </c>
      <c r="B389" s="1">
        <v>1.0987</v>
      </c>
      <c r="C389" s="1">
        <v>1.2184999999999999</v>
      </c>
      <c r="D389" s="1">
        <v>0.1475143826523086</v>
      </c>
      <c r="E389" s="1">
        <v>16.190000000000001</v>
      </c>
      <c r="F389" s="1">
        <v>48.7</v>
      </c>
      <c r="G389" s="1">
        <f>VLOOKUP(A389,[1]黄金期货历史数据!$A:$B,2,)</f>
        <v>1278.5999999999999</v>
      </c>
      <c r="H389" s="1">
        <v>98.341999999999999</v>
      </c>
      <c r="I389" s="1">
        <v>3.105</v>
      </c>
      <c r="J389" s="1">
        <v>2.1970000000000001</v>
      </c>
    </row>
    <row r="390" spans="1:10" x14ac:dyDescent="0.3">
      <c r="A390" s="2">
        <v>42673</v>
      </c>
      <c r="B390" s="1">
        <v>1.1137999999999999</v>
      </c>
      <c r="C390" s="1">
        <v>1.2519</v>
      </c>
      <c r="D390" s="1">
        <v>0.14800562421372013</v>
      </c>
      <c r="E390" s="1">
        <v>22.51</v>
      </c>
      <c r="F390" s="1">
        <v>44.07</v>
      </c>
      <c r="G390" s="1">
        <f>VLOOKUP(A390,[1]黄金期货历史数据!$A:$B,2,)</f>
        <v>1306.5</v>
      </c>
      <c r="H390" s="1">
        <v>97.087999999999994</v>
      </c>
      <c r="I390" s="1">
        <v>2.7669999999999999</v>
      </c>
      <c r="J390" s="1">
        <v>2.2685</v>
      </c>
    </row>
    <row r="391" spans="1:10" x14ac:dyDescent="0.3">
      <c r="A391" s="2">
        <v>42680</v>
      </c>
      <c r="B391" s="1">
        <v>1.0855999999999999</v>
      </c>
      <c r="C391" s="1">
        <v>1.2602</v>
      </c>
      <c r="D391" s="1">
        <v>0.14678899082568808</v>
      </c>
      <c r="E391" s="1">
        <v>14.17</v>
      </c>
      <c r="F391" s="1">
        <v>43.41</v>
      </c>
      <c r="G391" s="1">
        <f>VLOOKUP(A391,[1]黄金期货历史数据!$A:$B,2,)</f>
        <v>1225.5999999999999</v>
      </c>
      <c r="H391" s="1">
        <v>99.05</v>
      </c>
      <c r="I391" s="1">
        <v>2.6190000000000002</v>
      </c>
      <c r="J391" s="1">
        <v>2.5125000000000002</v>
      </c>
    </row>
    <row r="392" spans="1:10" x14ac:dyDescent="0.3">
      <c r="A392" s="2">
        <v>42687</v>
      </c>
      <c r="B392" s="1">
        <v>1.0588</v>
      </c>
      <c r="C392" s="1">
        <v>1.2345999999999999</v>
      </c>
      <c r="D392" s="1">
        <v>0.14516527066064713</v>
      </c>
      <c r="E392" s="1">
        <v>12.85</v>
      </c>
      <c r="F392" s="1">
        <v>45.69</v>
      </c>
      <c r="G392" s="1">
        <f>VLOOKUP(A392,[1]黄金期货历史数据!$A:$B,2,)</f>
        <v>1210.0999999999999</v>
      </c>
      <c r="H392" s="1">
        <v>101.283</v>
      </c>
      <c r="I392" s="1">
        <v>2.843</v>
      </c>
      <c r="J392" s="1">
        <v>2.4700000000000002</v>
      </c>
    </row>
    <row r="393" spans="1:10" x14ac:dyDescent="0.3">
      <c r="A393" s="2">
        <v>42694</v>
      </c>
      <c r="B393" s="1">
        <v>1.0587</v>
      </c>
      <c r="C393" s="1">
        <v>1.2476</v>
      </c>
      <c r="D393" s="1">
        <v>0.14451284719211538</v>
      </c>
      <c r="E393" s="1">
        <v>12.34</v>
      </c>
      <c r="F393" s="1">
        <v>46.06</v>
      </c>
      <c r="G393" s="1">
        <f>VLOOKUP(A393,[1]黄金期货历史数据!$A:$B,2,)</f>
        <v>1179.5999999999999</v>
      </c>
      <c r="H393" s="1">
        <v>101.54600000000001</v>
      </c>
      <c r="I393" s="1">
        <v>3.085</v>
      </c>
      <c r="J393" s="1">
        <v>2.673</v>
      </c>
    </row>
    <row r="394" spans="1:10" x14ac:dyDescent="0.3">
      <c r="A394" s="2">
        <v>42701</v>
      </c>
      <c r="B394" s="1">
        <v>1.0672999999999999</v>
      </c>
      <c r="C394" s="1">
        <v>1.2728999999999999</v>
      </c>
      <c r="D394" s="1">
        <v>0.14521164597400713</v>
      </c>
      <c r="E394" s="1">
        <v>14.12</v>
      </c>
      <c r="F394" s="1">
        <v>51.68</v>
      </c>
      <c r="G394" s="1">
        <f>VLOOKUP(A394,[1]黄金期货历史数据!$A:$B,2,)</f>
        <v>1177.8</v>
      </c>
      <c r="H394" s="1">
        <v>100.861</v>
      </c>
      <c r="I394" s="1">
        <v>3.4359999999999999</v>
      </c>
      <c r="J394" s="1">
        <v>2.6219999999999999</v>
      </c>
    </row>
    <row r="395" spans="1:10" x14ac:dyDescent="0.3">
      <c r="A395" s="2">
        <v>42708</v>
      </c>
      <c r="B395" s="1">
        <v>1.0562</v>
      </c>
      <c r="C395" s="1">
        <v>1.2576000000000001</v>
      </c>
      <c r="D395" s="1">
        <v>0.1447659857839802</v>
      </c>
      <c r="E395" s="1">
        <v>11.75</v>
      </c>
      <c r="F395" s="1">
        <v>51.5</v>
      </c>
      <c r="G395" s="1">
        <f>VLOOKUP(A395,[1]黄金期货历史数据!$A:$B,2,)</f>
        <v>1161.9000000000001</v>
      </c>
      <c r="H395" s="1">
        <v>101.62</v>
      </c>
      <c r="I395" s="1">
        <v>3.746</v>
      </c>
      <c r="J395" s="1">
        <v>2.645</v>
      </c>
    </row>
    <row r="396" spans="1:10" x14ac:dyDescent="0.3">
      <c r="A396" s="2">
        <v>42715</v>
      </c>
      <c r="B396" s="1">
        <v>1.0450999999999999</v>
      </c>
      <c r="C396" s="1">
        <v>1.2497</v>
      </c>
      <c r="D396" s="1">
        <v>0.14367196816229186</v>
      </c>
      <c r="E396" s="1">
        <v>12.2</v>
      </c>
      <c r="F396" s="1">
        <v>51.9</v>
      </c>
      <c r="G396" s="1">
        <f>VLOOKUP(A396,[1]黄金期货历史数据!$A:$B,2,)</f>
        <v>1137.4000000000001</v>
      </c>
      <c r="H396" s="1">
        <v>102.95399999999999</v>
      </c>
      <c r="I396" s="1">
        <v>3.415</v>
      </c>
      <c r="J396" s="1">
        <v>2.5609999999999999</v>
      </c>
    </row>
    <row r="397" spans="1:10" x14ac:dyDescent="0.3">
      <c r="A397" s="2">
        <v>42722</v>
      </c>
      <c r="B397" s="1">
        <v>1.0456000000000001</v>
      </c>
      <c r="C397" s="1">
        <v>1.2292000000000001</v>
      </c>
      <c r="D397" s="1">
        <v>0.14395946101577797</v>
      </c>
      <c r="E397" s="1">
        <v>11.44</v>
      </c>
      <c r="F397" s="1">
        <v>53.02</v>
      </c>
      <c r="G397" s="1">
        <f>VLOOKUP(A397,[1]黄金期货历史数据!$A:$B,2,)</f>
        <v>1133.5999999999999</v>
      </c>
      <c r="H397" s="1">
        <v>103.002</v>
      </c>
      <c r="I397" s="1">
        <v>3.6619999999999999</v>
      </c>
      <c r="J397" s="1">
        <v>2.476</v>
      </c>
    </row>
    <row r="398" spans="1:10" x14ac:dyDescent="0.3">
      <c r="A398" s="2">
        <v>42729</v>
      </c>
      <c r="B398" s="1">
        <v>1.0516000000000001</v>
      </c>
      <c r="C398" s="1">
        <v>1.2338</v>
      </c>
      <c r="D398" s="1">
        <v>0.14398848092152627</v>
      </c>
      <c r="E398" s="1">
        <v>14.04</v>
      </c>
      <c r="F398" s="1">
        <v>53.72</v>
      </c>
      <c r="G398" s="1">
        <f>VLOOKUP(A398,[1]黄金期货历史数据!$A:$B,2,)</f>
        <v>1152.9000000000001</v>
      </c>
      <c r="H398" s="1">
        <v>102.286</v>
      </c>
      <c r="I398" s="1">
        <v>3.7240000000000002</v>
      </c>
      <c r="J398" s="1">
        <v>2.5055000000000001</v>
      </c>
    </row>
    <row r="399" spans="1:10" x14ac:dyDescent="0.3">
      <c r="A399" s="2">
        <v>42736</v>
      </c>
      <c r="B399" s="1">
        <v>1.0532999999999999</v>
      </c>
      <c r="C399" s="1">
        <v>1.2286999999999999</v>
      </c>
      <c r="D399" s="1">
        <v>0.14449405406967503</v>
      </c>
      <c r="E399" s="1">
        <v>11.32</v>
      </c>
      <c r="F399" s="1">
        <v>53.99</v>
      </c>
      <c r="G399" s="1">
        <f>VLOOKUP(A399,[1]黄金期货历史数据!$A:$B,2,)</f>
        <v>1174.8</v>
      </c>
      <c r="H399" s="1">
        <v>102.209</v>
      </c>
      <c r="I399" s="1">
        <v>3.2850000000000001</v>
      </c>
      <c r="J399" s="1">
        <v>2.5459999999999998</v>
      </c>
    </row>
    <row r="400" spans="1:10" x14ac:dyDescent="0.3">
      <c r="A400" s="2">
        <v>42743</v>
      </c>
      <c r="B400" s="1">
        <v>1.0644</v>
      </c>
      <c r="C400" s="1">
        <v>1.2179</v>
      </c>
      <c r="D400" s="1">
        <v>0.14491703499746394</v>
      </c>
      <c r="E400" s="1">
        <v>11.23</v>
      </c>
      <c r="F400" s="1">
        <v>52.37</v>
      </c>
      <c r="G400" s="1">
        <f>VLOOKUP(A400,[1]黄金期货历史数据!$A:$B,2,)</f>
        <v>1197.5</v>
      </c>
      <c r="H400" s="1">
        <v>101.188</v>
      </c>
      <c r="I400" s="1">
        <v>3.419</v>
      </c>
      <c r="J400" s="1">
        <v>2.69</v>
      </c>
    </row>
    <row r="401" spans="1:10" x14ac:dyDescent="0.3">
      <c r="A401" s="2">
        <v>42750</v>
      </c>
      <c r="B401" s="1">
        <v>1.0703</v>
      </c>
      <c r="C401" s="1">
        <v>1.2375</v>
      </c>
      <c r="D401" s="1">
        <v>0.14542281683996219</v>
      </c>
      <c r="E401" s="1">
        <v>11.54</v>
      </c>
      <c r="F401" s="1">
        <v>52.42</v>
      </c>
      <c r="G401" s="1">
        <f>VLOOKUP(A401,[1]黄金期货历史数据!$A:$B,2,)</f>
        <v>1206</v>
      </c>
      <c r="H401" s="1">
        <v>100.69</v>
      </c>
      <c r="I401" s="1">
        <v>3.2040000000000002</v>
      </c>
      <c r="J401" s="1">
        <v>2.625</v>
      </c>
    </row>
    <row r="402" spans="1:10" x14ac:dyDescent="0.3">
      <c r="A402" s="2">
        <v>42757</v>
      </c>
      <c r="B402" s="1">
        <v>1.0699000000000001</v>
      </c>
      <c r="C402" s="1">
        <v>1.2555000000000001</v>
      </c>
      <c r="D402" s="1">
        <v>0.14531293139776508</v>
      </c>
      <c r="E402" s="1">
        <v>10.58</v>
      </c>
      <c r="F402" s="1">
        <v>53.17</v>
      </c>
      <c r="G402" s="1">
        <f>VLOOKUP(A402,[1]黄金期货历史数据!$A:$B,2,)</f>
        <v>1189.8</v>
      </c>
      <c r="H402" s="1">
        <v>100.526</v>
      </c>
      <c r="I402" s="1">
        <v>3.391</v>
      </c>
      <c r="J402" s="1">
        <v>2.6894999999999998</v>
      </c>
    </row>
    <row r="403" spans="1:10" x14ac:dyDescent="0.3">
      <c r="A403" s="2">
        <v>42764</v>
      </c>
      <c r="B403" s="1">
        <v>1.0784</v>
      </c>
      <c r="C403" s="1">
        <v>1.2487999999999999</v>
      </c>
      <c r="D403" s="1">
        <v>0.14556676419639869</v>
      </c>
      <c r="E403" s="1">
        <v>10.97</v>
      </c>
      <c r="F403" s="1">
        <v>53.83</v>
      </c>
      <c r="G403" s="1">
        <f>VLOOKUP(A403,[1]黄金期货历史数据!$A:$B,2,)</f>
        <v>1220.8</v>
      </c>
      <c r="H403" s="1">
        <v>99.841999999999999</v>
      </c>
      <c r="I403" s="1">
        <v>3.0630000000000002</v>
      </c>
      <c r="J403" s="1">
        <v>2.6225000000000001</v>
      </c>
    </row>
    <row r="404" spans="1:10" x14ac:dyDescent="0.3">
      <c r="A404" s="2">
        <v>42771</v>
      </c>
      <c r="B404" s="1">
        <v>1.0641</v>
      </c>
      <c r="C404" s="1">
        <v>1.2491000000000001</v>
      </c>
      <c r="D404" s="1">
        <v>0.14538053354655811</v>
      </c>
      <c r="E404" s="1">
        <v>10.85</v>
      </c>
      <c r="F404" s="1">
        <v>53.86</v>
      </c>
      <c r="G404" s="1">
        <f>VLOOKUP(A404,[1]黄金期货历史数据!$A:$B,2,)</f>
        <v>1235.9000000000001</v>
      </c>
      <c r="H404" s="1">
        <v>100.791</v>
      </c>
      <c r="I404" s="1">
        <v>3.0339999999999998</v>
      </c>
      <c r="J404" s="1">
        <v>2.7749999999999999</v>
      </c>
    </row>
    <row r="405" spans="1:10" x14ac:dyDescent="0.3">
      <c r="A405" s="2">
        <v>42778</v>
      </c>
      <c r="B405" s="1">
        <v>1.0613999999999999</v>
      </c>
      <c r="C405" s="1">
        <v>1.2414000000000001</v>
      </c>
      <c r="D405" s="1">
        <v>0.14563460278162091</v>
      </c>
      <c r="E405" s="1">
        <v>11.49</v>
      </c>
      <c r="F405" s="1">
        <v>53.4</v>
      </c>
      <c r="G405" s="1">
        <f>VLOOKUP(A405,[1]黄金期货历史数据!$A:$B,2,)</f>
        <v>1239.0999999999999</v>
      </c>
      <c r="H405" s="1">
        <v>100.95099999999999</v>
      </c>
      <c r="I405" s="1">
        <v>2.8340000000000001</v>
      </c>
      <c r="J405" s="1">
        <v>2.714</v>
      </c>
    </row>
    <row r="406" spans="1:10" x14ac:dyDescent="0.3">
      <c r="A406" s="2">
        <v>42785</v>
      </c>
      <c r="B406" s="1">
        <v>1.0563</v>
      </c>
      <c r="C406" s="1">
        <v>1.2467999999999999</v>
      </c>
      <c r="D406" s="1">
        <v>0.14558159848595137</v>
      </c>
      <c r="E406" s="1">
        <v>11.47</v>
      </c>
      <c r="F406" s="1">
        <v>53.99</v>
      </c>
      <c r="G406" s="1">
        <f>VLOOKUP(A406,[1]黄金期货历史数据!$A:$B,2,)</f>
        <v>1258.3</v>
      </c>
      <c r="H406" s="1">
        <v>101.09</v>
      </c>
      <c r="I406" s="1">
        <v>2.6269999999999998</v>
      </c>
      <c r="J406" s="1">
        <v>2.6884999999999999</v>
      </c>
    </row>
    <row r="407" spans="1:10" x14ac:dyDescent="0.3">
      <c r="A407" s="2">
        <v>42792</v>
      </c>
      <c r="B407" s="1">
        <v>1.0623</v>
      </c>
      <c r="C407" s="1">
        <v>1.2295</v>
      </c>
      <c r="D407" s="1">
        <v>0.14498637128109959</v>
      </c>
      <c r="E407" s="1">
        <v>10.96</v>
      </c>
      <c r="F407" s="1">
        <v>53.33</v>
      </c>
      <c r="G407" s="1">
        <f>VLOOKUP(A407,[1]黄金期货历史数据!$A:$B,2,)</f>
        <v>1228.0999999999999</v>
      </c>
      <c r="H407" s="1">
        <v>101.548</v>
      </c>
      <c r="I407" s="1">
        <v>2.827</v>
      </c>
      <c r="J407" s="1">
        <v>2.6964999999999999</v>
      </c>
    </row>
    <row r="408" spans="1:10" x14ac:dyDescent="0.3">
      <c r="A408" s="2">
        <v>42799</v>
      </c>
      <c r="B408" s="1">
        <v>1.0671999999999999</v>
      </c>
      <c r="C408" s="1">
        <v>1.2171000000000001</v>
      </c>
      <c r="D408" s="1">
        <v>0.14472827266806571</v>
      </c>
      <c r="E408" s="1">
        <v>11.66</v>
      </c>
      <c r="F408" s="1">
        <v>48.49</v>
      </c>
      <c r="G408" s="1">
        <f>VLOOKUP(A408,[1]黄金期货历史数据!$A:$B,2,)</f>
        <v>1203</v>
      </c>
      <c r="H408" s="1">
        <v>101.247</v>
      </c>
      <c r="I408" s="1">
        <v>3.008</v>
      </c>
      <c r="J408" s="1">
        <v>2.5950000000000002</v>
      </c>
    </row>
    <row r="409" spans="1:10" x14ac:dyDescent="0.3">
      <c r="A409" s="2">
        <v>42806</v>
      </c>
      <c r="B409" s="1">
        <v>1.0736000000000001</v>
      </c>
      <c r="C409" s="1">
        <v>1.2394000000000001</v>
      </c>
      <c r="D409" s="1">
        <v>0.14485615783526956</v>
      </c>
      <c r="E409" s="1">
        <v>11.28</v>
      </c>
      <c r="F409" s="1">
        <v>48.78</v>
      </c>
      <c r="G409" s="1">
        <f>VLOOKUP(A409,[1]黄金期货历史数据!$A:$B,2,)</f>
        <v>1231.7</v>
      </c>
      <c r="H409" s="1">
        <v>100.11499999999999</v>
      </c>
      <c r="I409" s="1">
        <v>2.948</v>
      </c>
      <c r="J409" s="1">
        <v>2.6915</v>
      </c>
    </row>
    <row r="410" spans="1:10" x14ac:dyDescent="0.3">
      <c r="A410" s="2">
        <v>42813</v>
      </c>
      <c r="B410" s="1">
        <v>1.0797000000000001</v>
      </c>
      <c r="C410" s="1">
        <v>1.2467999999999999</v>
      </c>
      <c r="D410" s="1">
        <v>0.14527071197175936</v>
      </c>
      <c r="E410" s="1">
        <v>12.96</v>
      </c>
      <c r="F410" s="1">
        <v>47.97</v>
      </c>
      <c r="G410" s="1">
        <f>VLOOKUP(A410,[1]黄金期货历史数据!$A:$B,2,)</f>
        <v>1250.0999999999999</v>
      </c>
      <c r="H410" s="1">
        <v>99.441999999999993</v>
      </c>
      <c r="I410" s="1">
        <v>3.0760000000000001</v>
      </c>
      <c r="J410" s="1">
        <v>2.6309999999999998</v>
      </c>
    </row>
    <row r="411" spans="1:10" x14ac:dyDescent="0.3">
      <c r="A411" s="2">
        <v>42820</v>
      </c>
      <c r="B411" s="1">
        <v>1.0649</v>
      </c>
      <c r="C411" s="1">
        <v>1.2544999999999999</v>
      </c>
      <c r="D411" s="1">
        <v>0.14519899522295304</v>
      </c>
      <c r="E411" s="1">
        <v>12.37</v>
      </c>
      <c r="F411" s="1">
        <v>50.6</v>
      </c>
      <c r="G411" s="1">
        <f>VLOOKUP(A411,[1]黄金期货历史数据!$A:$B,2,)</f>
        <v>1251.2</v>
      </c>
      <c r="H411" s="1">
        <v>100.218</v>
      </c>
      <c r="I411" s="1">
        <v>3.19</v>
      </c>
      <c r="J411" s="1">
        <v>2.66</v>
      </c>
    </row>
    <row r="412" spans="1:10" x14ac:dyDescent="0.3">
      <c r="A412" s="2">
        <v>42827</v>
      </c>
      <c r="B412" s="1">
        <v>1.0588</v>
      </c>
      <c r="C412" s="1">
        <v>1.2372000000000001</v>
      </c>
      <c r="D412" s="1">
        <v>0.14491913512260157</v>
      </c>
      <c r="E412" s="1">
        <v>12.87</v>
      </c>
      <c r="F412" s="1">
        <v>52.24</v>
      </c>
      <c r="G412" s="1">
        <f>VLOOKUP(A412,[1]黄金期货历史数据!$A:$B,2,)</f>
        <v>1257.3</v>
      </c>
      <c r="H412" s="1">
        <v>101.117</v>
      </c>
      <c r="I412" s="1">
        <v>3.2610000000000001</v>
      </c>
      <c r="J412" s="1">
        <v>2.6545000000000001</v>
      </c>
    </row>
    <row r="413" spans="1:10" x14ac:dyDescent="0.3">
      <c r="A413" s="2">
        <v>42834</v>
      </c>
      <c r="B413" s="1">
        <v>1.0609</v>
      </c>
      <c r="C413" s="1">
        <v>1.2522</v>
      </c>
      <c r="D413" s="1">
        <v>0.14523484474395099</v>
      </c>
      <c r="E413" s="1">
        <v>15.96</v>
      </c>
      <c r="F413" s="1">
        <v>53.18</v>
      </c>
      <c r="G413" s="1">
        <f>VLOOKUP(A413,[1]黄金期货历史数据!$A:$B,2,)</f>
        <v>1288.5</v>
      </c>
      <c r="H413" s="1">
        <v>100.46299999999999</v>
      </c>
      <c r="I413" s="1">
        <v>3.2269999999999999</v>
      </c>
      <c r="J413" s="1">
        <v>2.5785</v>
      </c>
    </row>
    <row r="414" spans="1:10" x14ac:dyDescent="0.3">
      <c r="A414" s="2">
        <v>42841</v>
      </c>
      <c r="B414" s="1">
        <v>1.0726</v>
      </c>
      <c r="C414" s="1">
        <v>1.2811999999999999</v>
      </c>
      <c r="D414" s="1">
        <v>0.1452242989296969</v>
      </c>
      <c r="E414" s="1">
        <v>14.63</v>
      </c>
      <c r="F414" s="1">
        <v>49.62</v>
      </c>
      <c r="G414" s="1">
        <f>VLOOKUP(A414,[1]黄金期货历史数据!$A:$B,2,)</f>
        <v>1289.0999999999999</v>
      </c>
      <c r="H414" s="1">
        <v>99.88</v>
      </c>
      <c r="I414" s="1">
        <v>3.101</v>
      </c>
      <c r="J414" s="1">
        <v>2.5455000000000001</v>
      </c>
    </row>
    <row r="415" spans="1:10" x14ac:dyDescent="0.3">
      <c r="A415" s="2">
        <v>42848</v>
      </c>
      <c r="B415" s="1">
        <v>1.0894999999999999</v>
      </c>
      <c r="C415" s="1">
        <v>1.2946</v>
      </c>
      <c r="D415" s="1">
        <v>0.14506419090447523</v>
      </c>
      <c r="E415" s="1">
        <v>10.82</v>
      </c>
      <c r="F415" s="1">
        <v>49.33</v>
      </c>
      <c r="G415" s="1">
        <f>VLOOKUP(A415,[1]黄金期货历史数据!$A:$B,2,)</f>
        <v>1270</v>
      </c>
      <c r="H415" s="1">
        <v>98.897999999999996</v>
      </c>
      <c r="I415" s="1">
        <v>3.2759999999999998</v>
      </c>
      <c r="J415" s="1">
        <v>2.6074999999999999</v>
      </c>
    </row>
    <row r="416" spans="1:10" x14ac:dyDescent="0.3">
      <c r="A416" s="2">
        <v>42855</v>
      </c>
      <c r="B416" s="1">
        <v>1.0994999999999999</v>
      </c>
      <c r="C416" s="1">
        <v>1.2979000000000001</v>
      </c>
      <c r="D416" s="1">
        <v>0.1448624531007808</v>
      </c>
      <c r="E416" s="1">
        <v>10.57</v>
      </c>
      <c r="F416" s="1">
        <v>46.22</v>
      </c>
      <c r="G416" s="1">
        <f>VLOOKUP(A416,[1]黄金期货历史数据!$A:$B,2,)</f>
        <v>1228.5</v>
      </c>
      <c r="H416" s="1">
        <v>98.528000000000006</v>
      </c>
      <c r="I416" s="1">
        <v>3.266</v>
      </c>
      <c r="J416" s="1">
        <v>2.5285000000000002</v>
      </c>
    </row>
    <row r="417" spans="1:10" x14ac:dyDescent="0.3">
      <c r="A417" s="2">
        <v>42862</v>
      </c>
      <c r="B417" s="1">
        <v>1.0928</v>
      </c>
      <c r="C417" s="1">
        <v>1.2889999999999999</v>
      </c>
      <c r="D417" s="1">
        <v>0.14494013972229469</v>
      </c>
      <c r="E417" s="1">
        <v>10.4</v>
      </c>
      <c r="F417" s="1">
        <v>47.84</v>
      </c>
      <c r="G417" s="1">
        <f>VLOOKUP(A417,[1]黄金期货历史数据!$A:$B,2,)</f>
        <v>1229.3</v>
      </c>
      <c r="H417" s="1">
        <v>99.131</v>
      </c>
      <c r="I417" s="1">
        <v>3.4239999999999999</v>
      </c>
      <c r="J417" s="1">
        <v>2.524</v>
      </c>
    </row>
    <row r="418" spans="1:10" x14ac:dyDescent="0.3">
      <c r="A418" s="2">
        <v>42869</v>
      </c>
      <c r="B418" s="1">
        <v>1.1204000000000001</v>
      </c>
      <c r="C418" s="1">
        <v>1.3033999999999999</v>
      </c>
      <c r="D418" s="1">
        <v>0.14524328249818447</v>
      </c>
      <c r="E418" s="1">
        <v>12.04</v>
      </c>
      <c r="F418" s="1">
        <v>50.33</v>
      </c>
      <c r="G418" s="1">
        <f>VLOOKUP(A418,[1]黄金期货历史数据!$A:$B,2,)</f>
        <v>1255.2</v>
      </c>
      <c r="H418" s="1">
        <v>97.03</v>
      </c>
      <c r="I418" s="1">
        <v>3.2559999999999998</v>
      </c>
      <c r="J418" s="1">
        <v>2.5815000000000001</v>
      </c>
    </row>
    <row r="419" spans="1:10" x14ac:dyDescent="0.3">
      <c r="A419" s="2">
        <v>42876</v>
      </c>
      <c r="B419" s="1">
        <v>1.1182000000000001</v>
      </c>
      <c r="C419" s="1">
        <v>1.2802</v>
      </c>
      <c r="D419" s="1">
        <v>0.14586615321780735</v>
      </c>
      <c r="E419" s="1">
        <v>9.81</v>
      </c>
      <c r="F419" s="1">
        <v>49.8</v>
      </c>
      <c r="G419" s="1">
        <f>VLOOKUP(A419,[1]黄金期货历史数据!$A:$B,2,)</f>
        <v>1269.7</v>
      </c>
      <c r="H419" s="1">
        <v>97.364000000000004</v>
      </c>
      <c r="I419" s="1">
        <v>3.2360000000000002</v>
      </c>
      <c r="J419" s="1">
        <v>2.5659999999999998</v>
      </c>
    </row>
    <row r="420" spans="1:10" x14ac:dyDescent="0.3">
      <c r="A420" s="2">
        <v>42883</v>
      </c>
      <c r="B420" s="1">
        <v>1.1279999999999999</v>
      </c>
      <c r="C420" s="1">
        <v>1.2882</v>
      </c>
      <c r="D420" s="1">
        <v>0.14680623045642058</v>
      </c>
      <c r="E420" s="1">
        <v>9.75</v>
      </c>
      <c r="F420" s="1">
        <v>47.66</v>
      </c>
      <c r="G420" s="1">
        <f>VLOOKUP(A420,[1]黄金期货历史数据!$A:$B,2,)</f>
        <v>1280.2</v>
      </c>
      <c r="H420" s="1">
        <v>96.67</v>
      </c>
      <c r="I420" s="1">
        <v>2.9990000000000001</v>
      </c>
      <c r="J420" s="1">
        <v>2.581</v>
      </c>
    </row>
    <row r="421" spans="1:10" x14ac:dyDescent="0.3">
      <c r="A421" s="2">
        <v>42890</v>
      </c>
      <c r="B421" s="1">
        <v>1.1192</v>
      </c>
      <c r="C421" s="1">
        <v>1.274</v>
      </c>
      <c r="D421" s="1">
        <v>0.14710208884966167</v>
      </c>
      <c r="E421" s="1">
        <v>10.7</v>
      </c>
      <c r="F421" s="1">
        <v>45.83</v>
      </c>
      <c r="G421" s="1">
        <f>VLOOKUP(A421,[1]黄金期货历史数据!$A:$B,2,)</f>
        <v>1271.4000000000001</v>
      </c>
      <c r="H421" s="1">
        <v>97.239000000000004</v>
      </c>
      <c r="I421" s="1">
        <v>3.0390000000000001</v>
      </c>
      <c r="J421" s="1">
        <v>2.6539999999999999</v>
      </c>
    </row>
    <row r="422" spans="1:10" x14ac:dyDescent="0.3">
      <c r="A422" s="2">
        <v>42897</v>
      </c>
      <c r="B422" s="1">
        <v>1.1196999999999999</v>
      </c>
      <c r="C422" s="1">
        <v>1.2774000000000001</v>
      </c>
      <c r="D422" s="1">
        <v>0.14683425349465523</v>
      </c>
      <c r="E422" s="1">
        <v>10.38</v>
      </c>
      <c r="F422" s="1">
        <v>44.74</v>
      </c>
      <c r="G422" s="1">
        <f>VLOOKUP(A422,[1]黄金期货历史数据!$A:$B,2,)</f>
        <v>1256.5</v>
      </c>
      <c r="H422" s="1">
        <v>97.146000000000001</v>
      </c>
      <c r="I422" s="1">
        <v>3.0369999999999999</v>
      </c>
      <c r="J422" s="1">
        <v>2.5714999999999999</v>
      </c>
    </row>
    <row r="423" spans="1:10" x14ac:dyDescent="0.3">
      <c r="A423" s="2">
        <v>42904</v>
      </c>
      <c r="B423" s="1">
        <v>1.1192</v>
      </c>
      <c r="C423" s="1">
        <v>1.2716000000000001</v>
      </c>
      <c r="D423" s="1">
        <v>0.14626939897903959</v>
      </c>
      <c r="E423" s="1">
        <v>10.02</v>
      </c>
      <c r="F423" s="1">
        <v>43.01</v>
      </c>
      <c r="G423" s="1">
        <f>VLOOKUP(A423,[1]黄金期货历史数据!$A:$B,2,)</f>
        <v>1256.4000000000001</v>
      </c>
      <c r="H423" s="1">
        <v>96.941999999999993</v>
      </c>
      <c r="I423" s="1">
        <v>2.9289999999999998</v>
      </c>
      <c r="J423" s="1">
        <v>2.6295000000000002</v>
      </c>
    </row>
    <row r="424" spans="1:10" x14ac:dyDescent="0.3">
      <c r="A424" s="2">
        <v>42911</v>
      </c>
      <c r="B424" s="1">
        <v>1.1423000000000001</v>
      </c>
      <c r="C424" s="1">
        <v>1.3025</v>
      </c>
      <c r="D424" s="1">
        <v>0.14747304930024038</v>
      </c>
      <c r="E424" s="1">
        <v>11.18</v>
      </c>
      <c r="F424" s="1">
        <v>46.04</v>
      </c>
      <c r="G424" s="1">
        <f>VLOOKUP(A424,[1]黄金期货历史数据!$A:$B,2,)</f>
        <v>1244.0999999999999</v>
      </c>
      <c r="H424" s="1">
        <v>95.421000000000006</v>
      </c>
      <c r="I424" s="1">
        <v>3.0350000000000001</v>
      </c>
      <c r="J424" s="1">
        <v>2.7109999999999999</v>
      </c>
    </row>
    <row r="425" spans="1:10" x14ac:dyDescent="0.3">
      <c r="A425" s="2">
        <v>42918</v>
      </c>
      <c r="B425" s="1">
        <v>1.1399999999999999</v>
      </c>
      <c r="C425" s="1">
        <v>1.2888999999999999</v>
      </c>
      <c r="D425" s="1">
        <v>0.14693133898529218</v>
      </c>
      <c r="E425" s="1">
        <v>11.19</v>
      </c>
      <c r="F425" s="1">
        <v>44.23</v>
      </c>
      <c r="G425" s="1">
        <f>VLOOKUP(A425,[1]黄金期货历史数据!$A:$B,2,)</f>
        <v>1211.4000000000001</v>
      </c>
      <c r="H425" s="1">
        <v>95.792000000000002</v>
      </c>
      <c r="I425" s="1">
        <v>2.8639999999999999</v>
      </c>
      <c r="J425" s="1">
        <v>2.6469999999999998</v>
      </c>
    </row>
    <row r="426" spans="1:10" x14ac:dyDescent="0.3">
      <c r="A426" s="2">
        <v>42925</v>
      </c>
      <c r="B426" s="1">
        <v>1.1467000000000001</v>
      </c>
      <c r="C426" s="1">
        <v>1.3095000000000001</v>
      </c>
      <c r="D426" s="1">
        <v>0.14758404911597153</v>
      </c>
      <c r="E426" s="1">
        <v>9.51</v>
      </c>
      <c r="F426" s="1">
        <v>46.54</v>
      </c>
      <c r="G426" s="1">
        <f>VLOOKUP(A426,[1]黄金期货历史数据!$A:$B,2,)</f>
        <v>1229.0999999999999</v>
      </c>
      <c r="H426" s="1">
        <v>94.93</v>
      </c>
      <c r="I426" s="1">
        <v>2.98</v>
      </c>
      <c r="J426" s="1">
        <v>2.6909999999999998</v>
      </c>
    </row>
    <row r="427" spans="1:10" x14ac:dyDescent="0.3">
      <c r="A427" s="2">
        <v>42932</v>
      </c>
      <c r="B427" s="1">
        <v>1.1660999999999999</v>
      </c>
      <c r="C427" s="1">
        <v>1.2991999999999999</v>
      </c>
      <c r="D427" s="1">
        <v>0.14777815543306388</v>
      </c>
      <c r="E427" s="1">
        <v>9.36</v>
      </c>
      <c r="F427" s="1">
        <v>45.77</v>
      </c>
      <c r="G427" s="1">
        <f>VLOOKUP(A427,[1]黄金期货历史数据!$A:$B,2,)</f>
        <v>1256</v>
      </c>
      <c r="H427" s="1">
        <v>93.679000000000002</v>
      </c>
      <c r="I427" s="1">
        <v>2.97</v>
      </c>
      <c r="J427" s="1">
        <v>2.7225000000000001</v>
      </c>
    </row>
    <row r="428" spans="1:10" x14ac:dyDescent="0.3">
      <c r="A428" s="2">
        <v>42939</v>
      </c>
      <c r="B428" s="1">
        <v>1.175</v>
      </c>
      <c r="C428" s="1">
        <v>1.3130999999999999</v>
      </c>
      <c r="D428" s="1">
        <v>0.148425208537418</v>
      </c>
      <c r="E428" s="1">
        <v>10.29</v>
      </c>
      <c r="F428" s="1">
        <v>49.71</v>
      </c>
      <c r="G428" s="1">
        <f>VLOOKUP(A428,[1]黄金期货历史数据!$A:$B,2,)</f>
        <v>1271.9000000000001</v>
      </c>
      <c r="H428" s="1">
        <v>93.114000000000004</v>
      </c>
      <c r="I428" s="1">
        <v>2.9409999999999998</v>
      </c>
      <c r="J428" s="1">
        <v>2.8824999999999998</v>
      </c>
    </row>
    <row r="429" spans="1:10" x14ac:dyDescent="0.3">
      <c r="A429" s="2">
        <v>42946</v>
      </c>
      <c r="B429" s="1">
        <v>1.1768000000000001</v>
      </c>
      <c r="C429" s="1">
        <v>1.3035000000000001</v>
      </c>
      <c r="D429" s="1">
        <v>0.14861270044137972</v>
      </c>
      <c r="E429" s="1">
        <v>10.029999999999999</v>
      </c>
      <c r="F429" s="1">
        <v>49.58</v>
      </c>
      <c r="G429" s="1">
        <f>VLOOKUP(A429,[1]黄金期货历史数据!$A:$B,2,)</f>
        <v>1261.3</v>
      </c>
      <c r="H429" s="1">
        <v>93.415999999999997</v>
      </c>
      <c r="I429" s="1">
        <v>2.774</v>
      </c>
      <c r="J429" s="1">
        <v>2.8925000000000001</v>
      </c>
    </row>
    <row r="430" spans="1:10" x14ac:dyDescent="0.3">
      <c r="A430" s="2">
        <v>42953</v>
      </c>
      <c r="B430" s="1">
        <v>1.1819999999999999</v>
      </c>
      <c r="C430" s="1">
        <v>1.3010999999999999</v>
      </c>
      <c r="D430" s="1">
        <v>0.15004426305760199</v>
      </c>
      <c r="E430" s="1">
        <v>15.51</v>
      </c>
      <c r="F430" s="1">
        <v>48.82</v>
      </c>
      <c r="G430" s="1">
        <f>VLOOKUP(A430,[1]黄金期货历史数据!$A:$B,2,)</f>
        <v>1290.7</v>
      </c>
      <c r="H430" s="1">
        <v>92.956000000000003</v>
      </c>
      <c r="I430" s="1">
        <v>2.9830000000000001</v>
      </c>
      <c r="J430" s="1">
        <v>2.9195000000000002</v>
      </c>
    </row>
    <row r="431" spans="1:10" x14ac:dyDescent="0.3">
      <c r="A431" s="2">
        <v>42960</v>
      </c>
      <c r="B431" s="1">
        <v>1.1759999999999999</v>
      </c>
      <c r="C431" s="1">
        <v>1.2870999999999999</v>
      </c>
      <c r="D431" s="1">
        <v>0.14989582240342963</v>
      </c>
      <c r="E431" s="1">
        <v>14.26</v>
      </c>
      <c r="F431" s="1">
        <v>48.51</v>
      </c>
      <c r="G431" s="1">
        <f>VLOOKUP(A431,[1]黄金期货历史数据!$A:$B,2,)</f>
        <v>1288.3</v>
      </c>
      <c r="H431" s="1">
        <v>93.358999999999995</v>
      </c>
      <c r="I431" s="1">
        <v>2.8929999999999998</v>
      </c>
      <c r="J431" s="1">
        <v>2.9474999999999998</v>
      </c>
    </row>
    <row r="432" spans="1:10" x14ac:dyDescent="0.3">
      <c r="A432" s="2">
        <v>42967</v>
      </c>
      <c r="B432" s="1">
        <v>1.1923999999999999</v>
      </c>
      <c r="C432" s="1">
        <v>1.2884</v>
      </c>
      <c r="D432" s="1">
        <v>0.15038272403266312</v>
      </c>
      <c r="E432" s="1">
        <v>11.28</v>
      </c>
      <c r="F432" s="1">
        <v>47.87</v>
      </c>
      <c r="G432" s="1">
        <f>VLOOKUP(A432,[1]黄金期货历史数据!$A:$B,2,)</f>
        <v>1294.5</v>
      </c>
      <c r="H432" s="1">
        <v>92.677000000000007</v>
      </c>
      <c r="I432" s="1">
        <v>2.8919999999999999</v>
      </c>
      <c r="J432" s="1">
        <v>3.0419999999999998</v>
      </c>
    </row>
    <row r="433" spans="1:10" x14ac:dyDescent="0.3">
      <c r="A433" s="2">
        <v>42974</v>
      </c>
      <c r="B433" s="1">
        <v>1.1857</v>
      </c>
      <c r="C433" s="1">
        <v>1.2948999999999999</v>
      </c>
      <c r="D433" s="1">
        <v>0.15245994115046271</v>
      </c>
      <c r="E433" s="1">
        <v>10.130000000000001</v>
      </c>
      <c r="F433" s="1">
        <v>47.29</v>
      </c>
      <c r="G433" s="1">
        <f>VLOOKUP(A433,[1]黄金期货历史数据!$A:$B,2,)</f>
        <v>1328.5</v>
      </c>
      <c r="H433" s="1">
        <v>92.769000000000005</v>
      </c>
      <c r="I433" s="1">
        <v>3.07</v>
      </c>
      <c r="J433" s="1">
        <v>3.1135000000000002</v>
      </c>
    </row>
    <row r="434" spans="1:10" x14ac:dyDescent="0.3">
      <c r="A434" s="2">
        <v>42981</v>
      </c>
      <c r="B434" s="1">
        <v>1.2033</v>
      </c>
      <c r="C434" s="1">
        <v>1.3197000000000001</v>
      </c>
      <c r="D434" s="1">
        <v>0.15428051282842464</v>
      </c>
      <c r="E434" s="1">
        <v>12.12</v>
      </c>
      <c r="F434" s="1">
        <v>47.48</v>
      </c>
      <c r="G434" s="1">
        <f>VLOOKUP(A434,[1]黄金期货历史数据!$A:$B,2,)</f>
        <v>1349.1</v>
      </c>
      <c r="H434" s="1">
        <v>91.325999999999993</v>
      </c>
      <c r="I434" s="1">
        <v>2.89</v>
      </c>
      <c r="J434" s="1">
        <v>3.036</v>
      </c>
    </row>
    <row r="435" spans="1:10" x14ac:dyDescent="0.3">
      <c r="A435" s="2">
        <v>42988</v>
      </c>
      <c r="B435" s="1">
        <v>1.1940999999999999</v>
      </c>
      <c r="C435" s="1">
        <v>1.3591</v>
      </c>
      <c r="D435" s="1">
        <v>0.15261117724262124</v>
      </c>
      <c r="E435" s="1">
        <v>10.17</v>
      </c>
      <c r="F435" s="1">
        <v>49.89</v>
      </c>
      <c r="G435" s="1">
        <f>VLOOKUP(A435,[1]黄金期货历史数据!$A:$B,2,)</f>
        <v>1322.9</v>
      </c>
      <c r="H435" s="1">
        <v>91.863</v>
      </c>
      <c r="I435" s="1">
        <v>3.024</v>
      </c>
      <c r="J435" s="1">
        <v>2.9424999999999999</v>
      </c>
    </row>
    <row r="436" spans="1:10" x14ac:dyDescent="0.3">
      <c r="A436" s="2">
        <v>42995</v>
      </c>
      <c r="B436" s="1">
        <v>1.1952</v>
      </c>
      <c r="C436" s="1">
        <v>1.3491</v>
      </c>
      <c r="D436" s="1">
        <v>0.15171974329019436</v>
      </c>
      <c r="E436" s="1">
        <v>9.59</v>
      </c>
      <c r="F436" s="1">
        <v>50.66</v>
      </c>
      <c r="G436" s="1">
        <f>VLOOKUP(A436,[1]黄金期货历史数据!$A:$B,2,)</f>
        <v>1294.9000000000001</v>
      </c>
      <c r="H436" s="1">
        <v>91.966999999999999</v>
      </c>
      <c r="I436" s="1">
        <v>2.9590000000000001</v>
      </c>
      <c r="J436" s="1">
        <v>2.9369999999999998</v>
      </c>
    </row>
    <row r="437" spans="1:10" x14ac:dyDescent="0.3">
      <c r="A437" s="2">
        <v>43002</v>
      </c>
      <c r="B437" s="1">
        <v>1.1812</v>
      </c>
      <c r="C437" s="1">
        <v>1.3395999999999999</v>
      </c>
      <c r="D437" s="1">
        <v>0.1502990951994469</v>
      </c>
      <c r="E437" s="1">
        <v>9.51</v>
      </c>
      <c r="F437" s="1">
        <v>51.67</v>
      </c>
      <c r="G437" s="1">
        <f>VLOOKUP(A437,[1]黄金期货历史数据!$A:$B,2,)</f>
        <v>1284.8</v>
      </c>
      <c r="H437" s="1">
        <v>92.882999999999996</v>
      </c>
      <c r="I437" s="1">
        <v>3.0070000000000001</v>
      </c>
      <c r="J437" s="1">
        <v>2.9550000000000001</v>
      </c>
    </row>
    <row r="438" spans="1:10" x14ac:dyDescent="0.3">
      <c r="A438" s="2">
        <v>43009</v>
      </c>
      <c r="B438" s="1">
        <v>1.1733</v>
      </c>
      <c r="C438" s="1">
        <v>1.3063</v>
      </c>
      <c r="D438" s="1">
        <v>0.1502990951994469</v>
      </c>
      <c r="E438" s="1">
        <v>9.65</v>
      </c>
      <c r="F438" s="1">
        <v>49.29</v>
      </c>
      <c r="G438" s="1">
        <f>VLOOKUP(A438,[1]黄金期货历史数据!$A:$B,2,)</f>
        <v>1274.9000000000001</v>
      </c>
      <c r="H438" s="1">
        <v>93.641000000000005</v>
      </c>
      <c r="I438" s="1">
        <v>2.863</v>
      </c>
      <c r="J438" s="1">
        <v>3.0289999999999999</v>
      </c>
    </row>
    <row r="439" spans="1:10" x14ac:dyDescent="0.3">
      <c r="A439" s="2">
        <v>43016</v>
      </c>
      <c r="B439" s="1">
        <v>1.1821999999999999</v>
      </c>
      <c r="C439" s="1">
        <v>1.3284</v>
      </c>
      <c r="D439" s="1">
        <v>0.15198492309562892</v>
      </c>
      <c r="E439" s="1">
        <v>9.61</v>
      </c>
      <c r="F439" s="1">
        <v>51.45</v>
      </c>
      <c r="G439" s="1">
        <f>VLOOKUP(A439,[1]黄金期货历史数据!$A:$B,2,)</f>
        <v>1304.5999999999999</v>
      </c>
      <c r="H439" s="1">
        <v>92.935000000000002</v>
      </c>
      <c r="I439" s="1">
        <v>3</v>
      </c>
      <c r="J439" s="1">
        <v>3.1335000000000002</v>
      </c>
    </row>
    <row r="440" spans="1:10" x14ac:dyDescent="0.3">
      <c r="A440" s="2">
        <v>43023</v>
      </c>
      <c r="B440" s="1">
        <v>1.1782999999999999</v>
      </c>
      <c r="C440" s="1">
        <v>1.3188</v>
      </c>
      <c r="D440" s="1">
        <v>0.15104599350502229</v>
      </c>
      <c r="E440" s="1">
        <v>9.9700000000000006</v>
      </c>
      <c r="F440" s="1">
        <v>51.47</v>
      </c>
      <c r="G440" s="1">
        <f>VLOOKUP(A440,[1]黄金期货历史数据!$A:$B,2,)</f>
        <v>1280.5</v>
      </c>
      <c r="H440" s="1">
        <v>93.578999999999994</v>
      </c>
      <c r="I440" s="1">
        <v>2.915</v>
      </c>
      <c r="J440" s="1">
        <v>3.1655000000000002</v>
      </c>
    </row>
    <row r="441" spans="1:10" x14ac:dyDescent="0.3">
      <c r="A441" s="2">
        <v>43030</v>
      </c>
      <c r="B441" s="1">
        <v>1.1608000000000001</v>
      </c>
      <c r="C441" s="1">
        <v>1.3127</v>
      </c>
      <c r="D441" s="1">
        <v>0.15034428842048292</v>
      </c>
      <c r="E441" s="1">
        <v>9.8000000000000007</v>
      </c>
      <c r="F441" s="1">
        <v>53.9</v>
      </c>
      <c r="G441" s="1">
        <f>VLOOKUP(A441,[1]黄金期货历史数据!$A:$B,2,)</f>
        <v>1271.8</v>
      </c>
      <c r="H441" s="1">
        <v>94.822000000000003</v>
      </c>
      <c r="I441" s="1">
        <v>2.7519999999999998</v>
      </c>
      <c r="J441" s="1">
        <v>3.1034999999999999</v>
      </c>
    </row>
    <row r="442" spans="1:10" x14ac:dyDescent="0.3">
      <c r="A442" s="2">
        <v>43037</v>
      </c>
      <c r="B442" s="1">
        <v>1.1607000000000001</v>
      </c>
      <c r="C442" s="1">
        <v>1.3073999999999999</v>
      </c>
      <c r="D442" s="1">
        <v>0.15062509414068384</v>
      </c>
      <c r="E442" s="1">
        <v>9.14</v>
      </c>
      <c r="F442" s="1">
        <v>55.64</v>
      </c>
      <c r="G442" s="1">
        <f>VLOOKUP(A442,[1]黄金期货历史数据!$A:$B,2,)</f>
        <v>1270.8</v>
      </c>
      <c r="H442" s="1">
        <v>94.858000000000004</v>
      </c>
      <c r="I442" s="1">
        <v>2.984</v>
      </c>
      <c r="J442" s="1">
        <v>3.125</v>
      </c>
    </row>
    <row r="443" spans="1:10" x14ac:dyDescent="0.3">
      <c r="A443" s="2">
        <v>43044</v>
      </c>
      <c r="B443" s="1">
        <v>1.1662999999999999</v>
      </c>
      <c r="C443" s="1">
        <v>1.3188</v>
      </c>
      <c r="D443" s="1">
        <v>0.15057066281205769</v>
      </c>
      <c r="E443" s="1">
        <v>11.29</v>
      </c>
      <c r="F443" s="1">
        <v>56.74</v>
      </c>
      <c r="G443" s="1">
        <f>VLOOKUP(A443,[1]黄金期货历史数据!$A:$B,2,)</f>
        <v>1275.9000000000001</v>
      </c>
      <c r="H443" s="1">
        <v>94.278000000000006</v>
      </c>
      <c r="I443" s="1">
        <v>3.2130000000000001</v>
      </c>
      <c r="J443" s="1">
        <v>3.0834999999999999</v>
      </c>
    </row>
    <row r="444" spans="1:10" x14ac:dyDescent="0.3">
      <c r="A444" s="2">
        <v>43051</v>
      </c>
      <c r="B444" s="1">
        <v>1.1793</v>
      </c>
      <c r="C444" s="1">
        <v>1.3210999999999999</v>
      </c>
      <c r="D444" s="1">
        <v>0.15090467351773884</v>
      </c>
      <c r="E444" s="1">
        <v>11.43</v>
      </c>
      <c r="F444" s="1">
        <v>56.55</v>
      </c>
      <c r="G444" s="1">
        <f>VLOOKUP(A444,[1]黄金期货历史数据!$A:$B,2,)</f>
        <v>1298.2</v>
      </c>
      <c r="H444" s="1">
        <v>93.575000000000003</v>
      </c>
      <c r="I444" s="1">
        <v>3.097</v>
      </c>
      <c r="J444" s="1">
        <v>3.0754999999999999</v>
      </c>
    </row>
    <row r="445" spans="1:10" x14ac:dyDescent="0.3">
      <c r="A445" s="2">
        <v>43058</v>
      </c>
      <c r="B445" s="1">
        <v>1.1930000000000001</v>
      </c>
      <c r="C445" s="1">
        <v>1.3334999999999999</v>
      </c>
      <c r="D445" s="1">
        <v>0.1514646632940535</v>
      </c>
      <c r="E445" s="1">
        <v>9.67</v>
      </c>
      <c r="F445" s="1">
        <v>58.95</v>
      </c>
      <c r="G445" s="1">
        <f>VLOOKUP(A445,[1]黄金期货历史数据!$A:$B,2,)</f>
        <v>1289.2</v>
      </c>
      <c r="H445" s="1">
        <v>92.706999999999994</v>
      </c>
      <c r="I445" s="1">
        <v>2.8130000000000002</v>
      </c>
      <c r="J445" s="1">
        <v>3.1764999999999999</v>
      </c>
    </row>
    <row r="446" spans="1:10" x14ac:dyDescent="0.3">
      <c r="A446" s="2">
        <v>43065</v>
      </c>
      <c r="B446" s="1">
        <v>1.1889000000000001</v>
      </c>
      <c r="C446" s="1">
        <v>1.347</v>
      </c>
      <c r="D446" s="1">
        <v>0.15111675280321576</v>
      </c>
      <c r="E446" s="1">
        <v>11.43</v>
      </c>
      <c r="F446" s="1">
        <v>58.36</v>
      </c>
      <c r="G446" s="1">
        <f>VLOOKUP(A446,[1]黄金期货历史数据!$A:$B,2,)</f>
        <v>1282.3</v>
      </c>
      <c r="H446" s="1">
        <v>92.840999999999994</v>
      </c>
      <c r="I446" s="1">
        <v>3.0609999999999999</v>
      </c>
      <c r="J446" s="1">
        <v>3.0840000000000001</v>
      </c>
    </row>
    <row r="447" spans="1:10" x14ac:dyDescent="0.3">
      <c r="A447" s="2">
        <v>43072</v>
      </c>
      <c r="B447" s="1">
        <v>1.1763999999999999</v>
      </c>
      <c r="C447" s="1">
        <v>1.3389</v>
      </c>
      <c r="D447" s="1">
        <v>0.15103002476892408</v>
      </c>
      <c r="E447" s="1">
        <v>9.58</v>
      </c>
      <c r="F447" s="1">
        <v>57.36</v>
      </c>
      <c r="G447" s="1">
        <f>VLOOKUP(A447,[1]黄金期货历史数据!$A:$B,2,)</f>
        <v>1248.4000000000001</v>
      </c>
      <c r="H447" s="1">
        <v>93.873999999999995</v>
      </c>
      <c r="I447" s="1">
        <v>2.7719999999999998</v>
      </c>
      <c r="J447" s="1">
        <v>2.9704999999999999</v>
      </c>
    </row>
    <row r="448" spans="1:10" x14ac:dyDescent="0.3">
      <c r="A448" s="2">
        <v>43079</v>
      </c>
      <c r="B448" s="1">
        <v>1.1752</v>
      </c>
      <c r="C448" s="1">
        <v>1.3319000000000001</v>
      </c>
      <c r="D448" s="1">
        <v>0.15130195330821722</v>
      </c>
      <c r="E448" s="1">
        <v>9.42</v>
      </c>
      <c r="F448" s="1">
        <v>57.3</v>
      </c>
      <c r="G448" s="1">
        <f>VLOOKUP(A448,[1]黄金期货历史数据!$A:$B,2,)</f>
        <v>1257.5</v>
      </c>
      <c r="H448" s="1">
        <v>93.929000000000002</v>
      </c>
      <c r="I448" s="1">
        <v>2.6120000000000001</v>
      </c>
      <c r="J448" s="1">
        <v>3.125</v>
      </c>
    </row>
    <row r="449" spans="1:10" x14ac:dyDescent="0.3">
      <c r="A449" s="2">
        <v>43086</v>
      </c>
      <c r="B449" s="1">
        <v>1.1857</v>
      </c>
      <c r="C449" s="1">
        <v>1.3360000000000001</v>
      </c>
      <c r="D449" s="1">
        <v>0.15203575881047224</v>
      </c>
      <c r="E449" s="1">
        <v>9.9</v>
      </c>
      <c r="F449" s="1">
        <v>58.47</v>
      </c>
      <c r="G449" s="1">
        <f>VLOOKUP(A449,[1]黄金期货历史数据!$A:$B,2,)</f>
        <v>1278.8</v>
      </c>
      <c r="H449" s="1">
        <v>92.924000000000007</v>
      </c>
      <c r="I449" s="1">
        <v>2.6669999999999998</v>
      </c>
      <c r="J449" s="1">
        <v>3.2294999999999998</v>
      </c>
    </row>
    <row r="450" spans="1:10" x14ac:dyDescent="0.3">
      <c r="A450" s="2">
        <v>43093</v>
      </c>
      <c r="B450" s="1">
        <v>1.1996</v>
      </c>
      <c r="C450" s="1">
        <v>1.3512</v>
      </c>
      <c r="D450" s="1">
        <v>0.15368773725544438</v>
      </c>
      <c r="E450" s="1">
        <v>11.04</v>
      </c>
      <c r="F450" s="1">
        <v>60.42</v>
      </c>
      <c r="G450" s="1">
        <f>VLOOKUP(A450,[1]黄金期货历史数据!$A:$B,2,)</f>
        <v>1311.4</v>
      </c>
      <c r="H450" s="1">
        <v>91.825999999999993</v>
      </c>
      <c r="I450" s="1">
        <v>2.9529999999999998</v>
      </c>
      <c r="J450" s="1">
        <v>3.3005</v>
      </c>
    </row>
    <row r="451" spans="1:10" x14ac:dyDescent="0.3">
      <c r="A451" s="2">
        <v>43100</v>
      </c>
      <c r="B451" s="1">
        <v>1.2028000000000001</v>
      </c>
      <c r="C451" s="1">
        <v>1.3568</v>
      </c>
      <c r="D451" s="1">
        <v>0.15411407523849155</v>
      </c>
      <c r="E451" s="1">
        <v>9.2200000000000006</v>
      </c>
      <c r="F451" s="1">
        <v>61.44</v>
      </c>
      <c r="G451" s="1">
        <f>VLOOKUP(A451,[1]黄金期货历史数据!$A:$B,2,)</f>
        <v>1324.5</v>
      </c>
      <c r="H451" s="1">
        <v>91.673000000000002</v>
      </c>
      <c r="I451" s="1">
        <v>2.7949999999999999</v>
      </c>
      <c r="J451" s="1">
        <v>3.2294999999999998</v>
      </c>
    </row>
    <row r="452" spans="1:10" x14ac:dyDescent="0.3">
      <c r="A452" s="2">
        <v>43107</v>
      </c>
      <c r="B452" s="1">
        <v>1.2184999999999999</v>
      </c>
      <c r="C452" s="1">
        <v>1.3727</v>
      </c>
      <c r="D452" s="1">
        <v>0.15477480266212659</v>
      </c>
      <c r="E452" s="1">
        <v>10.16</v>
      </c>
      <c r="F452" s="1">
        <v>64.3</v>
      </c>
      <c r="G452" s="1">
        <f>VLOOKUP(A452,[1]黄金期货历史数据!$A:$B,2,)</f>
        <v>1337.2</v>
      </c>
      <c r="H452" s="1">
        <v>90.734999999999999</v>
      </c>
      <c r="I452" s="1">
        <v>3.2</v>
      </c>
      <c r="J452" s="1">
        <v>3.2185000000000001</v>
      </c>
    </row>
    <row r="453" spans="1:10" x14ac:dyDescent="0.3">
      <c r="A453" s="2">
        <v>43114</v>
      </c>
      <c r="B453" s="1">
        <v>1.222</v>
      </c>
      <c r="C453" s="1">
        <v>1.3849</v>
      </c>
      <c r="D453" s="1">
        <v>0.1561524047470331</v>
      </c>
      <c r="E453" s="1">
        <v>11.27</v>
      </c>
      <c r="F453" s="1">
        <v>63.37</v>
      </c>
      <c r="G453" s="1">
        <f>VLOOKUP(A453,[1]黄金期货历史数据!$A:$B,2,)</f>
        <v>1335.3</v>
      </c>
      <c r="H453" s="1">
        <v>90.37</v>
      </c>
      <c r="I453" s="1">
        <v>3.1850000000000001</v>
      </c>
      <c r="J453" s="1">
        <v>3.1875</v>
      </c>
    </row>
    <row r="454" spans="1:10" x14ac:dyDescent="0.3">
      <c r="A454" s="2">
        <v>43121</v>
      </c>
      <c r="B454" s="1">
        <v>1.2419</v>
      </c>
      <c r="C454" s="1">
        <v>1.4168000000000001</v>
      </c>
      <c r="D454" s="1">
        <v>0.15822534453568773</v>
      </c>
      <c r="E454" s="1">
        <v>11.08</v>
      </c>
      <c r="F454" s="1">
        <v>66.14</v>
      </c>
      <c r="G454" s="1">
        <f>VLOOKUP(A454,[1]黄金期货历史数据!$A:$B,2,)</f>
        <v>1354.4</v>
      </c>
      <c r="H454" s="1">
        <v>88.891000000000005</v>
      </c>
      <c r="I454" s="1">
        <v>3.5049999999999999</v>
      </c>
      <c r="J454" s="1">
        <v>3.1989999999999998</v>
      </c>
    </row>
    <row r="455" spans="1:10" x14ac:dyDescent="0.3">
      <c r="A455" s="2">
        <v>43128</v>
      </c>
      <c r="B455" s="1">
        <v>1.246</v>
      </c>
      <c r="C455" s="1">
        <v>1.4119999999999999</v>
      </c>
      <c r="D455" s="1">
        <v>0.15869489319833688</v>
      </c>
      <c r="E455" s="1">
        <v>17.309999999999999</v>
      </c>
      <c r="F455" s="1">
        <v>65.45</v>
      </c>
      <c r="G455" s="1">
        <f>VLOOKUP(A455,[1]黄金期货历史数据!$A:$B,2,)</f>
        <v>1337.3</v>
      </c>
      <c r="H455" s="1">
        <v>89.036000000000001</v>
      </c>
      <c r="I455" s="1">
        <v>2.8460000000000001</v>
      </c>
      <c r="J455" s="1">
        <v>3.198</v>
      </c>
    </row>
    <row r="456" spans="1:10" x14ac:dyDescent="0.3">
      <c r="A456" s="2">
        <v>43135</v>
      </c>
      <c r="B456" s="1">
        <v>1.2233000000000001</v>
      </c>
      <c r="C456" s="1">
        <v>1.3835</v>
      </c>
      <c r="D456" s="1">
        <v>0.15880830249805461</v>
      </c>
      <c r="E456" s="1">
        <v>29.06</v>
      </c>
      <c r="F456" s="1">
        <v>59.2</v>
      </c>
      <c r="G456" s="1">
        <f>VLOOKUP(A456,[1]黄金期货历史数据!$A:$B,2,)</f>
        <v>1315.7</v>
      </c>
      <c r="H456" s="1">
        <v>90.334000000000003</v>
      </c>
      <c r="I456" s="1">
        <v>2.5840000000000001</v>
      </c>
      <c r="J456" s="1">
        <v>3.0434999999999999</v>
      </c>
    </row>
    <row r="457" spans="1:10" x14ac:dyDescent="0.3">
      <c r="A457" s="2">
        <v>43142</v>
      </c>
      <c r="B457" s="1">
        <v>1.2403999999999999</v>
      </c>
      <c r="C457" s="1">
        <v>1.4039999999999999</v>
      </c>
      <c r="D457" s="1">
        <v>0.15752496770738161</v>
      </c>
      <c r="E457" s="1">
        <v>19.46</v>
      </c>
      <c r="F457" s="1">
        <v>61.68</v>
      </c>
      <c r="G457" s="1">
        <f>VLOOKUP(A457,[1]黄金期货历史数据!$A:$B,2,)</f>
        <v>1356.2</v>
      </c>
      <c r="H457" s="1">
        <v>89.013000000000005</v>
      </c>
      <c r="I457" s="1">
        <v>2.5579999999999998</v>
      </c>
      <c r="J457" s="1">
        <v>3.258</v>
      </c>
    </row>
    <row r="458" spans="1:10" x14ac:dyDescent="0.3">
      <c r="A458" s="2">
        <v>43149</v>
      </c>
      <c r="B458" s="1">
        <v>1.2293000000000001</v>
      </c>
      <c r="C458" s="1">
        <v>1.3965000000000001</v>
      </c>
      <c r="D458" s="1">
        <v>0.15779590677417829</v>
      </c>
      <c r="E458" s="1">
        <v>16.489999999999998</v>
      </c>
      <c r="F458" s="1">
        <v>63.55</v>
      </c>
      <c r="G458" s="1">
        <f>VLOOKUP(A458,[1]黄金期货历史数据!$A:$B,2,)</f>
        <v>1330.3</v>
      </c>
      <c r="H458" s="1">
        <v>89.808000000000007</v>
      </c>
      <c r="I458" s="1">
        <v>2.625</v>
      </c>
      <c r="J458" s="1">
        <v>3.2229999999999999</v>
      </c>
    </row>
    <row r="459" spans="1:10" x14ac:dyDescent="0.3">
      <c r="A459" s="2">
        <v>43156</v>
      </c>
      <c r="B459" s="1">
        <v>1.2317</v>
      </c>
      <c r="C459" s="1">
        <v>1.3802000000000001</v>
      </c>
      <c r="D459" s="1">
        <v>0.15759447788949477</v>
      </c>
      <c r="E459" s="1">
        <v>19.59</v>
      </c>
      <c r="F459" s="1">
        <v>61.25</v>
      </c>
      <c r="G459" s="1">
        <f>VLOOKUP(A459,[1]黄金期货历史数据!$A:$B,2,)</f>
        <v>1325.9</v>
      </c>
      <c r="H459" s="1">
        <v>89.906000000000006</v>
      </c>
      <c r="I459" s="1">
        <v>2.6949999999999998</v>
      </c>
      <c r="J459" s="1">
        <v>3.1244999999999998</v>
      </c>
    </row>
    <row r="460" spans="1:10" x14ac:dyDescent="0.3">
      <c r="A460" s="2">
        <v>43163</v>
      </c>
      <c r="B460" s="1">
        <v>1.2304999999999999</v>
      </c>
      <c r="C460" s="1">
        <v>1.3847</v>
      </c>
      <c r="D460" s="1">
        <v>0.15791551519936836</v>
      </c>
      <c r="E460" s="1">
        <v>14.64</v>
      </c>
      <c r="F460" s="1">
        <v>62.04</v>
      </c>
      <c r="G460" s="1">
        <f>VLOOKUP(A460,[1]黄金期货历史数据!$A:$B,2,)</f>
        <v>1326.7</v>
      </c>
      <c r="H460" s="1">
        <v>90.064999999999998</v>
      </c>
      <c r="I460" s="1">
        <v>2.7320000000000002</v>
      </c>
      <c r="J460" s="1">
        <v>3.1360000000000001</v>
      </c>
    </row>
    <row r="461" spans="1:10" x14ac:dyDescent="0.3">
      <c r="A461" s="2">
        <v>43170</v>
      </c>
      <c r="B461" s="1">
        <v>1.2286999999999999</v>
      </c>
      <c r="C461" s="1">
        <v>1.3938999999999999</v>
      </c>
      <c r="D461" s="1">
        <v>0.15785319652722968</v>
      </c>
      <c r="E461" s="1">
        <v>15.8</v>
      </c>
      <c r="F461" s="1">
        <v>62.34</v>
      </c>
      <c r="G461" s="1">
        <f>VLOOKUP(A461,[1]黄金期货历史数据!$A:$B,2,)</f>
        <v>1314.8</v>
      </c>
      <c r="H461" s="1">
        <v>90.212000000000003</v>
      </c>
      <c r="I461" s="1">
        <v>2.6880000000000002</v>
      </c>
      <c r="J461" s="1">
        <v>3.1074999999999999</v>
      </c>
    </row>
    <row r="462" spans="1:10" x14ac:dyDescent="0.3">
      <c r="A462" s="2">
        <v>43177</v>
      </c>
      <c r="B462" s="1">
        <v>1.2351000000000001</v>
      </c>
      <c r="C462" s="1">
        <v>1.4132</v>
      </c>
      <c r="D462" s="1">
        <v>0.15832805573147563</v>
      </c>
      <c r="E462" s="1">
        <v>24.87</v>
      </c>
      <c r="F462" s="1">
        <v>65.88</v>
      </c>
      <c r="G462" s="1">
        <f>VLOOKUP(A462,[1]黄金期货历史数据!$A:$B,2,)</f>
        <v>1352.4</v>
      </c>
      <c r="H462" s="1">
        <v>89.033000000000001</v>
      </c>
      <c r="I462" s="1">
        <v>2.5910000000000002</v>
      </c>
      <c r="J462" s="1">
        <v>2.9929999999999999</v>
      </c>
    </row>
    <row r="463" spans="1:10" x14ac:dyDescent="0.3">
      <c r="A463" s="2">
        <v>43184</v>
      </c>
      <c r="B463" s="1">
        <v>1.2321</v>
      </c>
      <c r="C463" s="1">
        <v>1.4015</v>
      </c>
      <c r="D463" s="1">
        <v>0.15935493123834718</v>
      </c>
      <c r="E463" s="1">
        <v>19.97</v>
      </c>
      <c r="F463" s="1">
        <v>64.94</v>
      </c>
      <c r="G463" s="1">
        <f>VLOOKUP(A463,[1]黄金期货历史数据!$A:$B,2,)</f>
        <v>1327.3</v>
      </c>
      <c r="H463" s="1">
        <v>89.811999999999998</v>
      </c>
      <c r="I463" s="1">
        <v>2.7330000000000001</v>
      </c>
      <c r="J463" s="1">
        <v>3.0369999999999999</v>
      </c>
    </row>
    <row r="464" spans="1:10" x14ac:dyDescent="0.3">
      <c r="A464" s="2">
        <v>43191</v>
      </c>
      <c r="B464" s="1">
        <v>1.2281</v>
      </c>
      <c r="C464" s="1">
        <v>1.409</v>
      </c>
      <c r="D464" s="1">
        <v>0.15859925141153333</v>
      </c>
      <c r="E464" s="1">
        <v>21.49</v>
      </c>
      <c r="F464" s="1">
        <v>62.06</v>
      </c>
      <c r="G464" s="1">
        <f>VLOOKUP(A464,[1]黄金期货历史数据!$A:$B,2,)</f>
        <v>1336.1</v>
      </c>
      <c r="H464" s="1">
        <v>89.781999999999996</v>
      </c>
      <c r="I464" s="1">
        <v>2.7010000000000001</v>
      </c>
      <c r="J464" s="1">
        <v>3.069</v>
      </c>
    </row>
    <row r="465" spans="1:10" x14ac:dyDescent="0.3">
      <c r="A465" s="2">
        <v>43198</v>
      </c>
      <c r="B465" s="1">
        <v>1.2329000000000001</v>
      </c>
      <c r="C465" s="1">
        <v>1.4238999999999999</v>
      </c>
      <c r="D465" s="1">
        <v>0.15936254980079681</v>
      </c>
      <c r="E465" s="1">
        <v>17.41</v>
      </c>
      <c r="F465" s="1">
        <v>67.39</v>
      </c>
      <c r="G465" s="1">
        <f>VLOOKUP(A465,[1]黄金期货历史数据!$A:$B,2,)</f>
        <v>1347.9</v>
      </c>
      <c r="H465" s="1">
        <v>89.503</v>
      </c>
      <c r="I465" s="1">
        <v>2.7349999999999999</v>
      </c>
      <c r="J465" s="1">
        <v>3.0819999999999999</v>
      </c>
    </row>
    <row r="466" spans="1:10" x14ac:dyDescent="0.3">
      <c r="A466" s="2">
        <v>43205</v>
      </c>
      <c r="B466" s="1">
        <v>1.2285999999999999</v>
      </c>
      <c r="C466" s="1">
        <v>1.4003000000000001</v>
      </c>
      <c r="D466" s="1">
        <v>0.15881839116969745</v>
      </c>
      <c r="E466" s="1">
        <v>16.88</v>
      </c>
      <c r="F466" s="1">
        <v>68.38</v>
      </c>
      <c r="G466" s="1">
        <f>VLOOKUP(A466,[1]黄金期货历史数据!$A:$B,2,)</f>
        <v>1338.3</v>
      </c>
      <c r="H466" s="1">
        <v>90.075000000000003</v>
      </c>
      <c r="I466" s="1">
        <v>2.7389999999999999</v>
      </c>
      <c r="J466" s="1">
        <v>3.145</v>
      </c>
    </row>
    <row r="467" spans="1:10" x14ac:dyDescent="0.3">
      <c r="A467" s="2">
        <v>43212</v>
      </c>
      <c r="B467" s="1">
        <v>1.2128000000000001</v>
      </c>
      <c r="C467" s="1">
        <v>1.3777999999999999</v>
      </c>
      <c r="D467" s="1">
        <v>0.15789806101181078</v>
      </c>
      <c r="E467" s="1">
        <v>15.41</v>
      </c>
      <c r="F467" s="1">
        <v>68.099999999999994</v>
      </c>
      <c r="G467" s="1">
        <f>VLOOKUP(A467,[1]黄金期货历史数据!$A:$B,2,)</f>
        <v>1326.5</v>
      </c>
      <c r="H467" s="1">
        <v>91.343000000000004</v>
      </c>
      <c r="I467" s="1">
        <v>2.7709999999999999</v>
      </c>
      <c r="J467" s="1">
        <v>3.0695000000000001</v>
      </c>
    </row>
    <row r="468" spans="1:10" x14ac:dyDescent="0.3">
      <c r="A468" s="2">
        <v>43219</v>
      </c>
      <c r="B468" s="1">
        <v>1.1958</v>
      </c>
      <c r="C468" s="1">
        <v>1.353</v>
      </c>
      <c r="D468" s="1">
        <v>0.15716598299464063</v>
      </c>
      <c r="E468" s="1">
        <v>14.77</v>
      </c>
      <c r="F468" s="1">
        <v>69.72</v>
      </c>
      <c r="G468" s="1">
        <f>VLOOKUP(A468,[1]黄金期货历史数据!$A:$B,2,)</f>
        <v>1317.7</v>
      </c>
      <c r="H468" s="1">
        <v>92.408000000000001</v>
      </c>
      <c r="I468" s="1">
        <v>2.7109999999999999</v>
      </c>
      <c r="J468" s="1">
        <v>3.0855000000000001</v>
      </c>
    </row>
    <row r="469" spans="1:10" x14ac:dyDescent="0.3">
      <c r="A469" s="2">
        <v>43226</v>
      </c>
      <c r="B469" s="1">
        <v>1.1941999999999999</v>
      </c>
      <c r="C469" s="1">
        <v>1.3541000000000001</v>
      </c>
      <c r="D469" s="1">
        <v>0.15787562558216636</v>
      </c>
      <c r="E469" s="1">
        <v>12.65</v>
      </c>
      <c r="F469" s="1">
        <v>70.7</v>
      </c>
      <c r="G469" s="1">
        <f>VLOOKUP(A469,[1]黄金期货历史数据!$A:$B,2,)</f>
        <v>1323.8</v>
      </c>
      <c r="H469" s="1">
        <v>92.411000000000001</v>
      </c>
      <c r="I469" s="1">
        <v>2.806</v>
      </c>
      <c r="J469" s="1">
        <v>3.1114999999999999</v>
      </c>
    </row>
    <row r="470" spans="1:10" x14ac:dyDescent="0.3">
      <c r="A470" s="2">
        <v>43233</v>
      </c>
      <c r="B470" s="1">
        <v>1.1775</v>
      </c>
      <c r="C470" s="1">
        <v>1.3471</v>
      </c>
      <c r="D470" s="1">
        <v>0.15673981191222572</v>
      </c>
      <c r="E470" s="1">
        <v>13.42</v>
      </c>
      <c r="F470" s="1">
        <v>71.28</v>
      </c>
      <c r="G470" s="1">
        <f>VLOOKUP(A470,[1]黄金期货历史数据!$A:$B,2,)</f>
        <v>1294.0999999999999</v>
      </c>
      <c r="H470" s="1">
        <v>93.543999999999997</v>
      </c>
      <c r="I470" s="1">
        <v>2.847</v>
      </c>
      <c r="J470" s="1">
        <v>3.0634999999999999</v>
      </c>
    </row>
    <row r="471" spans="1:10" x14ac:dyDescent="0.3">
      <c r="A471" s="2">
        <v>43240</v>
      </c>
      <c r="B471" s="1">
        <v>1.165</v>
      </c>
      <c r="C471" s="1">
        <v>1.3307</v>
      </c>
      <c r="D471" s="1">
        <v>0.1564504521418067</v>
      </c>
      <c r="E471" s="1">
        <v>13.22</v>
      </c>
      <c r="F471" s="1">
        <v>67.88</v>
      </c>
      <c r="G471" s="1">
        <f>VLOOKUP(A471,[1]黄金期货历史数据!$A:$B,2,)</f>
        <v>1306.4000000000001</v>
      </c>
      <c r="H471" s="1">
        <v>94.13</v>
      </c>
      <c r="I471" s="1">
        <v>2.9390000000000001</v>
      </c>
      <c r="J471" s="1">
        <v>3.0775000000000001</v>
      </c>
    </row>
    <row r="472" spans="1:10" x14ac:dyDescent="0.3">
      <c r="A472" s="2">
        <v>43247</v>
      </c>
      <c r="B472" s="1">
        <v>1.1659999999999999</v>
      </c>
      <c r="C472" s="1">
        <v>1.3347</v>
      </c>
      <c r="D472" s="1">
        <v>0.15575353560525823</v>
      </c>
      <c r="E472" s="1">
        <v>13.46</v>
      </c>
      <c r="F472" s="1">
        <v>65.81</v>
      </c>
      <c r="G472" s="1">
        <f>VLOOKUP(A472,[1]黄金期货历史数据!$A:$B,2,)</f>
        <v>1299.3</v>
      </c>
      <c r="H472" s="1">
        <v>94.168999999999997</v>
      </c>
      <c r="I472" s="1">
        <v>2.9620000000000002</v>
      </c>
      <c r="J472" s="1">
        <v>3.1084999999999998</v>
      </c>
    </row>
    <row r="473" spans="1:10" x14ac:dyDescent="0.3">
      <c r="A473" s="2">
        <v>43254</v>
      </c>
      <c r="B473" s="1">
        <v>1.1766000000000001</v>
      </c>
      <c r="C473" s="1">
        <v>1.341</v>
      </c>
      <c r="D473" s="1">
        <v>0.15608903318452846</v>
      </c>
      <c r="E473" s="1">
        <v>12.18</v>
      </c>
      <c r="F473" s="1">
        <v>65.739999999999995</v>
      </c>
      <c r="G473" s="1">
        <f>VLOOKUP(A473,[1]黄金期货历史数据!$A:$B,2,)</f>
        <v>1302.7</v>
      </c>
      <c r="H473" s="1">
        <v>93.537000000000006</v>
      </c>
      <c r="I473" s="1">
        <v>2.89</v>
      </c>
      <c r="J473" s="1">
        <v>3.31</v>
      </c>
    </row>
    <row r="474" spans="1:10" x14ac:dyDescent="0.3">
      <c r="A474" s="2">
        <v>43261</v>
      </c>
      <c r="B474" s="1">
        <v>1.1607000000000001</v>
      </c>
      <c r="C474" s="1">
        <v>1.3283</v>
      </c>
      <c r="D474" s="1">
        <v>0.15529397148802684</v>
      </c>
      <c r="E474" s="1">
        <v>11.98</v>
      </c>
      <c r="F474" s="1">
        <v>65.06</v>
      </c>
      <c r="G474" s="1">
        <f>VLOOKUP(A474,[1]黄金期货历史数据!$A:$B,2,)</f>
        <v>1278.5</v>
      </c>
      <c r="H474" s="1">
        <v>94.781999999999996</v>
      </c>
      <c r="I474" s="1">
        <v>3.0219999999999998</v>
      </c>
      <c r="J474" s="1">
        <v>3.1555</v>
      </c>
    </row>
    <row r="475" spans="1:10" x14ac:dyDescent="0.3">
      <c r="A475" s="2">
        <v>43268</v>
      </c>
      <c r="B475" s="1">
        <v>1.1655</v>
      </c>
      <c r="C475" s="1">
        <v>1.3268</v>
      </c>
      <c r="D475" s="1">
        <v>0.15370663551545521</v>
      </c>
      <c r="E475" s="1">
        <v>13.77</v>
      </c>
      <c r="F475" s="1">
        <v>68.58</v>
      </c>
      <c r="G475" s="1">
        <f>VLOOKUP(A475,[1]黄金期货历史数据!$A:$B,2,)</f>
        <v>1270.7</v>
      </c>
      <c r="H475" s="1">
        <v>94.18</v>
      </c>
      <c r="I475" s="1">
        <v>2.9449999999999998</v>
      </c>
      <c r="J475" s="1">
        <v>3.0379999999999998</v>
      </c>
    </row>
    <row r="476" spans="1:10" x14ac:dyDescent="0.3">
      <c r="A476" s="2">
        <v>43275</v>
      </c>
      <c r="B476" s="1">
        <v>1.1682999999999999</v>
      </c>
      <c r="C476" s="1">
        <v>1.3207</v>
      </c>
      <c r="D476" s="1">
        <v>0.15103458692040475</v>
      </c>
      <c r="E476" s="1">
        <v>16.09</v>
      </c>
      <c r="F476" s="1">
        <v>74.150000000000006</v>
      </c>
      <c r="G476" s="1">
        <f>VLOOKUP(A476,[1]黄金期货历史数据!$A:$B,2,)</f>
        <v>1257.3</v>
      </c>
      <c r="H476" s="1">
        <v>94.349000000000004</v>
      </c>
      <c r="I476" s="1">
        <v>2.9239999999999999</v>
      </c>
      <c r="J476" s="1">
        <v>2.9660000000000002</v>
      </c>
    </row>
    <row r="477" spans="1:10" x14ac:dyDescent="0.3">
      <c r="A477" s="2">
        <v>43282</v>
      </c>
      <c r="B477" s="1">
        <v>1.1745000000000001</v>
      </c>
      <c r="C477" s="1">
        <v>1.3283</v>
      </c>
      <c r="D477" s="1">
        <v>0.15052306766011891</v>
      </c>
      <c r="E477" s="1">
        <v>13.37</v>
      </c>
      <c r="F477" s="1">
        <v>73.8</v>
      </c>
      <c r="G477" s="1">
        <f>VLOOKUP(A477,[1]黄金期货历史数据!$A:$B,2,)</f>
        <v>1258.9000000000001</v>
      </c>
      <c r="H477" s="1">
        <v>93.769000000000005</v>
      </c>
      <c r="I477" s="1">
        <v>2.8580000000000001</v>
      </c>
      <c r="J477" s="1">
        <v>2.8239999999999998</v>
      </c>
    </row>
    <row r="478" spans="1:10" x14ac:dyDescent="0.3">
      <c r="A478" s="2">
        <v>43289</v>
      </c>
      <c r="B478" s="1">
        <v>1.1685000000000001</v>
      </c>
      <c r="C478" s="1">
        <v>1.3231999999999999</v>
      </c>
      <c r="D478" s="1">
        <v>0.14943885709162097</v>
      </c>
      <c r="E478" s="1">
        <v>12.18</v>
      </c>
      <c r="F478" s="1">
        <v>71.010000000000005</v>
      </c>
      <c r="G478" s="1">
        <f>VLOOKUP(A478,[1]黄金期货历史数据!$A:$B,2,)</f>
        <v>1243.8</v>
      </c>
      <c r="H478" s="1">
        <v>94.5</v>
      </c>
      <c r="I478" s="1">
        <v>2.7519999999999998</v>
      </c>
      <c r="J478" s="1">
        <v>2.7755000000000001</v>
      </c>
    </row>
    <row r="479" spans="1:10" x14ac:dyDescent="0.3">
      <c r="A479" s="2">
        <v>43296</v>
      </c>
      <c r="B479" s="1">
        <v>1.1718</v>
      </c>
      <c r="C479" s="1">
        <v>1.3131999999999999</v>
      </c>
      <c r="D479" s="1">
        <v>0.14769085350544239</v>
      </c>
      <c r="E479" s="1">
        <v>12.86</v>
      </c>
      <c r="F479" s="1">
        <v>70.459999999999994</v>
      </c>
      <c r="G479" s="1">
        <f>VLOOKUP(A479,[1]黄金期货历史数据!$A:$B,2,)</f>
        <v>1233.5999999999999</v>
      </c>
      <c r="H479" s="1">
        <v>94.225999999999999</v>
      </c>
      <c r="I479" s="1">
        <v>2.7570000000000001</v>
      </c>
      <c r="J479" s="1">
        <v>2.7559999999999998</v>
      </c>
    </row>
    <row r="480" spans="1:10" x14ac:dyDescent="0.3">
      <c r="A480" s="2">
        <v>43303</v>
      </c>
      <c r="B480" s="1">
        <v>1.1656</v>
      </c>
      <c r="C480" s="1">
        <v>1.3103</v>
      </c>
      <c r="D480" s="1">
        <v>0.1467631389700163</v>
      </c>
      <c r="E480" s="1">
        <v>13.03</v>
      </c>
      <c r="F480" s="1">
        <v>68.69</v>
      </c>
      <c r="G480" s="1">
        <f>VLOOKUP(A480,[1]黄金期货历史数据!$A:$B,2,)</f>
        <v>1226.5</v>
      </c>
      <c r="H480" s="1">
        <v>94.46</v>
      </c>
      <c r="I480" s="1">
        <v>2.8220000000000001</v>
      </c>
      <c r="J480" s="1">
        <v>2.802</v>
      </c>
    </row>
    <row r="481" spans="1:10" x14ac:dyDescent="0.3">
      <c r="A481" s="2">
        <v>43310</v>
      </c>
      <c r="B481" s="1">
        <v>1.1567000000000001</v>
      </c>
      <c r="C481" s="1">
        <v>1.3005</v>
      </c>
      <c r="D481" s="1">
        <v>0.14634431891353977</v>
      </c>
      <c r="E481" s="1">
        <v>11.64</v>
      </c>
      <c r="F481" s="1">
        <v>68.489999999999995</v>
      </c>
      <c r="G481" s="1">
        <f>VLOOKUP(A481,[1]黄金期货历史数据!$A:$B,2,)</f>
        <v>1218.0999999999999</v>
      </c>
      <c r="H481" s="1">
        <v>94.960999999999999</v>
      </c>
      <c r="I481" s="1">
        <v>2.8530000000000002</v>
      </c>
      <c r="J481" s="1">
        <v>2.7715000000000001</v>
      </c>
    </row>
    <row r="482" spans="1:10" x14ac:dyDescent="0.3">
      <c r="A482" s="2">
        <v>43317</v>
      </c>
      <c r="B482" s="1">
        <v>1.141</v>
      </c>
      <c r="C482" s="1">
        <v>1.2766999999999999</v>
      </c>
      <c r="D482" s="1">
        <v>0.14604723167472361</v>
      </c>
      <c r="E482" s="1">
        <v>13.16</v>
      </c>
      <c r="F482" s="1">
        <v>67.63</v>
      </c>
      <c r="G482" s="1">
        <f>VLOOKUP(A482,[1]黄金期货历史数据!$A:$B,2,)</f>
        <v>1214.2</v>
      </c>
      <c r="H482" s="1">
        <v>96.218000000000004</v>
      </c>
      <c r="I482" s="1">
        <v>2.944</v>
      </c>
      <c r="J482" s="1">
        <v>2.75</v>
      </c>
    </row>
    <row r="483" spans="1:10" x14ac:dyDescent="0.3">
      <c r="A483" s="2">
        <v>43324</v>
      </c>
      <c r="B483" s="1">
        <v>1.1436999999999999</v>
      </c>
      <c r="C483" s="1">
        <v>1.2749999999999999</v>
      </c>
      <c r="D483" s="1">
        <v>0.14540167211922936</v>
      </c>
      <c r="E483" s="1">
        <v>12.64</v>
      </c>
      <c r="F483" s="1">
        <v>65.91</v>
      </c>
      <c r="G483" s="1">
        <f>VLOOKUP(A483,[1]黄金期货历史数据!$A:$B,2,)</f>
        <v>1179.8</v>
      </c>
      <c r="H483" s="1">
        <v>95.980999999999995</v>
      </c>
      <c r="I483" s="1">
        <v>2.9460000000000002</v>
      </c>
      <c r="J483" s="1">
        <v>2.6349999999999998</v>
      </c>
    </row>
    <row r="484" spans="1:10" x14ac:dyDescent="0.3">
      <c r="A484" s="2">
        <v>43331</v>
      </c>
      <c r="B484" s="1">
        <v>1.1620999999999999</v>
      </c>
      <c r="C484" s="1">
        <v>1.2843</v>
      </c>
      <c r="D484" s="1">
        <v>0.14690759512266782</v>
      </c>
      <c r="E484" s="1">
        <v>11.99</v>
      </c>
      <c r="F484" s="1">
        <v>68.72</v>
      </c>
      <c r="G484" s="1">
        <f>VLOOKUP(A484,[1]黄金期货历史数据!$A:$B,2,)</f>
        <v>1208.5999999999999</v>
      </c>
      <c r="H484" s="1">
        <v>95.063000000000002</v>
      </c>
      <c r="I484" s="1">
        <v>2.9169999999999998</v>
      </c>
      <c r="J484" s="1">
        <v>2.7084999999999999</v>
      </c>
    </row>
    <row r="485" spans="1:10" x14ac:dyDescent="0.3">
      <c r="A485" s="2">
        <v>43338</v>
      </c>
      <c r="B485" s="1">
        <v>1.1598999999999999</v>
      </c>
      <c r="C485" s="1">
        <v>1.2961</v>
      </c>
      <c r="D485" s="1">
        <v>0.14638073629510356</v>
      </c>
      <c r="E485" s="1">
        <v>12.86</v>
      </c>
      <c r="F485" s="1">
        <v>69.8</v>
      </c>
      <c r="G485" s="1">
        <f>VLOOKUP(A485,[1]黄金期货历史数据!$A:$B,2,)</f>
        <v>1204.0999999999999</v>
      </c>
      <c r="H485" s="1">
        <v>95.082999999999998</v>
      </c>
      <c r="I485" s="1">
        <v>2.9159999999999999</v>
      </c>
      <c r="J485" s="1">
        <v>2.6644999999999999</v>
      </c>
    </row>
    <row r="486" spans="1:10" x14ac:dyDescent="0.3">
      <c r="A486" s="2">
        <v>43345</v>
      </c>
      <c r="B486" s="1">
        <v>1.1551</v>
      </c>
      <c r="C486" s="1">
        <v>1.2921</v>
      </c>
      <c r="D486" s="1">
        <v>0.14611765393494841</v>
      </c>
      <c r="E486" s="1">
        <v>14.88</v>
      </c>
      <c r="F486" s="1">
        <v>67.75</v>
      </c>
      <c r="G486" s="1">
        <f>VLOOKUP(A486,[1]黄金期货历史数据!$A:$B,2,)</f>
        <v>1197.8</v>
      </c>
      <c r="H486" s="1">
        <v>95.328999999999994</v>
      </c>
      <c r="I486" s="1">
        <v>2.7759999999999998</v>
      </c>
      <c r="J486" s="1">
        <v>2.6160000000000001</v>
      </c>
    </row>
    <row r="487" spans="1:10" x14ac:dyDescent="0.3">
      <c r="A487" s="2">
        <v>43352</v>
      </c>
      <c r="B487" s="1">
        <v>1.1628000000000001</v>
      </c>
      <c r="C487" s="1">
        <v>1.3066</v>
      </c>
      <c r="D487" s="1">
        <v>0.14558159848595137</v>
      </c>
      <c r="E487" s="1">
        <v>12.07</v>
      </c>
      <c r="F487" s="1">
        <v>68.989999999999995</v>
      </c>
      <c r="G487" s="1">
        <f>VLOOKUP(A487,[1]黄金期货历史数据!$A:$B,2,)</f>
        <v>1198.5999999999999</v>
      </c>
      <c r="H487" s="1">
        <v>94.924999999999997</v>
      </c>
      <c r="I487" s="1">
        <v>2.7669999999999999</v>
      </c>
      <c r="J487" s="1">
        <v>2.6379999999999999</v>
      </c>
    </row>
    <row r="488" spans="1:10" x14ac:dyDescent="0.3">
      <c r="A488" s="2">
        <v>43359</v>
      </c>
      <c r="B488" s="1">
        <v>1.1749000000000001</v>
      </c>
      <c r="C488" s="1">
        <v>1.3076000000000001</v>
      </c>
      <c r="D488" s="1">
        <v>0.14583424479736332</v>
      </c>
      <c r="E488" s="1">
        <v>11.68</v>
      </c>
      <c r="F488" s="1">
        <v>70.78</v>
      </c>
      <c r="G488" s="1">
        <f>VLOOKUP(A488,[1]黄金期货历史数据!$A:$B,2,)</f>
        <v>1198.5999999999999</v>
      </c>
      <c r="H488" s="1">
        <v>93.798000000000002</v>
      </c>
      <c r="I488" s="1">
        <v>2.9769999999999999</v>
      </c>
      <c r="J488" s="1">
        <v>2.8479999999999999</v>
      </c>
    </row>
    <row r="489" spans="1:10" x14ac:dyDescent="0.3">
      <c r="A489" s="2">
        <v>43366</v>
      </c>
      <c r="B489" s="1">
        <v>1.1608000000000001</v>
      </c>
      <c r="C489" s="1">
        <v>1.3028</v>
      </c>
      <c r="D489" s="1">
        <v>0.14558371791698815</v>
      </c>
      <c r="E489" s="1">
        <v>12.12</v>
      </c>
      <c r="F489" s="1">
        <v>73.25</v>
      </c>
      <c r="G489" s="1">
        <f>VLOOKUP(A489,[1]黄金期货历史数据!$A:$B,2,)</f>
        <v>1196.2</v>
      </c>
      <c r="H489" s="1">
        <v>94.736999999999995</v>
      </c>
      <c r="I489" s="1">
        <v>3.008</v>
      </c>
      <c r="J489" s="1">
        <v>2.8050000000000002</v>
      </c>
    </row>
    <row r="490" spans="1:10" x14ac:dyDescent="0.3">
      <c r="A490" s="2">
        <v>43373</v>
      </c>
      <c r="B490" s="1">
        <v>1.1523000000000001</v>
      </c>
      <c r="C490" s="1">
        <v>1.3122</v>
      </c>
      <c r="D490" s="1">
        <v>0.14558371791698815</v>
      </c>
      <c r="E490" s="1">
        <v>14.82</v>
      </c>
      <c r="F490" s="1">
        <v>74.34</v>
      </c>
      <c r="G490" s="1">
        <f>VLOOKUP(A490,[1]黄金期货历史数据!$A:$B,2,)</f>
        <v>1205.5999999999999</v>
      </c>
      <c r="H490" s="1">
        <v>95.305000000000007</v>
      </c>
      <c r="I490" s="1">
        <v>3.1429999999999998</v>
      </c>
      <c r="J490" s="1">
        <v>2.7629999999999999</v>
      </c>
    </row>
    <row r="491" spans="1:10" x14ac:dyDescent="0.3">
      <c r="A491" s="2">
        <v>43380</v>
      </c>
      <c r="B491" s="1">
        <v>1.1561999999999999</v>
      </c>
      <c r="C491" s="1">
        <v>1.3153999999999999</v>
      </c>
      <c r="D491" s="1">
        <v>0.14445856928232984</v>
      </c>
      <c r="E491" s="1">
        <v>21.31</v>
      </c>
      <c r="F491" s="1">
        <v>71.34</v>
      </c>
      <c r="G491" s="1">
        <f>VLOOKUP(A491,[1]黄金期货历史数据!$A:$B,2,)</f>
        <v>1222</v>
      </c>
      <c r="H491" s="1">
        <v>94.911000000000001</v>
      </c>
      <c r="I491" s="1">
        <v>3.161</v>
      </c>
      <c r="J491" s="1">
        <v>2.8005</v>
      </c>
    </row>
    <row r="492" spans="1:10" x14ac:dyDescent="0.3">
      <c r="A492" s="2">
        <v>43387</v>
      </c>
      <c r="B492" s="1">
        <v>1.1513</v>
      </c>
      <c r="C492" s="1">
        <v>1.3069999999999999</v>
      </c>
      <c r="D492" s="1">
        <v>0.144306391330072</v>
      </c>
      <c r="E492" s="1">
        <v>19.89</v>
      </c>
      <c r="F492" s="1">
        <v>69.12</v>
      </c>
      <c r="G492" s="1">
        <f>VLOOKUP(A492,[1]黄金期货历史数据!$A:$B,2,)</f>
        <v>1228.7</v>
      </c>
      <c r="H492" s="1">
        <v>95.442999999999998</v>
      </c>
      <c r="I492" s="1">
        <v>3.25</v>
      </c>
      <c r="J492" s="1">
        <v>2.778</v>
      </c>
    </row>
    <row r="493" spans="1:10" x14ac:dyDescent="0.3">
      <c r="A493" s="2">
        <v>43394</v>
      </c>
      <c r="B493" s="1">
        <v>1.1400999999999999</v>
      </c>
      <c r="C493" s="1">
        <v>1.2830999999999999</v>
      </c>
      <c r="D493" s="1">
        <v>0.14401958666378628</v>
      </c>
      <c r="E493" s="1">
        <v>24.16</v>
      </c>
      <c r="F493" s="1">
        <v>67.59</v>
      </c>
      <c r="G493" s="1">
        <f>VLOOKUP(A493,[1]黄金期货历史数据!$A:$B,2,)</f>
        <v>1235.8</v>
      </c>
      <c r="H493" s="1">
        <v>96.128</v>
      </c>
      <c r="I493" s="1">
        <v>3.1850000000000001</v>
      </c>
      <c r="J493" s="1">
        <v>2.7410000000000001</v>
      </c>
    </row>
    <row r="494" spans="1:10" x14ac:dyDescent="0.3">
      <c r="A494" s="2">
        <v>43401</v>
      </c>
      <c r="B494" s="1">
        <v>1.1385000000000001</v>
      </c>
      <c r="C494" s="1">
        <v>1.2969999999999999</v>
      </c>
      <c r="D494" s="1">
        <v>0.14512313698172899</v>
      </c>
      <c r="E494" s="1">
        <v>19.510000000000002</v>
      </c>
      <c r="F494" s="1">
        <v>63.14</v>
      </c>
      <c r="G494" s="1">
        <f>VLOOKUP(A494,[1]黄金期货历史数据!$A:$B,2,)</f>
        <v>1237</v>
      </c>
      <c r="H494" s="1">
        <v>96.343000000000004</v>
      </c>
      <c r="I494" s="1">
        <v>3.2839999999999998</v>
      </c>
      <c r="J494" s="1">
        <v>2.8130000000000002</v>
      </c>
    </row>
    <row r="495" spans="1:10" x14ac:dyDescent="0.3">
      <c r="A495" s="2">
        <v>43408</v>
      </c>
      <c r="B495" s="1">
        <v>1.1334</v>
      </c>
      <c r="C495" s="1">
        <v>1.2974000000000001</v>
      </c>
      <c r="D495" s="1">
        <v>0.14374631650063968</v>
      </c>
      <c r="E495" s="1">
        <v>17.36</v>
      </c>
      <c r="F495" s="1">
        <v>60.19</v>
      </c>
      <c r="G495" s="1">
        <f>VLOOKUP(A495,[1]黄金期货历史数据!$A:$B,2,)</f>
        <v>1212.5999999999999</v>
      </c>
      <c r="H495" s="1">
        <v>96.733999999999995</v>
      </c>
      <c r="I495" s="1">
        <v>3.7189999999999999</v>
      </c>
      <c r="J495" s="1">
        <v>2.6909999999999998</v>
      </c>
    </row>
    <row r="496" spans="1:10" x14ac:dyDescent="0.3">
      <c r="A496" s="2">
        <v>43415</v>
      </c>
      <c r="B496" s="1">
        <v>1.1417999999999999</v>
      </c>
      <c r="C496" s="1">
        <v>1.2837000000000001</v>
      </c>
      <c r="D496" s="1">
        <v>0.14413375612568463</v>
      </c>
      <c r="E496" s="1">
        <v>18.14</v>
      </c>
      <c r="F496" s="1">
        <v>56.46</v>
      </c>
      <c r="G496" s="1">
        <f>VLOOKUP(A496,[1]黄金期货历史数据!$A:$B,2,)</f>
        <v>1226.4000000000001</v>
      </c>
      <c r="H496" s="1">
        <v>96.332999999999998</v>
      </c>
      <c r="I496" s="1">
        <v>4.2720000000000002</v>
      </c>
      <c r="J496" s="1">
        <v>2.8035000000000001</v>
      </c>
    </row>
    <row r="497" spans="1:10" x14ac:dyDescent="0.3">
      <c r="A497" s="2">
        <v>43422</v>
      </c>
      <c r="B497" s="1">
        <v>1.1339999999999999</v>
      </c>
      <c r="C497" s="1">
        <v>1.2811999999999999</v>
      </c>
      <c r="D497" s="1">
        <v>0.1439159530833993</v>
      </c>
      <c r="E497" s="1">
        <v>21.52</v>
      </c>
      <c r="F497" s="1">
        <v>50.42</v>
      </c>
      <c r="G497" s="1">
        <f>VLOOKUP(A497,[1]黄金期货历史数据!$A:$B,2,)</f>
        <v>1226.5999999999999</v>
      </c>
      <c r="H497" s="1">
        <v>96.825000000000003</v>
      </c>
      <c r="I497" s="1">
        <v>4.3079999999999998</v>
      </c>
      <c r="J497" s="1">
        <v>2.774</v>
      </c>
    </row>
    <row r="498" spans="1:10" x14ac:dyDescent="0.3">
      <c r="A498" s="2">
        <v>43429</v>
      </c>
      <c r="B498" s="1">
        <v>1.1315</v>
      </c>
      <c r="C498" s="1">
        <v>1.2750999999999999</v>
      </c>
      <c r="D498" s="1">
        <v>0.14366783995402629</v>
      </c>
      <c r="E498" s="1">
        <v>18.07</v>
      </c>
      <c r="F498" s="1">
        <v>50.93</v>
      </c>
      <c r="G498" s="1">
        <f>VLOOKUP(A498,[1]黄金期货历史数据!$A:$B,2,)</f>
        <v>1226</v>
      </c>
      <c r="H498" s="1">
        <v>97.195999999999998</v>
      </c>
      <c r="I498" s="1">
        <v>4.6120000000000001</v>
      </c>
      <c r="J498" s="1">
        <v>2.7865000000000002</v>
      </c>
    </row>
    <row r="499" spans="1:10" x14ac:dyDescent="0.3">
      <c r="A499" s="2">
        <v>43436</v>
      </c>
      <c r="B499" s="1">
        <v>1.1375999999999999</v>
      </c>
      <c r="C499" s="1">
        <v>1.2726</v>
      </c>
      <c r="D499" s="1">
        <v>0.14543973704495541</v>
      </c>
      <c r="E499" s="1">
        <v>23.23</v>
      </c>
      <c r="F499" s="1">
        <v>52.61</v>
      </c>
      <c r="G499" s="1">
        <f>VLOOKUP(A499,[1]黄金期货历史数据!$A:$B,2,)</f>
        <v>1252.5999999999999</v>
      </c>
      <c r="H499" s="1">
        <v>96.475999999999999</v>
      </c>
      <c r="I499" s="1">
        <v>4.4880000000000004</v>
      </c>
      <c r="J499" s="1">
        <v>2.7595000000000001</v>
      </c>
    </row>
    <row r="500" spans="1:10" x14ac:dyDescent="0.3">
      <c r="A500" s="2">
        <v>43443</v>
      </c>
      <c r="B500" s="1">
        <v>1.1307</v>
      </c>
      <c r="C500" s="1">
        <v>1.2583</v>
      </c>
      <c r="D500" s="1">
        <v>0.1447659857839802</v>
      </c>
      <c r="E500" s="1">
        <v>21.63</v>
      </c>
      <c r="F500" s="1">
        <v>51.2</v>
      </c>
      <c r="G500" s="1">
        <f>VLOOKUP(A500,[1]黄金期货历史数据!$A:$B,2,)</f>
        <v>1241.4000000000001</v>
      </c>
      <c r="H500" s="1">
        <v>97.43</v>
      </c>
      <c r="I500" s="1">
        <v>3.827</v>
      </c>
      <c r="J500" s="1">
        <v>2.7614999999999998</v>
      </c>
    </row>
    <row r="501" spans="1:10" x14ac:dyDescent="0.3">
      <c r="A501" s="2">
        <v>43450</v>
      </c>
      <c r="B501" s="1">
        <v>1.1367</v>
      </c>
      <c r="C501" s="1">
        <v>1.2629999999999999</v>
      </c>
      <c r="D501" s="1">
        <v>0.14479113878230651</v>
      </c>
      <c r="E501" s="1">
        <v>30.11</v>
      </c>
      <c r="F501" s="1">
        <v>45.59</v>
      </c>
      <c r="G501" s="1">
        <f>VLOOKUP(A501,[1]黄金期货历史数据!$A:$B,2,)</f>
        <v>1258.0999999999999</v>
      </c>
      <c r="H501" s="1">
        <v>96.454999999999998</v>
      </c>
      <c r="I501" s="1">
        <v>3.8159999999999998</v>
      </c>
      <c r="J501" s="1">
        <v>2.6764999999999999</v>
      </c>
    </row>
    <row r="502" spans="1:10" x14ac:dyDescent="0.3">
      <c r="A502" s="2">
        <v>43457</v>
      </c>
      <c r="B502" s="1">
        <v>1.1435999999999999</v>
      </c>
      <c r="C502" s="1">
        <v>1.2705</v>
      </c>
      <c r="D502" s="1">
        <v>0.14538053354655811</v>
      </c>
      <c r="E502" s="1">
        <v>28.34</v>
      </c>
      <c r="F502" s="1">
        <v>45.33</v>
      </c>
      <c r="G502" s="1">
        <f>VLOOKUP(A502,[1]黄金期货历史数据!$A:$B,2,)</f>
        <v>1286.0999999999999</v>
      </c>
      <c r="H502" s="1">
        <v>95.965000000000003</v>
      </c>
      <c r="I502" s="1">
        <v>3.3029999999999999</v>
      </c>
      <c r="J502" s="1">
        <v>2.6815000000000002</v>
      </c>
    </row>
    <row r="503" spans="1:10" x14ac:dyDescent="0.3">
      <c r="A503" s="2">
        <v>43464</v>
      </c>
      <c r="B503" s="1">
        <v>1.1393</v>
      </c>
      <c r="C503" s="1">
        <v>1.2726</v>
      </c>
      <c r="D503" s="1">
        <v>0.14557735980900249</v>
      </c>
      <c r="E503" s="1">
        <v>21.38</v>
      </c>
      <c r="F503" s="1">
        <v>47.96</v>
      </c>
      <c r="G503" s="1">
        <f>VLOOKUP(A503,[1]黄金期货历史数据!$A:$B,2,)</f>
        <v>1289.2</v>
      </c>
      <c r="H503" s="1">
        <v>95.75</v>
      </c>
      <c r="I503" s="1">
        <v>3.044</v>
      </c>
      <c r="J503" s="1">
        <v>2.6475</v>
      </c>
    </row>
    <row r="504" spans="1:10" x14ac:dyDescent="0.3">
      <c r="A504" s="2">
        <v>43471</v>
      </c>
      <c r="B504" s="1">
        <v>1.1467000000000001</v>
      </c>
      <c r="C504" s="1">
        <v>1.2841</v>
      </c>
      <c r="D504" s="1">
        <v>0.1478633742422002</v>
      </c>
      <c r="E504" s="1">
        <v>18.190000000000001</v>
      </c>
      <c r="F504" s="1">
        <v>51.59</v>
      </c>
      <c r="G504" s="1">
        <f>VLOOKUP(A504,[1]黄金期货历史数据!$A:$B,2,)</f>
        <v>1292.9000000000001</v>
      </c>
      <c r="H504" s="1">
        <v>95.266000000000005</v>
      </c>
      <c r="I504" s="1">
        <v>3.0990000000000002</v>
      </c>
      <c r="J504" s="1">
        <v>2.6619999999999999</v>
      </c>
    </row>
    <row r="505" spans="1:10" x14ac:dyDescent="0.3">
      <c r="A505" s="2">
        <v>43478</v>
      </c>
      <c r="B505" s="1">
        <v>1.1361000000000001</v>
      </c>
      <c r="C505" s="1">
        <v>1.2873000000000001</v>
      </c>
      <c r="D505" s="1">
        <v>0.1475143826523086</v>
      </c>
      <c r="E505" s="1">
        <v>17.8</v>
      </c>
      <c r="F505" s="1">
        <v>53.8</v>
      </c>
      <c r="G505" s="1">
        <f>VLOOKUP(A505,[1]黄金期货历史数据!$A:$B,2,)</f>
        <v>1284.8</v>
      </c>
      <c r="H505" s="1">
        <v>95.992999999999995</v>
      </c>
      <c r="I505" s="1">
        <v>3.4820000000000002</v>
      </c>
      <c r="J505" s="1">
        <v>2.7189999999999999</v>
      </c>
    </row>
    <row r="506" spans="1:10" x14ac:dyDescent="0.3">
      <c r="A506" s="2">
        <v>43485</v>
      </c>
      <c r="B506" s="1">
        <v>1.1412</v>
      </c>
      <c r="C506" s="1">
        <v>1.3201000000000001</v>
      </c>
      <c r="D506" s="1">
        <v>0.14820962769741522</v>
      </c>
      <c r="E506" s="1">
        <v>17.420000000000002</v>
      </c>
      <c r="F506" s="1">
        <v>53.69</v>
      </c>
      <c r="G506" s="1">
        <f>VLOOKUP(A506,[1]黄金期货历史数据!$A:$B,2,)</f>
        <v>1300.7</v>
      </c>
      <c r="H506" s="1">
        <v>95.465000000000003</v>
      </c>
      <c r="I506" s="1">
        <v>3.1779999999999999</v>
      </c>
      <c r="J506" s="1">
        <v>2.7290000000000001</v>
      </c>
    </row>
    <row r="507" spans="1:10" x14ac:dyDescent="0.3">
      <c r="A507" s="2">
        <v>43492</v>
      </c>
      <c r="B507" s="1">
        <v>1.1454</v>
      </c>
      <c r="C507" s="1">
        <v>1.3083</v>
      </c>
      <c r="D507" s="1">
        <v>0.14826236508124779</v>
      </c>
      <c r="E507" s="1">
        <v>16.14</v>
      </c>
      <c r="F507" s="1">
        <v>55.26</v>
      </c>
      <c r="G507" s="1">
        <f>VLOOKUP(A507,[1]黄金期货历史数据!$A:$B,2,)</f>
        <v>1322.1</v>
      </c>
      <c r="H507" s="1">
        <v>95.3</v>
      </c>
      <c r="I507" s="1">
        <v>2.734</v>
      </c>
      <c r="J507" s="1">
        <v>2.7774999999999999</v>
      </c>
    </row>
    <row r="508" spans="1:10" x14ac:dyDescent="0.3">
      <c r="A508" s="2">
        <v>43499</v>
      </c>
      <c r="B508" s="1">
        <v>1.1328</v>
      </c>
      <c r="C508" s="1">
        <v>1.2947</v>
      </c>
      <c r="D508" s="1">
        <v>0.14826236508124779</v>
      </c>
      <c r="E508" s="1">
        <v>15.72</v>
      </c>
      <c r="F508" s="1">
        <v>52.72</v>
      </c>
      <c r="G508" s="1">
        <f>VLOOKUP(A508,[1]黄金期货历史数据!$A:$B,2,)</f>
        <v>1318.5</v>
      </c>
      <c r="H508" s="1">
        <v>96.415999999999997</v>
      </c>
      <c r="I508" s="1">
        <v>2.5830000000000002</v>
      </c>
      <c r="J508" s="1">
        <v>2.8140000000000001</v>
      </c>
    </row>
    <row r="509" spans="1:10" x14ac:dyDescent="0.3">
      <c r="A509" s="2">
        <v>43506</v>
      </c>
      <c r="B509" s="1">
        <v>1.1293</v>
      </c>
      <c r="C509" s="1">
        <v>1.2888999999999999</v>
      </c>
      <c r="D509" s="1">
        <v>0.14764506127270044</v>
      </c>
      <c r="E509" s="1">
        <v>14.91</v>
      </c>
      <c r="F509" s="1">
        <v>55.59</v>
      </c>
      <c r="G509" s="1">
        <f>VLOOKUP(A509,[1]黄金期货历史数据!$A:$B,2,)</f>
        <v>1322.1</v>
      </c>
      <c r="H509" s="1">
        <v>96.74</v>
      </c>
      <c r="I509" s="1">
        <v>2.625</v>
      </c>
      <c r="J509" s="1">
        <v>2.8025000000000002</v>
      </c>
    </row>
    <row r="510" spans="1:10" x14ac:dyDescent="0.3">
      <c r="A510" s="2">
        <v>43513</v>
      </c>
      <c r="B510" s="1">
        <v>1.1341000000000001</v>
      </c>
      <c r="C510" s="1">
        <v>1.3051999999999999</v>
      </c>
      <c r="D510" s="1">
        <v>0.14893807154984956</v>
      </c>
      <c r="E510" s="1">
        <v>13.51</v>
      </c>
      <c r="F510" s="1">
        <v>57.26</v>
      </c>
      <c r="G510" s="1">
        <f>VLOOKUP(A510,[1]黄金期货历史数据!$A:$B,2,)</f>
        <v>1332.8</v>
      </c>
      <c r="H510" s="1">
        <v>96.367000000000004</v>
      </c>
      <c r="I510" s="1">
        <v>2.7170000000000001</v>
      </c>
      <c r="J510" s="1">
        <v>2.9489999999999998</v>
      </c>
    </row>
    <row r="511" spans="1:10" x14ac:dyDescent="0.3">
      <c r="A511" s="2">
        <v>43520</v>
      </c>
      <c r="B511" s="1">
        <v>1.1374</v>
      </c>
      <c r="C511" s="1">
        <v>1.3202</v>
      </c>
      <c r="D511" s="1">
        <v>0.14911129667183584</v>
      </c>
      <c r="E511" s="1">
        <v>13.57</v>
      </c>
      <c r="F511" s="1">
        <v>55.8</v>
      </c>
      <c r="G511" s="1">
        <f>VLOOKUP(A511,[1]黄金期货历史数据!$A:$B,2,)</f>
        <v>1302.5</v>
      </c>
      <c r="H511" s="1">
        <v>96.45</v>
      </c>
      <c r="I511" s="1">
        <v>2.859</v>
      </c>
      <c r="J511" s="1">
        <v>2.9319999999999999</v>
      </c>
    </row>
    <row r="512" spans="1:10" x14ac:dyDescent="0.3">
      <c r="A512" s="2">
        <v>43527</v>
      </c>
      <c r="B512" s="1">
        <v>1.1237999999999999</v>
      </c>
      <c r="C512" s="1">
        <v>1.3015000000000001</v>
      </c>
      <c r="D512" s="1">
        <v>0.14877410140442754</v>
      </c>
      <c r="E512" s="1">
        <v>16.05</v>
      </c>
      <c r="F512" s="1">
        <v>56.07</v>
      </c>
      <c r="G512" s="1">
        <f>VLOOKUP(A512,[1]黄金期货历史数据!$A:$B,2,)</f>
        <v>1302.7</v>
      </c>
      <c r="H512" s="1">
        <v>97.269000000000005</v>
      </c>
      <c r="I512" s="1">
        <v>2.8650000000000002</v>
      </c>
      <c r="J512" s="1">
        <v>2.8935</v>
      </c>
    </row>
    <row r="513" spans="1:10" x14ac:dyDescent="0.3">
      <c r="A513" s="2">
        <v>43534</v>
      </c>
      <c r="B513" s="1">
        <v>1.1325000000000001</v>
      </c>
      <c r="C513" s="1">
        <v>1.3289</v>
      </c>
      <c r="D513" s="1">
        <v>0.14894694509815604</v>
      </c>
      <c r="E513" s="1">
        <v>12.88</v>
      </c>
      <c r="F513" s="1">
        <v>58.52</v>
      </c>
      <c r="G513" s="1">
        <f>VLOOKUP(A513,[1]黄金期货历史数据!$A:$B,2,)</f>
        <v>1305.8</v>
      </c>
      <c r="H513" s="1">
        <v>96.59</v>
      </c>
      <c r="I513" s="1">
        <v>2.7949999999999999</v>
      </c>
      <c r="J513" s="1">
        <v>2.9060000000000001</v>
      </c>
    </row>
    <row r="514" spans="1:10" x14ac:dyDescent="0.3">
      <c r="A514" s="2">
        <v>43541</v>
      </c>
      <c r="B514" s="1">
        <v>1.1313</v>
      </c>
      <c r="C514" s="1">
        <v>1.3209</v>
      </c>
      <c r="D514" s="1">
        <v>0.14885160983016033</v>
      </c>
      <c r="E514" s="1">
        <v>16.48</v>
      </c>
      <c r="F514" s="1">
        <v>59.04</v>
      </c>
      <c r="G514" s="1">
        <f>VLOOKUP(A514,[1]黄金期货历史数据!$A:$B,2,)</f>
        <v>1315.4</v>
      </c>
      <c r="H514" s="1">
        <v>96.150999999999996</v>
      </c>
      <c r="I514" s="1">
        <v>2.7530000000000001</v>
      </c>
      <c r="J514" s="1">
        <v>2.8424999999999998</v>
      </c>
    </row>
    <row r="515" spans="1:10" x14ac:dyDescent="0.3">
      <c r="A515" s="2">
        <v>43548</v>
      </c>
      <c r="B515" s="1">
        <v>1.1216999999999999</v>
      </c>
      <c r="C515" s="1">
        <v>1.3030999999999999</v>
      </c>
      <c r="D515" s="1">
        <v>0.14898688915375446</v>
      </c>
      <c r="E515" s="1">
        <v>13.71</v>
      </c>
      <c r="F515" s="1">
        <v>60.14</v>
      </c>
      <c r="G515" s="1">
        <f>VLOOKUP(A515,[1]黄金期货历史数据!$A:$B,2,)</f>
        <v>1298.5</v>
      </c>
      <c r="H515" s="1">
        <v>96.844999999999999</v>
      </c>
      <c r="I515" s="1">
        <v>2.6619999999999999</v>
      </c>
      <c r="J515" s="1">
        <v>2.9394999999999998</v>
      </c>
    </row>
    <row r="516" spans="1:10" x14ac:dyDescent="0.3">
      <c r="A516" s="2">
        <v>43555</v>
      </c>
      <c r="B516" s="1">
        <v>1.1214</v>
      </c>
      <c r="C516" s="1">
        <v>1.3036000000000001</v>
      </c>
      <c r="D516" s="1">
        <v>0.1488316713796696</v>
      </c>
      <c r="E516" s="1">
        <v>12.82</v>
      </c>
      <c r="F516" s="1">
        <v>63.08</v>
      </c>
      <c r="G516" s="1">
        <f>VLOOKUP(A516,[1]黄金期货历史数据!$A:$B,2,)</f>
        <v>1295.5999999999999</v>
      </c>
      <c r="H516" s="1">
        <v>97.001999999999995</v>
      </c>
      <c r="I516" s="1">
        <v>2.6640000000000001</v>
      </c>
      <c r="J516" s="1">
        <v>2.9</v>
      </c>
    </row>
    <row r="517" spans="1:10" x14ac:dyDescent="0.3">
      <c r="A517" s="2">
        <v>43562</v>
      </c>
      <c r="B517" s="1">
        <v>1.1299999999999999</v>
      </c>
      <c r="C517" s="1">
        <v>1.3081</v>
      </c>
      <c r="D517" s="1">
        <v>0.14915577829485116</v>
      </c>
      <c r="E517" s="1">
        <v>12.01</v>
      </c>
      <c r="F517" s="1">
        <v>63.89</v>
      </c>
      <c r="G517" s="1">
        <f>VLOOKUP(A517,[1]黄金期货历史数据!$A:$B,2,)</f>
        <v>1295.2</v>
      </c>
      <c r="H517" s="1">
        <v>96.597999999999999</v>
      </c>
      <c r="I517" s="1">
        <v>2.66</v>
      </c>
      <c r="J517" s="1">
        <v>2.9495</v>
      </c>
    </row>
    <row r="518" spans="1:10" x14ac:dyDescent="0.3">
      <c r="A518" s="2">
        <v>43569</v>
      </c>
      <c r="B518" s="1">
        <v>1.1246</v>
      </c>
      <c r="C518" s="1">
        <v>1.2988</v>
      </c>
      <c r="D518" s="1">
        <v>0.14916022791682826</v>
      </c>
      <c r="E518" s="1">
        <v>12.09</v>
      </c>
      <c r="F518" s="1">
        <v>64</v>
      </c>
      <c r="G518" s="1">
        <f>VLOOKUP(A518,[1]黄金期货历史数据!$A:$B,2,)</f>
        <v>1276</v>
      </c>
      <c r="H518" s="1">
        <v>97.150999999999996</v>
      </c>
      <c r="I518" s="1">
        <v>2.4900000000000002</v>
      </c>
      <c r="J518" s="1">
        <v>2.923</v>
      </c>
    </row>
    <row r="519" spans="1:10" x14ac:dyDescent="0.3">
      <c r="A519" s="2">
        <v>43576</v>
      </c>
      <c r="B519" s="1">
        <v>1.1148</v>
      </c>
      <c r="C519" s="1">
        <v>1.2917000000000001</v>
      </c>
      <c r="D519" s="1">
        <v>0.1485928259383637</v>
      </c>
      <c r="E519" s="1">
        <v>12.73</v>
      </c>
      <c r="F519" s="1">
        <v>63.3</v>
      </c>
      <c r="G519" s="1">
        <f>VLOOKUP(A519,[1]黄金期货历史数据!$A:$B,2,)</f>
        <v>1288.8</v>
      </c>
      <c r="H519" s="1">
        <v>97.725999999999999</v>
      </c>
      <c r="I519" s="1">
        <v>2.5659999999999998</v>
      </c>
      <c r="J519" s="1">
        <v>2.8915000000000002</v>
      </c>
    </row>
    <row r="520" spans="1:10" x14ac:dyDescent="0.3">
      <c r="A520" s="2">
        <v>43583</v>
      </c>
      <c r="B520" s="1">
        <v>1.1200000000000001</v>
      </c>
      <c r="C520" s="1">
        <v>1.3170999999999999</v>
      </c>
      <c r="D520" s="1">
        <v>0.14848691830249755</v>
      </c>
      <c r="E520" s="1">
        <v>12.87</v>
      </c>
      <c r="F520" s="1">
        <v>61.94</v>
      </c>
      <c r="G520" s="1">
        <f>VLOOKUP(A520,[1]黄金期货历史数据!$A:$B,2,)</f>
        <v>1284.3</v>
      </c>
      <c r="H520" s="1">
        <v>97.26</v>
      </c>
      <c r="I520" s="1">
        <v>2.5670000000000002</v>
      </c>
      <c r="J520" s="1">
        <v>2.819</v>
      </c>
    </row>
    <row r="521" spans="1:10" x14ac:dyDescent="0.3">
      <c r="A521" s="2">
        <v>43590</v>
      </c>
      <c r="B521" s="1">
        <v>1.1233</v>
      </c>
      <c r="C521" s="1">
        <v>1.2999000000000001</v>
      </c>
      <c r="D521" s="1">
        <v>0.14654161781946073</v>
      </c>
      <c r="E521" s="1">
        <v>16.04</v>
      </c>
      <c r="F521" s="1">
        <v>61.66</v>
      </c>
      <c r="G521" s="1">
        <f>VLOOKUP(A521,[1]黄金期货历史数据!$A:$B,2,)</f>
        <v>1290.2</v>
      </c>
      <c r="H521" s="1">
        <v>97.125</v>
      </c>
      <c r="I521" s="1">
        <v>2.6190000000000002</v>
      </c>
      <c r="J521" s="1">
        <v>2.7745000000000002</v>
      </c>
    </row>
    <row r="522" spans="1:10" x14ac:dyDescent="0.3">
      <c r="A522" s="2">
        <v>43597</v>
      </c>
      <c r="B522" s="1">
        <v>1.1155999999999999</v>
      </c>
      <c r="C522" s="1">
        <v>1.2718</v>
      </c>
      <c r="D522" s="1">
        <v>0.14453791229439483</v>
      </c>
      <c r="E522" s="1">
        <v>15.96</v>
      </c>
      <c r="F522" s="1">
        <v>62.76</v>
      </c>
      <c r="G522" s="1">
        <f>VLOOKUP(A522,[1]黄金期货历史数据!$A:$B,2,)</f>
        <v>1278.9000000000001</v>
      </c>
      <c r="H522" s="1">
        <v>97.823999999999998</v>
      </c>
      <c r="I522" s="1">
        <v>2.6309999999999998</v>
      </c>
      <c r="J522" s="1">
        <v>2.7385000000000002</v>
      </c>
    </row>
    <row r="523" spans="1:10" x14ac:dyDescent="0.3">
      <c r="A523" s="2">
        <v>43604</v>
      </c>
      <c r="B523" s="1">
        <v>1.1202000000000001</v>
      </c>
      <c r="C523" s="1">
        <v>1.2712000000000001</v>
      </c>
      <c r="D523" s="1">
        <v>0.14492333555549114</v>
      </c>
      <c r="E523" s="1">
        <v>15.85</v>
      </c>
      <c r="F523" s="1">
        <v>58.63</v>
      </c>
      <c r="G523" s="1">
        <f>VLOOKUP(A523,[1]黄金期货历史数据!$A:$B,2,)</f>
        <v>1286.4000000000001</v>
      </c>
      <c r="H523" s="1">
        <v>97.477000000000004</v>
      </c>
      <c r="I523" s="1">
        <v>2.5979999999999999</v>
      </c>
      <c r="J523" s="1">
        <v>2.6995</v>
      </c>
    </row>
    <row r="524" spans="1:10" x14ac:dyDescent="0.3">
      <c r="A524" s="2">
        <v>43611</v>
      </c>
      <c r="B524" s="1">
        <v>1.1167</v>
      </c>
      <c r="C524" s="1">
        <v>1.2630999999999999</v>
      </c>
      <c r="D524" s="1">
        <v>0.14482259232440259</v>
      </c>
      <c r="E524" s="1">
        <v>18.71</v>
      </c>
      <c r="F524" s="1">
        <v>53.5</v>
      </c>
      <c r="G524" s="1">
        <f>VLOOKUP(A524,[1]黄金期货历史数据!$A:$B,2,)</f>
        <v>1311.1</v>
      </c>
      <c r="H524" s="1">
        <v>97.665999999999997</v>
      </c>
      <c r="I524" s="1">
        <v>2.4540000000000002</v>
      </c>
      <c r="J524" s="1">
        <v>2.6404999999999998</v>
      </c>
    </row>
    <row r="525" spans="1:10" x14ac:dyDescent="0.3">
      <c r="A525" s="2">
        <v>43618</v>
      </c>
      <c r="B525" s="1">
        <v>1.1331</v>
      </c>
      <c r="C525" s="1">
        <v>1.2734000000000001</v>
      </c>
      <c r="D525" s="1">
        <v>0.144724083534741</v>
      </c>
      <c r="E525" s="1">
        <v>16.3</v>
      </c>
      <c r="F525" s="1">
        <v>53.99</v>
      </c>
      <c r="G525" s="1">
        <f>VLOOKUP(A525,[1]黄金期货历史数据!$A:$B,2,)</f>
        <v>1346.1</v>
      </c>
      <c r="H525" s="1">
        <v>96.49</v>
      </c>
      <c r="I525" s="1">
        <v>2.3370000000000002</v>
      </c>
      <c r="J525" s="1">
        <v>2.6295000000000002</v>
      </c>
    </row>
    <row r="526" spans="1:10" x14ac:dyDescent="0.3">
      <c r="A526" s="2">
        <v>43625</v>
      </c>
      <c r="B526" s="1">
        <v>1.1207</v>
      </c>
      <c r="C526" s="1">
        <v>1.2589999999999999</v>
      </c>
      <c r="D526" s="1">
        <v>0.14439390657714243</v>
      </c>
      <c r="E526" s="1">
        <v>15.28</v>
      </c>
      <c r="F526" s="1">
        <v>52.51</v>
      </c>
      <c r="G526" s="1">
        <f>VLOOKUP(A526,[1]黄金期货历史数据!$A:$B,2,)</f>
        <v>1344.5</v>
      </c>
      <c r="H526" s="1">
        <v>97.57</v>
      </c>
      <c r="I526" s="1">
        <v>2.387</v>
      </c>
      <c r="J526" s="1">
        <v>2.6309999999999998</v>
      </c>
    </row>
    <row r="527" spans="1:10" x14ac:dyDescent="0.3">
      <c r="A527" s="2">
        <v>43632</v>
      </c>
      <c r="B527" s="1">
        <v>1.1366000000000001</v>
      </c>
      <c r="C527" s="1">
        <v>1.274</v>
      </c>
      <c r="D527" s="1">
        <v>0.14556040756914118</v>
      </c>
      <c r="E527" s="1">
        <v>15.4</v>
      </c>
      <c r="F527" s="1">
        <v>57.43</v>
      </c>
      <c r="G527" s="1">
        <f>VLOOKUP(A527,[1]黄金期货历史数据!$A:$B,2,)</f>
        <v>1400.1</v>
      </c>
      <c r="H527" s="1">
        <v>95.718000000000004</v>
      </c>
      <c r="I527" s="1">
        <v>2.1859999999999999</v>
      </c>
      <c r="J527" s="1">
        <v>2.7054999999999998</v>
      </c>
    </row>
    <row r="528" spans="1:10" x14ac:dyDescent="0.3">
      <c r="A528" s="2">
        <v>43639</v>
      </c>
      <c r="B528" s="1">
        <v>1.1368</v>
      </c>
      <c r="C528" s="1">
        <v>1.2693000000000001</v>
      </c>
      <c r="D528" s="1">
        <v>0.14562824022834508</v>
      </c>
      <c r="E528" s="1">
        <v>15.08</v>
      </c>
      <c r="F528" s="1">
        <v>58.47</v>
      </c>
      <c r="G528" s="1">
        <f>VLOOKUP(A528,[1]黄金期货历史数据!$A:$B,2,)</f>
        <v>1416.7</v>
      </c>
      <c r="H528" s="1">
        <v>95.665999999999997</v>
      </c>
      <c r="I528" s="1">
        <v>2.3079999999999998</v>
      </c>
      <c r="J528" s="1">
        <v>2.7134999999999998</v>
      </c>
    </row>
    <row r="529" spans="1:10" x14ac:dyDescent="0.3">
      <c r="A529" s="2">
        <v>43646</v>
      </c>
      <c r="B529" s="1">
        <v>1.1224000000000001</v>
      </c>
      <c r="C529" s="1">
        <v>1.2523</v>
      </c>
      <c r="D529" s="1">
        <v>0.14506208657305325</v>
      </c>
      <c r="E529" s="1">
        <v>13.28</v>
      </c>
      <c r="F529" s="1">
        <v>57.51</v>
      </c>
      <c r="G529" s="1">
        <f>VLOOKUP(A529,[1]黄金期货历史数据!$A:$B,2,)</f>
        <v>1403.4</v>
      </c>
      <c r="H529" s="1">
        <v>96.89</v>
      </c>
      <c r="I529" s="1">
        <v>2.4180000000000001</v>
      </c>
      <c r="J529" s="1">
        <v>2.661</v>
      </c>
    </row>
    <row r="530" spans="1:10" x14ac:dyDescent="0.3">
      <c r="A530" s="2">
        <v>43653</v>
      </c>
      <c r="B530" s="1">
        <v>1.1269</v>
      </c>
      <c r="C530" s="1">
        <v>1.2573000000000001</v>
      </c>
      <c r="D530" s="1">
        <v>0.14533193814672712</v>
      </c>
      <c r="E530" s="1">
        <v>12.39</v>
      </c>
      <c r="F530" s="1">
        <v>60.21</v>
      </c>
      <c r="G530" s="1">
        <f>VLOOKUP(A530,[1]黄金期货历史数据!$A:$B,2,)</f>
        <v>1415.9</v>
      </c>
      <c r="H530" s="1">
        <v>96.424000000000007</v>
      </c>
      <c r="I530" s="1">
        <v>2.4529999999999998</v>
      </c>
      <c r="J530" s="1">
        <v>2.694</v>
      </c>
    </row>
    <row r="531" spans="1:10" x14ac:dyDescent="0.3">
      <c r="A531" s="2">
        <v>43660</v>
      </c>
      <c r="B531" s="1">
        <v>1.1220000000000001</v>
      </c>
      <c r="C531" s="1">
        <v>1.25</v>
      </c>
      <c r="D531" s="1">
        <v>0.1453044855494689</v>
      </c>
      <c r="E531" s="1">
        <v>14.45</v>
      </c>
      <c r="F531" s="1">
        <v>55.63</v>
      </c>
      <c r="G531" s="1">
        <f>VLOOKUP(A531,[1]黄金期货历史数据!$A:$B,2,)</f>
        <v>1430.1</v>
      </c>
      <c r="H531" s="1">
        <v>96.816999999999993</v>
      </c>
      <c r="I531" s="1">
        <v>2.2509999999999999</v>
      </c>
      <c r="J531" s="1">
        <v>2.7524999999999999</v>
      </c>
    </row>
    <row r="532" spans="1:10" x14ac:dyDescent="0.3">
      <c r="A532" s="2">
        <v>43667</v>
      </c>
      <c r="B532" s="1">
        <v>1.1125</v>
      </c>
      <c r="C532" s="1">
        <v>1.238</v>
      </c>
      <c r="D532" s="1">
        <v>0.1453657402023491</v>
      </c>
      <c r="E532" s="1">
        <v>12.16</v>
      </c>
      <c r="F532" s="1">
        <v>56.2</v>
      </c>
      <c r="G532" s="1">
        <f>VLOOKUP(A532,[1]黄金期货历史数据!$A:$B,2,)</f>
        <v>1423.5</v>
      </c>
      <c r="H532" s="1">
        <v>97.751000000000005</v>
      </c>
      <c r="I532" s="1">
        <v>2.169</v>
      </c>
      <c r="J532" s="1">
        <v>2.6850000000000001</v>
      </c>
    </row>
    <row r="533" spans="1:10" x14ac:dyDescent="0.3">
      <c r="A533" s="2">
        <v>43674</v>
      </c>
      <c r="B533" s="1">
        <v>1.1107</v>
      </c>
      <c r="C533" s="1">
        <v>1.2154</v>
      </c>
      <c r="D533" s="1">
        <v>0.14408183848425907</v>
      </c>
      <c r="E533" s="1">
        <v>17.61</v>
      </c>
      <c r="F533" s="1">
        <v>55.66</v>
      </c>
      <c r="G533" s="1">
        <f>VLOOKUP(A533,[1]黄金期货历史数据!$A:$B,2,)</f>
        <v>1451.6</v>
      </c>
      <c r="H533" s="1">
        <v>97.852000000000004</v>
      </c>
      <c r="I533" s="1">
        <v>2.121</v>
      </c>
      <c r="J533" s="1">
        <v>2.5775000000000001</v>
      </c>
    </row>
    <row r="534" spans="1:10" x14ac:dyDescent="0.3">
      <c r="A534" s="2">
        <v>43681</v>
      </c>
      <c r="B534" s="1">
        <v>1.1197999999999999</v>
      </c>
      <c r="C534" s="1">
        <v>1.2034</v>
      </c>
      <c r="D534" s="1">
        <v>0.14159492523787948</v>
      </c>
      <c r="E534" s="1">
        <v>17.97</v>
      </c>
      <c r="F534" s="1">
        <v>54.5</v>
      </c>
      <c r="G534" s="1">
        <f>VLOOKUP(A534,[1]黄金期货历史数据!$A:$B,2,)</f>
        <v>1502</v>
      </c>
      <c r="H534" s="1">
        <v>97.322000000000003</v>
      </c>
      <c r="I534" s="1">
        <v>2.1190000000000002</v>
      </c>
      <c r="J534" s="1">
        <v>2.5924999999999998</v>
      </c>
    </row>
    <row r="535" spans="1:10" x14ac:dyDescent="0.3">
      <c r="A535" s="2">
        <v>43688</v>
      </c>
      <c r="B535" s="1">
        <v>1.1089</v>
      </c>
      <c r="C535" s="1">
        <v>1.2149000000000001</v>
      </c>
      <c r="D535" s="1">
        <v>0.14198898165502358</v>
      </c>
      <c r="E535" s="1">
        <v>18.47</v>
      </c>
      <c r="F535" s="1">
        <v>54.87</v>
      </c>
      <c r="G535" s="1">
        <f>VLOOKUP(A535,[1]黄金期货历史数据!$A:$B,2,)</f>
        <v>1517.5</v>
      </c>
      <c r="H535" s="1">
        <v>98.007000000000005</v>
      </c>
      <c r="I535" s="1">
        <v>2.2000000000000002</v>
      </c>
      <c r="J535" s="1">
        <v>2.5985</v>
      </c>
    </row>
    <row r="536" spans="1:10" x14ac:dyDescent="0.3">
      <c r="A536" s="2">
        <v>43695</v>
      </c>
      <c r="B536" s="1">
        <v>1.1144000000000001</v>
      </c>
      <c r="C536" s="1">
        <v>1.2277</v>
      </c>
      <c r="D536" s="1">
        <v>0.14092446448703494</v>
      </c>
      <c r="E536" s="1">
        <v>19.87</v>
      </c>
      <c r="F536" s="1">
        <v>54.17</v>
      </c>
      <c r="G536" s="1">
        <f>VLOOKUP(A536,[1]黄金期货历史数据!$A:$B,2,)</f>
        <v>1531.4</v>
      </c>
      <c r="H536" s="1">
        <v>97.53</v>
      </c>
      <c r="I536" s="1">
        <v>2.1520000000000001</v>
      </c>
      <c r="J536" s="1">
        <v>2.5345</v>
      </c>
    </row>
    <row r="537" spans="1:10" x14ac:dyDescent="0.3">
      <c r="A537" s="2">
        <v>43702</v>
      </c>
      <c r="B537" s="1">
        <v>1.0989</v>
      </c>
      <c r="C537" s="1">
        <v>1.2156</v>
      </c>
      <c r="D537" s="1">
        <v>0.13972725240330874</v>
      </c>
      <c r="E537" s="1">
        <v>18.98</v>
      </c>
      <c r="F537" s="1">
        <v>55.1</v>
      </c>
      <c r="G537" s="1">
        <f>VLOOKUP(A537,[1]黄金期货历史数据!$A:$B,2,)</f>
        <v>1526.2</v>
      </c>
      <c r="H537" s="1">
        <v>98.86</v>
      </c>
      <c r="I537" s="1">
        <v>2.2850000000000001</v>
      </c>
      <c r="J537" s="1">
        <v>2.5470000000000002</v>
      </c>
    </row>
    <row r="538" spans="1:10" x14ac:dyDescent="0.3">
      <c r="A538" s="2">
        <v>43709</v>
      </c>
      <c r="B538" s="1">
        <v>1.1027</v>
      </c>
      <c r="C538" s="1">
        <v>1.2281</v>
      </c>
      <c r="D538" s="1">
        <v>0.14053431145214104</v>
      </c>
      <c r="E538" s="1">
        <v>15</v>
      </c>
      <c r="F538" s="1">
        <v>56.52</v>
      </c>
      <c r="G538" s="1">
        <f>VLOOKUP(A538,[1]黄金期货历史数据!$A:$B,2,)</f>
        <v>1512.4</v>
      </c>
      <c r="H538" s="1">
        <v>98.361999999999995</v>
      </c>
      <c r="I538" s="1">
        <v>2.496</v>
      </c>
      <c r="J538" s="1">
        <v>2.6284999999999998</v>
      </c>
    </row>
    <row r="539" spans="1:10" x14ac:dyDescent="0.3">
      <c r="A539" s="2">
        <v>43716</v>
      </c>
      <c r="B539" s="1">
        <v>1.1073</v>
      </c>
      <c r="C539" s="1">
        <v>1.25</v>
      </c>
      <c r="D539" s="1">
        <v>0.14125490860807413</v>
      </c>
      <c r="E539" s="1">
        <v>13.74</v>
      </c>
      <c r="F539" s="1">
        <v>54.85</v>
      </c>
      <c r="G539" s="1">
        <f>VLOOKUP(A539,[1]黄金期货历史数据!$A:$B,2,)</f>
        <v>1496.8</v>
      </c>
      <c r="H539" s="1">
        <v>98.254999999999995</v>
      </c>
      <c r="I539" s="1">
        <v>2.6139999999999999</v>
      </c>
      <c r="J539" s="1">
        <v>2.6934999999999998</v>
      </c>
    </row>
    <row r="540" spans="1:10" x14ac:dyDescent="0.3">
      <c r="A540" s="2">
        <v>43723</v>
      </c>
      <c r="B540" s="1">
        <v>1.1016999999999999</v>
      </c>
      <c r="C540" s="1">
        <v>1.2477</v>
      </c>
      <c r="D540" s="1">
        <v>0.14101190140447856</v>
      </c>
      <c r="E540" s="1">
        <v>15.32</v>
      </c>
      <c r="F540" s="1">
        <v>58.09</v>
      </c>
      <c r="G540" s="1">
        <f>VLOOKUP(A540,[1]黄金期货历史数据!$A:$B,2,)</f>
        <v>1512</v>
      </c>
      <c r="H540" s="1">
        <v>98.135999999999996</v>
      </c>
      <c r="I540" s="1">
        <v>2.5339999999999998</v>
      </c>
      <c r="J540" s="1">
        <v>2.6015000000000001</v>
      </c>
    </row>
    <row r="541" spans="1:10" x14ac:dyDescent="0.3">
      <c r="A541" s="2">
        <v>43730</v>
      </c>
      <c r="B541" s="1">
        <v>1.0938000000000001</v>
      </c>
      <c r="C541" s="1">
        <v>1.2287999999999999</v>
      </c>
      <c r="D541" s="1">
        <v>0.14039619807095624</v>
      </c>
      <c r="E541" s="1">
        <v>17.22</v>
      </c>
      <c r="F541" s="1">
        <v>55.91</v>
      </c>
      <c r="G541" s="1">
        <f>VLOOKUP(A541,[1]黄金期货历史数据!$A:$B,2,)</f>
        <v>1506.4</v>
      </c>
      <c r="H541" s="1">
        <v>98.760999999999996</v>
      </c>
      <c r="I541" s="1">
        <v>2.4039999999999999</v>
      </c>
      <c r="J541" s="1">
        <v>2.5975000000000001</v>
      </c>
    </row>
    <row r="542" spans="1:10" x14ac:dyDescent="0.3">
      <c r="A542" s="2">
        <v>43737</v>
      </c>
      <c r="B542" s="1">
        <v>1.0975999999999999</v>
      </c>
      <c r="C542" s="1">
        <v>1.2332000000000001</v>
      </c>
      <c r="D542" s="1">
        <v>0.13989144423927033</v>
      </c>
      <c r="E542" s="1">
        <v>17.04</v>
      </c>
      <c r="F542" s="1">
        <v>52.81</v>
      </c>
      <c r="G542" s="1">
        <f>VLOOKUP(A542,[1]黄金期货历史数据!$A:$B,2,)</f>
        <v>1512.9</v>
      </c>
      <c r="H542" s="1">
        <v>98.488</v>
      </c>
      <c r="I542" s="1">
        <v>2.3519999999999999</v>
      </c>
      <c r="J542" s="1">
        <v>2.5625</v>
      </c>
    </row>
    <row r="543" spans="1:10" x14ac:dyDescent="0.3">
      <c r="A543" s="2">
        <v>43744</v>
      </c>
      <c r="B543" s="1">
        <v>1.1040000000000001</v>
      </c>
      <c r="C543" s="1">
        <v>1.2646999999999999</v>
      </c>
      <c r="D543" s="1">
        <v>0.14108352144469527</v>
      </c>
      <c r="E543" s="1">
        <v>15.58</v>
      </c>
      <c r="F543" s="1">
        <v>54.7</v>
      </c>
      <c r="G543" s="1">
        <f>VLOOKUP(A543,[1]黄金期货历史数据!$A:$B,2,)</f>
        <v>1488.7</v>
      </c>
      <c r="H543" s="1">
        <v>98.004999999999995</v>
      </c>
      <c r="I543" s="1">
        <v>2.214</v>
      </c>
      <c r="J543" s="1">
        <v>2.6280000000000001</v>
      </c>
    </row>
    <row r="544" spans="1:10" x14ac:dyDescent="0.3">
      <c r="A544" s="2">
        <v>43751</v>
      </c>
      <c r="B544" s="1">
        <v>1.1169</v>
      </c>
      <c r="C544" s="1">
        <v>1.2970999999999999</v>
      </c>
      <c r="D544" s="1">
        <v>0.14120903172966945</v>
      </c>
      <c r="E544" s="1">
        <v>14.25</v>
      </c>
      <c r="F544" s="1">
        <v>53.78</v>
      </c>
      <c r="G544" s="1">
        <f>VLOOKUP(A544,[1]黄金期货历史数据!$A:$B,2,)</f>
        <v>1494.1</v>
      </c>
      <c r="H544" s="1">
        <v>97.007999999999996</v>
      </c>
      <c r="I544" s="1">
        <v>2.3199999999999998</v>
      </c>
      <c r="J544" s="1">
        <v>2.6360000000000001</v>
      </c>
    </row>
    <row r="545" spans="1:10" x14ac:dyDescent="0.3">
      <c r="A545" s="2">
        <v>43758</v>
      </c>
      <c r="B545" s="1">
        <v>1.1077999999999999</v>
      </c>
      <c r="C545" s="1">
        <v>1.2821</v>
      </c>
      <c r="D545" s="1">
        <v>0.14153480340815805</v>
      </c>
      <c r="E545" s="1">
        <v>12.65</v>
      </c>
      <c r="F545" s="1">
        <v>56.66</v>
      </c>
      <c r="G545" s="1">
        <f>VLOOKUP(A545,[1]黄金期货历史数据!$A:$B,2,)</f>
        <v>1505.3</v>
      </c>
      <c r="H545" s="1">
        <v>97.599000000000004</v>
      </c>
      <c r="I545" s="1">
        <v>2.2999999999999998</v>
      </c>
      <c r="J545" s="1">
        <v>2.6755</v>
      </c>
    </row>
    <row r="546" spans="1:10" x14ac:dyDescent="0.3">
      <c r="A546" s="2">
        <v>43765</v>
      </c>
      <c r="B546" s="1">
        <v>1.1165</v>
      </c>
      <c r="C546" s="1">
        <v>1.2934000000000001</v>
      </c>
      <c r="D546" s="1">
        <v>0.14209591474245117</v>
      </c>
      <c r="E546" s="1">
        <v>12.3</v>
      </c>
      <c r="F546" s="1">
        <v>56.2</v>
      </c>
      <c r="G546" s="1">
        <f>VLOOKUP(A546,[1]黄金期货历史数据!$A:$B,2,)</f>
        <v>1514.9</v>
      </c>
      <c r="H546" s="1">
        <v>97.040999999999997</v>
      </c>
      <c r="I546" s="1">
        <v>2.714</v>
      </c>
      <c r="J546" s="1">
        <v>2.6575000000000002</v>
      </c>
    </row>
    <row r="547" spans="1:10" x14ac:dyDescent="0.3">
      <c r="A547" s="2">
        <v>43772</v>
      </c>
      <c r="B547" s="1">
        <v>1.1015999999999999</v>
      </c>
      <c r="C547" s="1">
        <v>1.2769999999999999</v>
      </c>
      <c r="D547" s="1">
        <v>0.14293677906262059</v>
      </c>
      <c r="E547" s="1">
        <v>12.07</v>
      </c>
      <c r="F547" s="1">
        <v>57.24</v>
      </c>
      <c r="G547" s="1">
        <f>VLOOKUP(A547,[1]黄金期货历史数据!$A:$B,2,)</f>
        <v>1466.4</v>
      </c>
      <c r="H547" s="1">
        <v>98.200999999999993</v>
      </c>
      <c r="I547" s="1">
        <v>2.7890000000000001</v>
      </c>
      <c r="J547" s="1">
        <v>2.6859999999999999</v>
      </c>
    </row>
    <row r="548" spans="1:10" x14ac:dyDescent="0.3">
      <c r="A548" s="2">
        <v>43779</v>
      </c>
      <c r="B548" s="1">
        <v>1.105</v>
      </c>
      <c r="C548" s="1">
        <v>1.2899</v>
      </c>
      <c r="D548" s="1">
        <v>0.14268795570965853</v>
      </c>
      <c r="E548" s="1">
        <v>12.05</v>
      </c>
      <c r="F548" s="1">
        <v>57.72</v>
      </c>
      <c r="G548" s="1">
        <f>VLOOKUP(A548,[1]黄金期货历史数据!$A:$B,2,)</f>
        <v>1472</v>
      </c>
      <c r="H548" s="1">
        <v>97.870999999999995</v>
      </c>
      <c r="I548" s="1">
        <v>2.6880000000000002</v>
      </c>
      <c r="J548" s="1">
        <v>2.6425000000000001</v>
      </c>
    </row>
    <row r="549" spans="1:10" x14ac:dyDescent="0.3">
      <c r="A549" s="2">
        <v>43786</v>
      </c>
      <c r="B549" s="1">
        <v>1.1022000000000001</v>
      </c>
      <c r="C549" s="1">
        <v>1.2829999999999999</v>
      </c>
      <c r="D549" s="1">
        <v>0.14204545454545456</v>
      </c>
      <c r="E549" s="1">
        <v>12.34</v>
      </c>
      <c r="F549" s="1">
        <v>57.77</v>
      </c>
      <c r="G549" s="1">
        <f>VLOOKUP(A549,[1]黄金期货历史数据!$A:$B,2,)</f>
        <v>1467.3</v>
      </c>
      <c r="H549" s="1">
        <v>98.176000000000002</v>
      </c>
      <c r="I549" s="1">
        <v>2.665</v>
      </c>
      <c r="J549" s="1">
        <v>2.6515</v>
      </c>
    </row>
    <row r="550" spans="1:10" x14ac:dyDescent="0.3">
      <c r="A550" s="2">
        <v>43793</v>
      </c>
      <c r="B550" s="1">
        <v>1.1014999999999999</v>
      </c>
      <c r="C550" s="1">
        <v>1.2932999999999999</v>
      </c>
      <c r="D550" s="1">
        <v>0.14219896479153632</v>
      </c>
      <c r="E550" s="1">
        <v>12.62</v>
      </c>
      <c r="F550" s="1">
        <v>55.17</v>
      </c>
      <c r="G550" s="1">
        <f>VLOOKUP(A550,[1]黄金期货历史数据!$A:$B,2,)</f>
        <v>1472.7</v>
      </c>
      <c r="H550" s="1">
        <v>98.201999999999998</v>
      </c>
      <c r="I550" s="1">
        <v>2.2810000000000001</v>
      </c>
      <c r="J550" s="1">
        <v>2.6560000000000001</v>
      </c>
    </row>
    <row r="551" spans="1:10" x14ac:dyDescent="0.3">
      <c r="A551" s="2">
        <v>43800</v>
      </c>
      <c r="B551" s="1">
        <v>1.1056999999999999</v>
      </c>
      <c r="C551" s="1">
        <v>1.3134999999999999</v>
      </c>
      <c r="D551" s="1">
        <v>0.1421464108031272</v>
      </c>
      <c r="E551" s="1">
        <v>13.62</v>
      </c>
      <c r="F551" s="1">
        <v>59.2</v>
      </c>
      <c r="G551" s="1">
        <f>VLOOKUP(A551,[1]黄金期货历史数据!$A:$B,2,)</f>
        <v>1465.1</v>
      </c>
      <c r="H551" s="1">
        <v>97.661000000000001</v>
      </c>
      <c r="I551" s="1">
        <v>2.3340000000000001</v>
      </c>
      <c r="J551" s="1">
        <v>2.7204999999999999</v>
      </c>
    </row>
    <row r="552" spans="1:10" x14ac:dyDescent="0.3">
      <c r="A552" s="2">
        <v>43807</v>
      </c>
      <c r="B552" s="1">
        <v>1.1119000000000001</v>
      </c>
      <c r="C552" s="1">
        <v>1.3325</v>
      </c>
      <c r="D552" s="1">
        <v>0.14307175048286716</v>
      </c>
      <c r="E552" s="1">
        <v>12.63</v>
      </c>
      <c r="F552" s="1">
        <v>60.07</v>
      </c>
      <c r="G552" s="1">
        <f>VLOOKUP(A552,[1]黄金期货历史数据!$A:$B,2,)</f>
        <v>1481.2</v>
      </c>
      <c r="H552" s="1">
        <v>97.171000000000006</v>
      </c>
      <c r="I552" s="1">
        <v>2.2959999999999998</v>
      </c>
      <c r="J552" s="1">
        <v>2.7774999999999999</v>
      </c>
    </row>
    <row r="553" spans="1:10" x14ac:dyDescent="0.3">
      <c r="A553" s="2">
        <v>43814</v>
      </c>
      <c r="B553" s="1">
        <v>1.1077999999999999</v>
      </c>
      <c r="C553" s="1">
        <v>1.3002</v>
      </c>
      <c r="D553" s="1">
        <v>0.14271850202660272</v>
      </c>
      <c r="E553" s="1">
        <v>12.51</v>
      </c>
      <c r="F553" s="1">
        <v>60.44</v>
      </c>
      <c r="G553" s="1">
        <f>VLOOKUP(A553,[1]黄金期货历史数据!$A:$B,2,)</f>
        <v>1480.9</v>
      </c>
      <c r="H553" s="1">
        <v>97.274000000000001</v>
      </c>
      <c r="I553" s="1">
        <v>2.3279999999999998</v>
      </c>
      <c r="J553" s="1">
        <v>2.8050000000000002</v>
      </c>
    </row>
    <row r="554" spans="1:10" x14ac:dyDescent="0.3">
      <c r="A554" s="2">
        <v>43821</v>
      </c>
      <c r="B554" s="1">
        <v>1.1174999999999999</v>
      </c>
      <c r="C554" s="1">
        <v>1.3076000000000001</v>
      </c>
      <c r="D554" s="1">
        <v>0.14294290860230424</v>
      </c>
      <c r="E554" s="1">
        <v>13.43</v>
      </c>
      <c r="F554" s="1">
        <v>61.72</v>
      </c>
      <c r="G554" s="1">
        <f>VLOOKUP(A554,[1]黄金期货历史数据!$A:$B,2,)</f>
        <v>1518.1</v>
      </c>
      <c r="H554" s="1">
        <v>96.546000000000006</v>
      </c>
      <c r="I554" s="1">
        <v>2.1579999999999999</v>
      </c>
      <c r="J554" s="1">
        <v>2.8275000000000001</v>
      </c>
    </row>
    <row r="555" spans="1:10" x14ac:dyDescent="0.3">
      <c r="A555" s="2">
        <v>43828</v>
      </c>
      <c r="B555" s="1">
        <v>1.1157999999999999</v>
      </c>
      <c r="C555" s="1">
        <v>1.3086</v>
      </c>
      <c r="D555" s="1">
        <v>0.14356471179384109</v>
      </c>
      <c r="E555" s="1">
        <v>14.02</v>
      </c>
      <c r="F555" s="1">
        <v>63.05</v>
      </c>
      <c r="G555" s="1">
        <f>VLOOKUP(A555,[1]黄金期货历史数据!$A:$B,2,)</f>
        <v>1555.5</v>
      </c>
      <c r="H555" s="1">
        <v>96.521000000000001</v>
      </c>
      <c r="I555" s="1">
        <v>2.13</v>
      </c>
      <c r="J555" s="1">
        <v>2.7869999999999999</v>
      </c>
    </row>
    <row r="556" spans="1:10" x14ac:dyDescent="0.3">
      <c r="A556" s="2">
        <v>43835</v>
      </c>
      <c r="B556" s="1">
        <v>1.1120000000000001</v>
      </c>
      <c r="C556" s="1">
        <v>1.3059000000000001</v>
      </c>
      <c r="D556" s="1">
        <v>0.14452537865649209</v>
      </c>
      <c r="E556" s="1">
        <v>12.56</v>
      </c>
      <c r="F556" s="1">
        <v>59.04</v>
      </c>
      <c r="G556" s="1">
        <f>VLOOKUP(A556,[1]黄金期货历史数据!$A:$B,2,)</f>
        <v>1563.6</v>
      </c>
      <c r="H556" s="1">
        <v>97.078000000000003</v>
      </c>
      <c r="I556" s="1">
        <v>2.202</v>
      </c>
      <c r="J556" s="1">
        <v>2.8134999999999999</v>
      </c>
    </row>
    <row r="557" spans="1:10" x14ac:dyDescent="0.3">
      <c r="A557" s="2">
        <v>43842</v>
      </c>
      <c r="B557" s="1">
        <v>1.1088</v>
      </c>
      <c r="C557" s="1">
        <v>1.3008</v>
      </c>
      <c r="D557" s="1">
        <v>0.14577684480597103</v>
      </c>
      <c r="E557" s="1">
        <v>12.1</v>
      </c>
      <c r="F557" s="1">
        <v>58.54</v>
      </c>
      <c r="G557" s="1">
        <f>VLOOKUP(A557,[1]黄金期货历史数据!$A:$B,2,)</f>
        <v>1563.6</v>
      </c>
      <c r="H557" s="1">
        <v>97.358999999999995</v>
      </c>
      <c r="I557" s="1">
        <v>2.0030000000000001</v>
      </c>
      <c r="J557" s="1">
        <v>2.8454999999999999</v>
      </c>
    </row>
    <row r="558" spans="1:10" x14ac:dyDescent="0.3">
      <c r="A558" s="2">
        <v>43849</v>
      </c>
      <c r="B558" s="1">
        <v>1.1023000000000001</v>
      </c>
      <c r="C558" s="1">
        <v>1.3076000000000001</v>
      </c>
      <c r="D558" s="1">
        <v>0.14416076808857237</v>
      </c>
      <c r="E558" s="1">
        <v>14.56</v>
      </c>
      <c r="F558" s="1">
        <v>54.19</v>
      </c>
      <c r="G558" s="1">
        <f>VLOOKUP(A558,[1]黄金期货历史数据!$A:$B,2,)</f>
        <v>1575.2</v>
      </c>
      <c r="H558" s="1">
        <v>97.65</v>
      </c>
      <c r="I558" s="1">
        <v>1.893</v>
      </c>
      <c r="J558" s="1">
        <v>2.6840000000000002</v>
      </c>
    </row>
    <row r="559" spans="1:10" x14ac:dyDescent="0.3">
      <c r="A559" s="2">
        <v>43856</v>
      </c>
      <c r="B559" s="1">
        <v>1.1093</v>
      </c>
      <c r="C559" s="1">
        <v>1.3199000000000001</v>
      </c>
      <c r="D559" s="1">
        <v>0.14416076808857237</v>
      </c>
      <c r="E559" s="1">
        <v>18.84</v>
      </c>
      <c r="F559" s="1">
        <v>51.56</v>
      </c>
      <c r="G559" s="1">
        <f>VLOOKUP(A559,[1]黄金期货历史数据!$A:$B,2,)</f>
        <v>1587.9</v>
      </c>
      <c r="H559" s="1">
        <v>97.212999999999994</v>
      </c>
      <c r="I559" s="1">
        <v>1.841</v>
      </c>
      <c r="J559" s="1">
        <v>2.52</v>
      </c>
    </row>
    <row r="560" spans="1:10" x14ac:dyDescent="0.3">
      <c r="A560" s="2">
        <v>43863</v>
      </c>
      <c r="B560" s="1">
        <v>1.0943000000000001</v>
      </c>
      <c r="C560" s="1">
        <v>1.2890999999999999</v>
      </c>
      <c r="D560" s="1">
        <v>0.14282653717060631</v>
      </c>
      <c r="E560" s="1">
        <v>15.47</v>
      </c>
      <c r="F560" s="1">
        <v>50.32</v>
      </c>
      <c r="G560" s="1">
        <f>VLOOKUP(A560,[1]黄金期货历史数据!$A:$B,2,)</f>
        <v>1573.4</v>
      </c>
      <c r="H560" s="1">
        <v>98.570999999999998</v>
      </c>
      <c r="I560" s="1">
        <v>1.8580000000000001</v>
      </c>
      <c r="J560" s="1">
        <v>2.5569999999999999</v>
      </c>
    </row>
    <row r="561" spans="1:10" x14ac:dyDescent="0.3">
      <c r="A561" s="2">
        <v>43870</v>
      </c>
      <c r="B561" s="1">
        <v>1.083</v>
      </c>
      <c r="C561" s="1">
        <v>1.3046</v>
      </c>
      <c r="D561" s="1">
        <v>0.14312499105468804</v>
      </c>
      <c r="E561" s="1">
        <v>13.68</v>
      </c>
      <c r="F561" s="1">
        <v>52.05</v>
      </c>
      <c r="G561" s="1">
        <f>VLOOKUP(A561,[1]黄金期货历史数据!$A:$B,2,)</f>
        <v>1586.4</v>
      </c>
      <c r="H561" s="1">
        <v>99.003</v>
      </c>
      <c r="I561" s="1">
        <v>1.837</v>
      </c>
      <c r="J561" s="1">
        <v>2.6040000000000001</v>
      </c>
    </row>
    <row r="562" spans="1:10" x14ac:dyDescent="0.3">
      <c r="A562" s="2">
        <v>43877</v>
      </c>
      <c r="B562" s="1">
        <v>1.0843</v>
      </c>
      <c r="C562" s="1">
        <v>1.2968999999999999</v>
      </c>
      <c r="D562" s="1">
        <v>0.14230621451238776</v>
      </c>
      <c r="E562" s="1">
        <v>17.079999999999998</v>
      </c>
      <c r="F562" s="1">
        <v>53.38</v>
      </c>
      <c r="G562" s="1">
        <f>VLOOKUP(A562,[1]黄金期货历史数据!$A:$B,2,)</f>
        <v>1648.8</v>
      </c>
      <c r="H562" s="1">
        <v>99.188000000000002</v>
      </c>
      <c r="I562" s="1">
        <v>1.905</v>
      </c>
      <c r="J562" s="1">
        <v>2.6124999999999998</v>
      </c>
    </row>
    <row r="563" spans="1:10" x14ac:dyDescent="0.3">
      <c r="A563" s="2">
        <v>43884</v>
      </c>
      <c r="B563" s="1">
        <v>1.1025</v>
      </c>
      <c r="C563" s="1">
        <v>1.282</v>
      </c>
      <c r="D563" s="1">
        <v>0.14302264048398861</v>
      </c>
      <c r="E563" s="1">
        <v>40.11</v>
      </c>
      <c r="F563" s="1">
        <v>44.76</v>
      </c>
      <c r="G563" s="1">
        <f>VLOOKUP(A563,[1]黄金期货历史数据!$A:$B,2,)</f>
        <v>1569.3</v>
      </c>
      <c r="H563" s="1">
        <v>98.081000000000003</v>
      </c>
      <c r="I563" s="1">
        <v>1.6839999999999999</v>
      </c>
      <c r="J563" s="1">
        <v>2.54</v>
      </c>
    </row>
    <row r="564" spans="1:10" x14ac:dyDescent="0.3">
      <c r="A564" s="2">
        <v>43891</v>
      </c>
      <c r="B564" s="1">
        <v>1.1285000000000001</v>
      </c>
      <c r="C564" s="1">
        <v>1.3047</v>
      </c>
      <c r="D564" s="1">
        <v>0.14425643023037751</v>
      </c>
      <c r="E564" s="1">
        <v>41.94</v>
      </c>
      <c r="F564" s="1">
        <v>41.28</v>
      </c>
      <c r="G564" s="1">
        <f>VLOOKUP(A564,[1]黄金期货历史数据!$A:$B,2,)</f>
        <v>1674.3</v>
      </c>
      <c r="H564" s="1">
        <v>95.933999999999997</v>
      </c>
      <c r="I564" s="1">
        <v>1.708</v>
      </c>
      <c r="J564" s="1">
        <v>2.5605000000000002</v>
      </c>
    </row>
    <row r="565" spans="1:10" x14ac:dyDescent="0.3">
      <c r="A565" s="2">
        <v>43898</v>
      </c>
      <c r="B565" s="1">
        <v>1.1105</v>
      </c>
      <c r="C565" s="1">
        <v>1.2276</v>
      </c>
      <c r="D565" s="1">
        <v>0.14268184801529549</v>
      </c>
      <c r="E565" s="1">
        <v>57.83</v>
      </c>
      <c r="F565" s="1">
        <v>31.73</v>
      </c>
      <c r="G565" s="1">
        <f>VLOOKUP(A565,[1]黄金期货历史数据!$A:$B,2,)</f>
        <v>1518.2</v>
      </c>
      <c r="H565" s="1">
        <v>98.763999999999996</v>
      </c>
      <c r="I565" s="1">
        <v>1.869</v>
      </c>
      <c r="J565" s="1">
        <v>2.464</v>
      </c>
    </row>
    <row r="566" spans="1:10" x14ac:dyDescent="0.3">
      <c r="A566" s="2">
        <v>43905</v>
      </c>
      <c r="B566" s="1">
        <v>1.0693999999999999</v>
      </c>
      <c r="C566" s="1">
        <v>1.1640999999999999</v>
      </c>
      <c r="D566" s="1">
        <v>0.14092446448703494</v>
      </c>
      <c r="E566" s="1">
        <v>66.040000000000006</v>
      </c>
      <c r="F566" s="1">
        <v>22.43</v>
      </c>
      <c r="G566" s="1">
        <f>VLOOKUP(A566,[1]黄金期货历史数据!$A:$B,2,)</f>
        <v>1486.5</v>
      </c>
      <c r="H566" s="1">
        <v>103.502</v>
      </c>
      <c r="I566" s="1">
        <v>1.6040000000000001</v>
      </c>
      <c r="J566" s="1">
        <v>2.1715</v>
      </c>
    </row>
    <row r="567" spans="1:10" x14ac:dyDescent="0.3">
      <c r="A567" s="2">
        <v>43912</v>
      </c>
      <c r="B567" s="1">
        <v>1.1140000000000001</v>
      </c>
      <c r="C567" s="1">
        <v>1.2456</v>
      </c>
      <c r="D567" s="1">
        <v>0.14092049265804235</v>
      </c>
      <c r="E567" s="1">
        <v>65.540000000000006</v>
      </c>
      <c r="F567" s="1">
        <v>21.51</v>
      </c>
      <c r="G567" s="1">
        <f>VLOOKUP(A567,[1]黄金期货历史数据!$A:$B,2,)</f>
        <v>1641.3</v>
      </c>
      <c r="H567" s="1">
        <v>98.537000000000006</v>
      </c>
      <c r="I567" s="1">
        <v>1.6339999999999999</v>
      </c>
      <c r="J567" s="1">
        <v>2.1720000000000002</v>
      </c>
    </row>
    <row r="568" spans="1:10" x14ac:dyDescent="0.3">
      <c r="A568" s="2">
        <v>43919</v>
      </c>
      <c r="B568" s="1">
        <v>1.0808</v>
      </c>
      <c r="C568" s="1">
        <v>1.226</v>
      </c>
      <c r="D568" s="1">
        <v>0.14099003200473728</v>
      </c>
      <c r="E568" s="1">
        <v>46.8</v>
      </c>
      <c r="F568" s="1">
        <v>28.34</v>
      </c>
      <c r="G568" s="1">
        <f>VLOOKUP(A568,[1]黄金期货历史数据!$A:$B,2,)</f>
        <v>1645.7</v>
      </c>
      <c r="H568" s="1">
        <v>100.67700000000001</v>
      </c>
      <c r="I568" s="1">
        <v>1.621</v>
      </c>
      <c r="J568" s="1">
        <v>2.1955</v>
      </c>
    </row>
    <row r="569" spans="1:10" x14ac:dyDescent="0.3">
      <c r="A569" s="2">
        <v>43926</v>
      </c>
      <c r="B569" s="1">
        <v>1.0934999999999999</v>
      </c>
      <c r="C569" s="1">
        <v>1.2452000000000001</v>
      </c>
      <c r="D569" s="1">
        <v>0.14212620807276863</v>
      </c>
      <c r="E569" s="1">
        <v>41.67</v>
      </c>
      <c r="F569" s="1">
        <v>22.76</v>
      </c>
      <c r="G569" s="1">
        <f>VLOOKUP(A569,[1]黄金期货历史数据!$A:$B,2,)</f>
        <v>1752.8</v>
      </c>
      <c r="H569" s="1">
        <v>99.504000000000005</v>
      </c>
      <c r="I569" s="1">
        <v>1.7330000000000001</v>
      </c>
      <c r="J569" s="1">
        <v>2.2679999999999998</v>
      </c>
    </row>
    <row r="570" spans="1:10" x14ac:dyDescent="0.3">
      <c r="A570" s="2">
        <v>43933</v>
      </c>
      <c r="B570" s="1">
        <v>1.0875999999999999</v>
      </c>
      <c r="C570" s="1">
        <v>1.2499</v>
      </c>
      <c r="D570" s="1">
        <v>0.14138072415206909</v>
      </c>
      <c r="E570" s="1">
        <v>38.15</v>
      </c>
      <c r="F570" s="1">
        <v>18.27</v>
      </c>
      <c r="G570" s="1">
        <f>VLOOKUP(A570,[1]黄金期货历史数据!$A:$B,2,)</f>
        <v>1698.8</v>
      </c>
      <c r="H570" s="1">
        <v>99.835999999999999</v>
      </c>
      <c r="I570" s="1">
        <v>1.7529999999999999</v>
      </c>
      <c r="J570" s="1">
        <v>2.3540000000000001</v>
      </c>
    </row>
    <row r="571" spans="1:10" x14ac:dyDescent="0.3">
      <c r="A571" s="2">
        <v>43940</v>
      </c>
      <c r="B571" s="1">
        <v>1.0820000000000001</v>
      </c>
      <c r="C571" s="1">
        <v>1.2366999999999999</v>
      </c>
      <c r="D571" s="1">
        <v>0.1412050438441661</v>
      </c>
      <c r="E571" s="1">
        <v>35.93</v>
      </c>
      <c r="F571" s="1">
        <v>16.940000000000001</v>
      </c>
      <c r="G571" s="1">
        <f>VLOOKUP(A571,[1]黄金期货历史数据!$A:$B,2,)</f>
        <v>1735.6</v>
      </c>
      <c r="H571" s="1">
        <v>100.434</v>
      </c>
      <c r="I571" s="1">
        <v>1.746</v>
      </c>
      <c r="J571" s="1">
        <v>2.3374999999999999</v>
      </c>
    </row>
    <row r="572" spans="1:10" x14ac:dyDescent="0.3">
      <c r="A572" s="2">
        <v>43947</v>
      </c>
      <c r="B572" s="1">
        <v>1.0983000000000001</v>
      </c>
      <c r="C572" s="1">
        <v>1.2502</v>
      </c>
      <c r="D572" s="1">
        <v>0.14159893517600747</v>
      </c>
      <c r="E572" s="1">
        <v>37.19</v>
      </c>
      <c r="F572" s="1">
        <v>19.78</v>
      </c>
      <c r="G572" s="1">
        <f>VLOOKUP(A572,[1]黄金期货历史数据!$A:$B,2,)</f>
        <v>1704.4</v>
      </c>
      <c r="H572" s="1">
        <v>99.1</v>
      </c>
      <c r="I572" s="1">
        <v>1.89</v>
      </c>
      <c r="J572" s="1">
        <v>2.3119999999999998</v>
      </c>
    </row>
    <row r="573" spans="1:10" x14ac:dyDescent="0.3">
      <c r="A573" s="2">
        <v>43954</v>
      </c>
      <c r="B573" s="1">
        <v>1.0840000000000001</v>
      </c>
      <c r="C573" s="1">
        <v>1.2406999999999999</v>
      </c>
      <c r="D573" s="1">
        <v>0.14135874021090725</v>
      </c>
      <c r="E573" s="1">
        <v>27.98</v>
      </c>
      <c r="F573" s="1">
        <v>24.74</v>
      </c>
      <c r="G573" s="1">
        <f>VLOOKUP(A573,[1]黄金期货历史数据!$A:$B,2,)</f>
        <v>1719.3</v>
      </c>
      <c r="H573" s="1">
        <v>99.769000000000005</v>
      </c>
      <c r="I573" s="1">
        <v>1.823</v>
      </c>
      <c r="J573" s="1">
        <v>2.4060000000000001</v>
      </c>
    </row>
    <row r="574" spans="1:10" x14ac:dyDescent="0.3">
      <c r="A574" s="2">
        <v>43961</v>
      </c>
      <c r="B574" s="1">
        <v>1.0814999999999999</v>
      </c>
      <c r="C574" s="1">
        <v>1.2103999999999999</v>
      </c>
      <c r="D574" s="1">
        <v>0.14080342433927992</v>
      </c>
      <c r="E574" s="1">
        <v>31.89</v>
      </c>
      <c r="F574" s="1">
        <v>29.43</v>
      </c>
      <c r="G574" s="1">
        <f>VLOOKUP(A574,[1]黄金期货历史数据!$A:$B,2,)</f>
        <v>1761.5</v>
      </c>
      <c r="H574" s="1">
        <v>100.434</v>
      </c>
      <c r="I574" s="1">
        <v>1.6459999999999999</v>
      </c>
      <c r="J574" s="1">
        <v>2.3304999999999998</v>
      </c>
    </row>
    <row r="575" spans="1:10" x14ac:dyDescent="0.3">
      <c r="A575" s="2">
        <v>43968</v>
      </c>
      <c r="B575" s="1">
        <v>1.0900000000000001</v>
      </c>
      <c r="C575" s="1">
        <v>1.2163999999999999</v>
      </c>
      <c r="D575" s="1">
        <v>0.14024458655895883</v>
      </c>
      <c r="E575" s="1">
        <v>28.16</v>
      </c>
      <c r="F575" s="1">
        <v>33.25</v>
      </c>
      <c r="G575" s="1">
        <f>VLOOKUP(A575,[1]黄金期货历史数据!$A:$B,2,)</f>
        <v>1744.3</v>
      </c>
      <c r="H575" s="1">
        <v>99.888000000000005</v>
      </c>
      <c r="I575" s="1">
        <v>1.7310000000000001</v>
      </c>
      <c r="J575" s="1">
        <v>2.3864999999999998</v>
      </c>
    </row>
    <row r="576" spans="1:10" x14ac:dyDescent="0.3">
      <c r="A576" s="2">
        <v>43975</v>
      </c>
      <c r="B576" s="1">
        <v>1.1097999999999999</v>
      </c>
      <c r="C576" s="1">
        <v>1.2343999999999999</v>
      </c>
      <c r="D576" s="1">
        <v>0.14011096788656616</v>
      </c>
      <c r="E576" s="1">
        <v>27.51</v>
      </c>
      <c r="F576" s="1">
        <v>35.49</v>
      </c>
      <c r="G576" s="1">
        <f>VLOOKUP(A576,[1]黄金期货历史数据!$A:$B,2,)</f>
        <v>1751.7</v>
      </c>
      <c r="H576" s="1">
        <v>98.340999999999994</v>
      </c>
      <c r="I576" s="1">
        <v>1.849</v>
      </c>
      <c r="J576" s="1">
        <v>2.4344999999999999</v>
      </c>
    </row>
    <row r="577" spans="1:10" x14ac:dyDescent="0.3">
      <c r="A577" s="2">
        <v>43982</v>
      </c>
      <c r="B577" s="1">
        <v>1.1284000000000001</v>
      </c>
      <c r="C577" s="1">
        <v>1.2663</v>
      </c>
      <c r="D577" s="1">
        <v>0.14120304998587971</v>
      </c>
      <c r="E577" s="1">
        <v>24.52</v>
      </c>
      <c r="F577" s="1">
        <v>39.549999999999997</v>
      </c>
      <c r="G577" s="1">
        <f>VLOOKUP(A577,[1]黄金期货历史数据!$A:$B,2,)</f>
        <v>1683</v>
      </c>
      <c r="H577" s="1">
        <v>96.921999999999997</v>
      </c>
      <c r="I577" s="1">
        <v>1.782</v>
      </c>
      <c r="J577" s="1">
        <v>2.5630000000000002</v>
      </c>
    </row>
    <row r="578" spans="1:10" x14ac:dyDescent="0.3">
      <c r="A578" s="2">
        <v>43989</v>
      </c>
      <c r="B578" s="1">
        <v>1.1254</v>
      </c>
      <c r="C578" s="1">
        <v>1.254</v>
      </c>
      <c r="D578" s="1">
        <v>0.1411751418810176</v>
      </c>
      <c r="E578" s="1">
        <v>36.090000000000003</v>
      </c>
      <c r="F578" s="1">
        <v>36.26</v>
      </c>
      <c r="G578" s="1">
        <f>VLOOKUP(A578,[1]黄金期货历史数据!$A:$B,2,)</f>
        <v>1737.3</v>
      </c>
      <c r="H578" s="1">
        <v>97.305000000000007</v>
      </c>
      <c r="I578" s="1">
        <v>1.7310000000000001</v>
      </c>
      <c r="J578" s="1">
        <v>2.6105</v>
      </c>
    </row>
    <row r="579" spans="1:10" x14ac:dyDescent="0.3">
      <c r="A579" s="2">
        <v>43996</v>
      </c>
      <c r="B579" s="1">
        <v>1.1174999999999999</v>
      </c>
      <c r="C579" s="1">
        <v>1.2356</v>
      </c>
      <c r="D579" s="1">
        <v>0.14139671676823665</v>
      </c>
      <c r="E579" s="1">
        <v>35.119999999999997</v>
      </c>
      <c r="F579" s="1">
        <v>39.75</v>
      </c>
      <c r="G579" s="1">
        <f>VLOOKUP(A579,[1]黄金期货历史数据!$A:$B,2,)</f>
        <v>1753</v>
      </c>
      <c r="H579" s="1">
        <v>97.576999999999998</v>
      </c>
      <c r="I579" s="1">
        <v>1.669</v>
      </c>
      <c r="J579" s="1">
        <v>2.621</v>
      </c>
    </row>
    <row r="580" spans="1:10" x14ac:dyDescent="0.3">
      <c r="A580" s="2">
        <v>44003</v>
      </c>
      <c r="B580" s="1">
        <v>1.1216999999999999</v>
      </c>
      <c r="C580" s="1">
        <v>1.2333000000000001</v>
      </c>
      <c r="D580" s="1">
        <v>0.14127885620638014</v>
      </c>
      <c r="E580" s="1">
        <v>34.729999999999997</v>
      </c>
      <c r="F580" s="1">
        <v>38.49</v>
      </c>
      <c r="G580" s="1">
        <f>VLOOKUP(A580,[1]黄金期货历史数据!$A:$B,2,)</f>
        <v>1780.3</v>
      </c>
      <c r="H580" s="1">
        <v>97.403999999999996</v>
      </c>
      <c r="I580" s="1">
        <v>1.4950000000000001</v>
      </c>
      <c r="J580" s="1">
        <v>2.6715</v>
      </c>
    </row>
    <row r="581" spans="1:10" x14ac:dyDescent="0.3">
      <c r="A581" s="2">
        <v>44010</v>
      </c>
      <c r="B581" s="1">
        <v>1.1248</v>
      </c>
      <c r="C581" s="1">
        <v>1.2483</v>
      </c>
      <c r="D581" s="1">
        <v>0.1415167768138913</v>
      </c>
      <c r="E581" s="1">
        <v>27.68</v>
      </c>
      <c r="F581" s="1">
        <v>40.65</v>
      </c>
      <c r="G581" s="1">
        <f>VLOOKUP(A581,[1]黄金期货历史数据!$A:$B,2,)</f>
        <v>1795.8</v>
      </c>
      <c r="H581" s="1">
        <v>97.301000000000002</v>
      </c>
      <c r="I581" s="1">
        <v>1.734</v>
      </c>
      <c r="J581" s="1">
        <v>2.7484999999999999</v>
      </c>
    </row>
    <row r="582" spans="1:10" x14ac:dyDescent="0.3">
      <c r="A582" s="2">
        <v>44017</v>
      </c>
      <c r="B582" s="1">
        <v>1.1297999999999999</v>
      </c>
      <c r="C582" s="1">
        <v>1.262</v>
      </c>
      <c r="D582" s="1">
        <v>0.14282041760690109</v>
      </c>
      <c r="E582" s="1">
        <v>27.29</v>
      </c>
      <c r="F582" s="1">
        <v>40.549999999999997</v>
      </c>
      <c r="G582" s="1">
        <f>VLOOKUP(A582,[1]黄金期货历史数据!$A:$B,2,)</f>
        <v>1808.6</v>
      </c>
      <c r="H582" s="1">
        <v>96.614000000000004</v>
      </c>
      <c r="I582" s="1">
        <v>1.8049999999999999</v>
      </c>
      <c r="J582" s="1">
        <v>2.8975</v>
      </c>
    </row>
    <row r="583" spans="1:10" x14ac:dyDescent="0.3">
      <c r="A583" s="2">
        <v>44024</v>
      </c>
      <c r="B583" s="1">
        <v>1.1426000000000001</v>
      </c>
      <c r="C583" s="1">
        <v>1.2565</v>
      </c>
      <c r="D583" s="1">
        <v>0.14301241347748986</v>
      </c>
      <c r="E583" s="1">
        <v>25.68</v>
      </c>
      <c r="F583" s="1">
        <v>40.590000000000003</v>
      </c>
      <c r="G583" s="1">
        <f>VLOOKUP(A583,[1]黄金期货历史数据!$A:$B,2,)</f>
        <v>1816</v>
      </c>
      <c r="H583" s="1">
        <v>95.888999999999996</v>
      </c>
      <c r="I583" s="1">
        <v>1.718</v>
      </c>
      <c r="J583" s="1">
        <v>2.9045000000000001</v>
      </c>
    </row>
    <row r="584" spans="1:10" x14ac:dyDescent="0.3">
      <c r="A584" s="2">
        <v>44031</v>
      </c>
      <c r="B584" s="1">
        <v>1.1654</v>
      </c>
      <c r="C584" s="1">
        <v>1.2788999999999999</v>
      </c>
      <c r="D584" s="1">
        <v>0.14251307557468398</v>
      </c>
      <c r="E584" s="1">
        <v>25.84</v>
      </c>
      <c r="F584" s="1">
        <v>41.29</v>
      </c>
      <c r="G584" s="1">
        <f>VLOOKUP(A584,[1]黄金期货历史数据!$A:$B,2,)</f>
        <v>1902.5</v>
      </c>
      <c r="H584" s="1">
        <v>94.38</v>
      </c>
      <c r="I584" s="1">
        <v>1.8080000000000001</v>
      </c>
      <c r="J584" s="1">
        <v>2.8925000000000001</v>
      </c>
    </row>
    <row r="585" spans="1:10" x14ac:dyDescent="0.3">
      <c r="A585" s="2">
        <v>44038</v>
      </c>
      <c r="B585" s="1">
        <v>1.1774</v>
      </c>
      <c r="C585" s="1">
        <v>1.3088</v>
      </c>
      <c r="D585" s="1">
        <v>0.1433650648010093</v>
      </c>
      <c r="E585" s="1">
        <v>24.46</v>
      </c>
      <c r="F585" s="1">
        <v>40.270000000000003</v>
      </c>
      <c r="G585" s="1">
        <f>VLOOKUP(A585,[1]黄金期货历史数据!$A:$B,2,)</f>
        <v>1973.9</v>
      </c>
      <c r="H585" s="1">
        <v>93.320999999999998</v>
      </c>
      <c r="I585" s="1">
        <v>1.7989999999999999</v>
      </c>
      <c r="J585" s="1">
        <v>2.8769999999999998</v>
      </c>
    </row>
    <row r="586" spans="1:10" x14ac:dyDescent="0.3">
      <c r="A586" s="2">
        <v>44045</v>
      </c>
      <c r="B586" s="1">
        <v>1.1786000000000001</v>
      </c>
      <c r="C586" s="1">
        <v>1.3050999999999999</v>
      </c>
      <c r="D586" s="1">
        <v>0.14351320321469574</v>
      </c>
      <c r="E586" s="1">
        <v>22.21</v>
      </c>
      <c r="F586" s="1">
        <v>41.22</v>
      </c>
      <c r="G586" s="1">
        <f>VLOOKUP(A586,[1]黄金期货历史数据!$A:$B,2,)</f>
        <v>2018</v>
      </c>
      <c r="H586" s="1">
        <v>93.412000000000006</v>
      </c>
      <c r="I586" s="1">
        <v>2.238</v>
      </c>
      <c r="J586" s="1">
        <v>2.802</v>
      </c>
    </row>
    <row r="587" spans="1:10" x14ac:dyDescent="0.3">
      <c r="A587" s="2">
        <v>44052</v>
      </c>
      <c r="B587" s="1">
        <v>1.1840999999999999</v>
      </c>
      <c r="C587" s="1">
        <v>1.3084</v>
      </c>
      <c r="D587" s="1">
        <v>0.14387661141804789</v>
      </c>
      <c r="E587" s="1">
        <v>22.05</v>
      </c>
      <c r="F587" s="1">
        <v>42.01</v>
      </c>
      <c r="G587" s="1">
        <f>VLOOKUP(A587,[1]黄金期货历史数据!$A:$B,2,)</f>
        <v>1942.3</v>
      </c>
      <c r="H587" s="1">
        <v>93.084999999999994</v>
      </c>
      <c r="I587" s="1">
        <v>2.3559999999999999</v>
      </c>
      <c r="J587" s="1">
        <v>2.8679999999999999</v>
      </c>
    </row>
    <row r="588" spans="1:10" x14ac:dyDescent="0.3">
      <c r="A588" s="2">
        <v>44059</v>
      </c>
      <c r="B588" s="1">
        <v>1.1795</v>
      </c>
      <c r="C588" s="1">
        <v>1.3087</v>
      </c>
      <c r="D588" s="1">
        <v>0.1445191126526483</v>
      </c>
      <c r="E588" s="1">
        <v>22.54</v>
      </c>
      <c r="F588" s="1">
        <v>42.34</v>
      </c>
      <c r="G588" s="1">
        <f>VLOOKUP(A588,[1]黄金期货历史数据!$A:$B,2,)</f>
        <v>1938.3</v>
      </c>
      <c r="H588" s="1">
        <v>93.24</v>
      </c>
      <c r="I588" s="1">
        <v>2.448</v>
      </c>
      <c r="J588" s="1">
        <v>2.9239999999999999</v>
      </c>
    </row>
    <row r="589" spans="1:10" x14ac:dyDescent="0.3">
      <c r="A589" s="2">
        <v>44066</v>
      </c>
      <c r="B589" s="1">
        <v>1.1902999999999999</v>
      </c>
      <c r="C589" s="1">
        <v>1.3349</v>
      </c>
      <c r="D589" s="1">
        <v>0.14565793690098172</v>
      </c>
      <c r="E589" s="1">
        <v>22.96</v>
      </c>
      <c r="F589" s="1">
        <v>42.97</v>
      </c>
      <c r="G589" s="1">
        <f>VLOOKUP(A589,[1]黄金期货历史数据!$A:$B,2,)</f>
        <v>1970.8</v>
      </c>
      <c r="H589" s="1">
        <v>92.379000000000005</v>
      </c>
      <c r="I589" s="1">
        <v>2.657</v>
      </c>
      <c r="J589" s="1">
        <v>3.012</v>
      </c>
    </row>
    <row r="590" spans="1:10" x14ac:dyDescent="0.3">
      <c r="A590" s="2">
        <v>44073</v>
      </c>
      <c r="B590" s="1">
        <v>1.1838</v>
      </c>
      <c r="C590" s="1">
        <v>1.3282</v>
      </c>
      <c r="D590" s="1">
        <v>0.14614541468761416</v>
      </c>
      <c r="E590" s="1">
        <v>30.75</v>
      </c>
      <c r="F590" s="1">
        <v>39.770000000000003</v>
      </c>
      <c r="G590" s="1">
        <f>VLOOKUP(A590,[1]黄金期货历史数据!$A:$B,2,)</f>
        <v>1930.6</v>
      </c>
      <c r="H590" s="1">
        <v>92.718999999999994</v>
      </c>
      <c r="I590" s="1">
        <v>2.5880000000000001</v>
      </c>
      <c r="J590" s="1">
        <v>3.056</v>
      </c>
    </row>
    <row r="591" spans="1:10" x14ac:dyDescent="0.3">
      <c r="A591" s="2">
        <v>44080</v>
      </c>
      <c r="B591" s="1">
        <v>1.1845000000000001</v>
      </c>
      <c r="C591" s="1">
        <v>1.2793000000000001</v>
      </c>
      <c r="D591" s="1">
        <v>0.14631862343439073</v>
      </c>
      <c r="E591" s="1">
        <v>26.87</v>
      </c>
      <c r="F591" s="1">
        <v>37.33</v>
      </c>
      <c r="G591" s="1">
        <f>VLOOKUP(A591,[1]黄金期货历史数据!$A:$B,2,)</f>
        <v>1943.3</v>
      </c>
      <c r="H591" s="1">
        <v>93.32</v>
      </c>
      <c r="I591" s="1">
        <v>2.2690000000000001</v>
      </c>
      <c r="J591" s="1">
        <v>3.036</v>
      </c>
    </row>
    <row r="592" spans="1:10" x14ac:dyDescent="0.3">
      <c r="A592" s="2">
        <v>44087</v>
      </c>
      <c r="B592" s="1">
        <v>1.1837</v>
      </c>
      <c r="C592" s="1">
        <v>1.2915000000000001</v>
      </c>
      <c r="D592" s="1">
        <v>0.14772576189561698</v>
      </c>
      <c r="E592" s="1">
        <v>25.83</v>
      </c>
      <c r="F592" s="1">
        <v>41.11</v>
      </c>
      <c r="G592" s="1">
        <f>VLOOKUP(A592,[1]黄金期货历史数据!$A:$B,2,)</f>
        <v>1957.5</v>
      </c>
      <c r="H592" s="1">
        <v>92.951999999999998</v>
      </c>
      <c r="I592" s="1">
        <v>2.048</v>
      </c>
      <c r="J592" s="1">
        <v>3.1139999999999999</v>
      </c>
    </row>
    <row r="593" spans="1:10" x14ac:dyDescent="0.3">
      <c r="A593" s="2">
        <v>44094</v>
      </c>
      <c r="B593" s="1">
        <v>1.163</v>
      </c>
      <c r="C593" s="1">
        <v>1.2745</v>
      </c>
      <c r="D593" s="1">
        <v>0.14654591283449103</v>
      </c>
      <c r="E593" s="1">
        <v>26.38</v>
      </c>
      <c r="F593" s="1">
        <v>40.25</v>
      </c>
      <c r="G593" s="1">
        <f>VLOOKUP(A593,[1]黄金期货历史数据!$A:$B,2,)</f>
        <v>1862.2</v>
      </c>
      <c r="H593" s="1">
        <v>94.682000000000002</v>
      </c>
      <c r="I593" s="1">
        <v>2.1389999999999998</v>
      </c>
      <c r="J593" s="1">
        <v>2.9714999999999998</v>
      </c>
    </row>
    <row r="594" spans="1:10" x14ac:dyDescent="0.3">
      <c r="A594" s="2">
        <v>44101</v>
      </c>
      <c r="B594" s="1">
        <v>1.1713</v>
      </c>
      <c r="C594" s="1">
        <v>1.2930999999999999</v>
      </c>
      <c r="D594" s="1">
        <v>0.14725805501560935</v>
      </c>
      <c r="E594" s="1">
        <v>27.63</v>
      </c>
      <c r="F594" s="1">
        <v>37.049999999999997</v>
      </c>
      <c r="G594" s="1">
        <f>VLOOKUP(A594,[1]黄金期货历史数据!$A:$B,2,)</f>
        <v>1907.6</v>
      </c>
      <c r="H594" s="1">
        <v>93.909000000000006</v>
      </c>
      <c r="I594" s="1">
        <v>2.4380000000000002</v>
      </c>
      <c r="J594" s="1">
        <v>2.9775</v>
      </c>
    </row>
    <row r="595" spans="1:10" x14ac:dyDescent="0.3">
      <c r="A595" s="2">
        <v>44108</v>
      </c>
      <c r="B595" s="1">
        <v>1.1823999999999999</v>
      </c>
      <c r="C595" s="1">
        <v>1.3046</v>
      </c>
      <c r="D595" s="1">
        <v>0.14937189119751446</v>
      </c>
      <c r="E595" s="1">
        <v>25</v>
      </c>
      <c r="F595" s="1">
        <v>40.6</v>
      </c>
      <c r="G595" s="1">
        <f>VLOOKUP(A595,[1]黄金期货历史数据!$A:$B,2,)</f>
        <v>1926.2</v>
      </c>
      <c r="H595" s="1">
        <v>93.064999999999998</v>
      </c>
      <c r="I595" s="1">
        <v>2.7410000000000001</v>
      </c>
      <c r="J595" s="1">
        <v>3.0825</v>
      </c>
    </row>
    <row r="596" spans="1:10" x14ac:dyDescent="0.3">
      <c r="A596" s="2">
        <v>44115</v>
      </c>
      <c r="B596" s="1">
        <v>1.1718</v>
      </c>
      <c r="C596" s="1">
        <v>1.2912999999999999</v>
      </c>
      <c r="D596" s="1">
        <v>0.14930721452460582</v>
      </c>
      <c r="E596" s="1">
        <v>27.41</v>
      </c>
      <c r="F596" s="1">
        <v>40.880000000000003</v>
      </c>
      <c r="G596" s="1">
        <f>VLOOKUP(A596,[1]黄金期货历史数据!$A:$B,2,)</f>
        <v>1906.4</v>
      </c>
      <c r="H596" s="1">
        <v>93.679000000000002</v>
      </c>
      <c r="I596" s="1">
        <v>2.7730000000000001</v>
      </c>
      <c r="J596" s="1">
        <v>3.0674999999999999</v>
      </c>
    </row>
    <row r="597" spans="1:10" x14ac:dyDescent="0.3">
      <c r="A597" s="2">
        <v>44122</v>
      </c>
      <c r="B597" s="1">
        <v>1.1859</v>
      </c>
      <c r="C597" s="1">
        <v>1.304</v>
      </c>
      <c r="D597" s="1">
        <v>0.14954836394089849</v>
      </c>
      <c r="E597" s="1">
        <v>27.55</v>
      </c>
      <c r="F597" s="1">
        <v>39.85</v>
      </c>
      <c r="G597" s="1">
        <f>VLOOKUP(A597,[1]黄金期货历史数据!$A:$B,2,)</f>
        <v>1905.2</v>
      </c>
      <c r="H597" s="1">
        <v>92.765000000000001</v>
      </c>
      <c r="I597" s="1">
        <v>2.9710000000000001</v>
      </c>
      <c r="J597" s="1">
        <v>3.129</v>
      </c>
    </row>
    <row r="598" spans="1:10" x14ac:dyDescent="0.3">
      <c r="A598" s="2">
        <v>44129</v>
      </c>
      <c r="B598" s="1">
        <v>1.1647000000000001</v>
      </c>
      <c r="C598" s="1">
        <v>1.2941</v>
      </c>
      <c r="D598" s="1">
        <v>0.14941652845637785</v>
      </c>
      <c r="E598" s="1">
        <v>38.020000000000003</v>
      </c>
      <c r="F598" s="1">
        <v>35.79</v>
      </c>
      <c r="G598" s="1">
        <f>VLOOKUP(A598,[1]黄金期货历史数据!$A:$B,2,)</f>
        <v>1883.5</v>
      </c>
      <c r="H598" s="1">
        <v>94.042000000000002</v>
      </c>
      <c r="I598" s="1">
        <v>3.3540000000000001</v>
      </c>
      <c r="J598" s="1">
        <v>3.0514999999999999</v>
      </c>
    </row>
    <row r="599" spans="1:10" x14ac:dyDescent="0.3">
      <c r="A599" s="2">
        <v>44136</v>
      </c>
      <c r="B599" s="1">
        <v>1.1872</v>
      </c>
      <c r="C599" s="1">
        <v>1.3156000000000001</v>
      </c>
      <c r="D599" s="1">
        <v>0.15125160704832488</v>
      </c>
      <c r="E599" s="1">
        <v>24.86</v>
      </c>
      <c r="F599" s="1">
        <v>37.14</v>
      </c>
      <c r="G599" s="1">
        <f>VLOOKUP(A599,[1]黄金期货历史数据!$A:$B,2,)</f>
        <v>1955.3</v>
      </c>
      <c r="H599" s="1">
        <v>92.224999999999994</v>
      </c>
      <c r="I599" s="1">
        <v>2.8879999999999999</v>
      </c>
      <c r="J599" s="1">
        <v>3.157</v>
      </c>
    </row>
    <row r="600" spans="1:10" x14ac:dyDescent="0.3">
      <c r="A600" s="2">
        <v>44143</v>
      </c>
      <c r="B600" s="1">
        <v>1.1832</v>
      </c>
      <c r="C600" s="1">
        <v>1.3186</v>
      </c>
      <c r="D600" s="1">
        <v>0.15136607886172709</v>
      </c>
      <c r="E600" s="1">
        <v>23.1</v>
      </c>
      <c r="F600" s="1">
        <v>40.130000000000003</v>
      </c>
      <c r="G600" s="1">
        <f>VLOOKUP(A600,[1]黄金期货历史数据!$A:$B,2,)</f>
        <v>1890.7</v>
      </c>
      <c r="H600" s="1">
        <v>92.75</v>
      </c>
      <c r="I600" s="1">
        <v>2.9950000000000001</v>
      </c>
      <c r="J600" s="1">
        <v>3.1804999999999999</v>
      </c>
    </row>
    <row r="601" spans="1:10" x14ac:dyDescent="0.3">
      <c r="A601" s="2">
        <v>44150</v>
      </c>
      <c r="B601" s="1">
        <v>1.1853</v>
      </c>
      <c r="C601" s="1">
        <v>1.3282</v>
      </c>
      <c r="D601" s="1">
        <v>0.15236934328813043</v>
      </c>
      <c r="E601" s="1">
        <v>23.7</v>
      </c>
      <c r="F601" s="1">
        <v>42.15</v>
      </c>
      <c r="G601" s="1">
        <f>VLOOKUP(A601,[1]黄金期货历史数据!$A:$B,2,)</f>
        <v>1875.7</v>
      </c>
      <c r="H601" s="1">
        <v>92.394999999999996</v>
      </c>
      <c r="I601" s="1">
        <v>2.65</v>
      </c>
      <c r="J601" s="1">
        <v>3.2974999999999999</v>
      </c>
    </row>
    <row r="602" spans="1:10" x14ac:dyDescent="0.3">
      <c r="A602" s="2">
        <v>44157</v>
      </c>
      <c r="B602" s="1">
        <v>1.1961999999999999</v>
      </c>
      <c r="C602" s="1">
        <v>1.3313999999999999</v>
      </c>
      <c r="D602" s="1">
        <v>0.15204731712508932</v>
      </c>
      <c r="E602" s="1">
        <v>20.84</v>
      </c>
      <c r="F602" s="1">
        <v>45.53</v>
      </c>
      <c r="G602" s="1">
        <f>VLOOKUP(A602,[1]黄金期货历史数据!$A:$B,2,)</f>
        <v>1788.1</v>
      </c>
      <c r="H602" s="1">
        <v>91.801000000000002</v>
      </c>
      <c r="I602" s="1">
        <v>2.843</v>
      </c>
      <c r="J602" s="1">
        <v>3.4119999999999999</v>
      </c>
    </row>
    <row r="603" spans="1:10" x14ac:dyDescent="0.3">
      <c r="A603" s="2">
        <v>44164</v>
      </c>
      <c r="B603" s="1">
        <v>1.212</v>
      </c>
      <c r="C603" s="1">
        <v>1.3436999999999999</v>
      </c>
      <c r="D603" s="1">
        <v>0.15310184334619389</v>
      </c>
      <c r="E603" s="1">
        <v>20.79</v>
      </c>
      <c r="F603" s="1">
        <v>46.26</v>
      </c>
      <c r="G603" s="1">
        <f>VLOOKUP(A603,[1]黄金期货历史数据!$A:$B,2,)</f>
        <v>1840</v>
      </c>
      <c r="H603" s="1">
        <v>90.694000000000003</v>
      </c>
      <c r="I603" s="1">
        <v>2.5750000000000002</v>
      </c>
      <c r="J603" s="1">
        <v>3.5209999999999999</v>
      </c>
    </row>
    <row r="604" spans="1:10" x14ac:dyDescent="0.3">
      <c r="A604" s="2">
        <v>44171</v>
      </c>
      <c r="B604" s="1">
        <v>1.2111000000000001</v>
      </c>
      <c r="C604" s="1">
        <v>1.3223</v>
      </c>
      <c r="D604" s="1">
        <v>0.15275804653010097</v>
      </c>
      <c r="E604" s="1">
        <v>23.31</v>
      </c>
      <c r="F604" s="1">
        <v>46.57</v>
      </c>
      <c r="G604" s="1">
        <f>VLOOKUP(A604,[1]黄金期货历史数据!$A:$B,2,)</f>
        <v>1843.6</v>
      </c>
      <c r="H604" s="1">
        <v>90.97</v>
      </c>
      <c r="I604" s="1">
        <v>2.5910000000000002</v>
      </c>
      <c r="J604" s="1">
        <v>3.5259999999999998</v>
      </c>
    </row>
    <row r="605" spans="1:10" x14ac:dyDescent="0.3">
      <c r="A605" s="2">
        <v>44178</v>
      </c>
      <c r="B605" s="1">
        <v>1.2255</v>
      </c>
      <c r="C605" s="1">
        <v>1.3520000000000001</v>
      </c>
      <c r="D605" s="1">
        <v>0.15296133137542828</v>
      </c>
      <c r="E605" s="1">
        <v>21.57</v>
      </c>
      <c r="F605" s="1">
        <v>49.1</v>
      </c>
      <c r="G605" s="1">
        <f>VLOOKUP(A605,[1]黄金期货历史数据!$A:$B,2,)</f>
        <v>1888.9</v>
      </c>
      <c r="H605" s="1">
        <v>89.953000000000003</v>
      </c>
      <c r="I605" s="1">
        <v>2.7</v>
      </c>
      <c r="J605" s="1">
        <v>3.63</v>
      </c>
    </row>
    <row r="606" spans="1:10" x14ac:dyDescent="0.3">
      <c r="A606" s="2">
        <v>44185</v>
      </c>
      <c r="B606" s="1">
        <v>1.2203999999999999</v>
      </c>
      <c r="C606" s="1">
        <v>1.3548</v>
      </c>
      <c r="D606" s="1">
        <v>0.15286312635666024</v>
      </c>
      <c r="E606" s="1">
        <v>21.53</v>
      </c>
      <c r="F606" s="1">
        <v>48.23</v>
      </c>
      <c r="G606" s="1">
        <f>VLOOKUP(A606,[1]黄金期货历史数据!$A:$B,2,)</f>
        <v>1883.2</v>
      </c>
      <c r="H606" s="1">
        <v>90.25</v>
      </c>
      <c r="I606" s="1">
        <v>2.5179999999999998</v>
      </c>
      <c r="J606" s="1">
        <v>3.5615000000000001</v>
      </c>
    </row>
    <row r="607" spans="1:10" x14ac:dyDescent="0.3">
      <c r="A607" s="2">
        <v>44192</v>
      </c>
      <c r="B607" s="1">
        <v>1.2212000000000001</v>
      </c>
      <c r="C607" s="1">
        <v>1.3671</v>
      </c>
      <c r="D607" s="1">
        <v>0.15321678643112138</v>
      </c>
      <c r="E607" s="1">
        <v>22.75</v>
      </c>
      <c r="F607" s="1">
        <v>48.52</v>
      </c>
      <c r="G607" s="1">
        <f>VLOOKUP(A607,[1]黄金期货历史数据!$A:$B,2,)</f>
        <v>1897.3</v>
      </c>
      <c r="H607" s="1">
        <v>89.894000000000005</v>
      </c>
      <c r="I607" s="1">
        <v>2.5390000000000001</v>
      </c>
      <c r="J607" s="1">
        <v>3.5190000000000001</v>
      </c>
    </row>
    <row r="608" spans="1:10" x14ac:dyDescent="0.3">
      <c r="A608" s="2">
        <v>44199</v>
      </c>
      <c r="B608" s="1">
        <v>1.2218</v>
      </c>
      <c r="C608" s="1">
        <v>1.3563000000000001</v>
      </c>
      <c r="D608" s="1">
        <v>0.15442822948034901</v>
      </c>
      <c r="E608" s="1">
        <v>21.56</v>
      </c>
      <c r="F608" s="1">
        <v>52.24</v>
      </c>
      <c r="G608" s="1">
        <f>VLOOKUP(A608,[1]黄金期货历史数据!$A:$B,2,)</f>
        <v>1837.3</v>
      </c>
      <c r="H608" s="1">
        <v>90.067999999999998</v>
      </c>
      <c r="I608" s="1">
        <v>2.7</v>
      </c>
      <c r="J608" s="1">
        <v>3.6735000000000002</v>
      </c>
    </row>
    <row r="609" spans="1:10" x14ac:dyDescent="0.3">
      <c r="A609" s="2">
        <v>44206</v>
      </c>
      <c r="B609" s="1">
        <v>1.2078</v>
      </c>
      <c r="C609" s="1">
        <v>1.3586</v>
      </c>
      <c r="D609" s="1">
        <v>0.15429955716027094</v>
      </c>
      <c r="E609" s="1">
        <v>24.34</v>
      </c>
      <c r="F609" s="1">
        <v>52.36</v>
      </c>
      <c r="G609" s="1">
        <f>VLOOKUP(A609,[1]黄金期货历史数据!$A:$B,2,)</f>
        <v>1831.7</v>
      </c>
      <c r="H609" s="1">
        <v>90.754000000000005</v>
      </c>
      <c r="I609" s="1">
        <v>2.7370000000000001</v>
      </c>
      <c r="J609" s="1">
        <v>3.6019999999999999</v>
      </c>
    </row>
    <row r="610" spans="1:10" x14ac:dyDescent="0.3">
      <c r="A610" s="2">
        <v>44213</v>
      </c>
      <c r="B610" s="1">
        <v>1.2166999999999999</v>
      </c>
      <c r="C610" s="1">
        <v>1.3684000000000001</v>
      </c>
      <c r="D610" s="1">
        <v>0.15427575247998271</v>
      </c>
      <c r="E610" s="1">
        <v>21.91</v>
      </c>
      <c r="F610" s="1">
        <v>52.27</v>
      </c>
      <c r="G610" s="1">
        <f>VLOOKUP(A610,[1]黄金期货历史数据!$A:$B,2,)</f>
        <v>1857.9</v>
      </c>
      <c r="H610" s="1">
        <v>90.212000000000003</v>
      </c>
      <c r="I610" s="1">
        <v>2.4460000000000002</v>
      </c>
      <c r="J610" s="1">
        <v>3.6259999999999999</v>
      </c>
    </row>
    <row r="611" spans="1:10" x14ac:dyDescent="0.3">
      <c r="A611" s="2">
        <v>44220</v>
      </c>
      <c r="B611" s="1">
        <v>1.2136</v>
      </c>
      <c r="C611" s="1">
        <v>1.3702000000000001</v>
      </c>
      <c r="D611" s="1">
        <v>0.15557664483407752</v>
      </c>
      <c r="E611" s="1">
        <v>33.090000000000003</v>
      </c>
      <c r="F611" s="1">
        <v>52.2</v>
      </c>
      <c r="G611" s="1">
        <f>VLOOKUP(A611,[1]黄金期货历史数据!$A:$B,2,)</f>
        <v>1850.3</v>
      </c>
      <c r="H611" s="1">
        <v>90.569000000000003</v>
      </c>
      <c r="I611" s="1">
        <v>2.5640000000000001</v>
      </c>
      <c r="J611" s="1">
        <v>3.5579999999999998</v>
      </c>
    </row>
    <row r="612" spans="1:10" x14ac:dyDescent="0.3">
      <c r="A612" s="2">
        <v>44227</v>
      </c>
      <c r="B612" s="1">
        <v>1.2041999999999999</v>
      </c>
      <c r="C612" s="1">
        <v>1.3733</v>
      </c>
      <c r="D612" s="1">
        <v>0.15463837815268994</v>
      </c>
      <c r="E612" s="1">
        <v>20.87</v>
      </c>
      <c r="F612" s="1">
        <v>56.85</v>
      </c>
      <c r="G612" s="1">
        <f>VLOOKUP(A612,[1]黄金期货历史数据!$A:$B,2,)</f>
        <v>1813</v>
      </c>
      <c r="H612" s="1">
        <v>91.031999999999996</v>
      </c>
      <c r="I612" s="1">
        <v>2.863</v>
      </c>
      <c r="J612" s="1">
        <v>3.6269999999999998</v>
      </c>
    </row>
    <row r="613" spans="1:10" x14ac:dyDescent="0.3">
      <c r="A613" s="2">
        <v>44234</v>
      </c>
      <c r="B613" s="1">
        <v>1.2118</v>
      </c>
      <c r="C613" s="1">
        <v>1.3844000000000001</v>
      </c>
      <c r="D613" s="1">
        <v>0.15484190641355178</v>
      </c>
      <c r="E613" s="1">
        <v>19.97</v>
      </c>
      <c r="F613" s="1">
        <v>59.47</v>
      </c>
      <c r="G613" s="1">
        <f>VLOOKUP(A613,[1]黄金期货历史数据!$A:$B,2,)</f>
        <v>1823.2</v>
      </c>
      <c r="H613" s="1">
        <v>90.47</v>
      </c>
      <c r="I613" s="1">
        <v>2.9119999999999999</v>
      </c>
      <c r="J613" s="1">
        <v>3.7875000000000001</v>
      </c>
    </row>
    <row r="614" spans="1:10" x14ac:dyDescent="0.3">
      <c r="A614" s="2">
        <v>44241</v>
      </c>
      <c r="B614" s="1">
        <v>1.2117</v>
      </c>
      <c r="C614" s="1">
        <v>1.4014</v>
      </c>
      <c r="D614" s="1">
        <v>0.15485389534973754</v>
      </c>
      <c r="E614" s="1">
        <v>22.05</v>
      </c>
      <c r="F614" s="1">
        <v>59.24</v>
      </c>
      <c r="G614" s="1">
        <f>VLOOKUP(A614,[1]黄金期货历史数据!$A:$B,2,)</f>
        <v>1777.4</v>
      </c>
      <c r="H614" s="1">
        <v>90.363</v>
      </c>
      <c r="I614" s="1">
        <v>3.069</v>
      </c>
      <c r="J614" s="1">
        <v>4.077</v>
      </c>
    </row>
    <row r="615" spans="1:10" x14ac:dyDescent="0.3">
      <c r="A615" s="2">
        <v>44248</v>
      </c>
      <c r="B615" s="1">
        <v>1.2074</v>
      </c>
      <c r="C615" s="1">
        <v>1.3932</v>
      </c>
      <c r="D615" s="1">
        <v>0.1544377693008602</v>
      </c>
      <c r="E615" s="1">
        <v>27.95</v>
      </c>
      <c r="F615" s="1">
        <v>61.5</v>
      </c>
      <c r="G615" s="1">
        <f>VLOOKUP(A615,[1]黄金期货历史数据!$A:$B,2,)</f>
        <v>1730.1</v>
      </c>
      <c r="H615" s="1">
        <v>90.882000000000005</v>
      </c>
      <c r="I615" s="1">
        <v>2.7709999999999999</v>
      </c>
      <c r="J615" s="1">
        <v>4.0925000000000002</v>
      </c>
    </row>
    <row r="616" spans="1:10" x14ac:dyDescent="0.3">
      <c r="A616" s="2">
        <v>44255</v>
      </c>
      <c r="B616" s="1">
        <v>1.1917</v>
      </c>
      <c r="C616" s="1">
        <v>1.3841000000000001</v>
      </c>
      <c r="D616" s="1">
        <v>0.15392193079669991</v>
      </c>
      <c r="E616" s="1">
        <v>24.66</v>
      </c>
      <c r="F616" s="1">
        <v>66.09</v>
      </c>
      <c r="G616" s="1">
        <f>VLOOKUP(A616,[1]黄金期货历史数据!$A:$B,2,)</f>
        <v>1700.3</v>
      </c>
      <c r="H616" s="1">
        <v>91.99</v>
      </c>
      <c r="I616" s="1">
        <v>2.7010000000000001</v>
      </c>
      <c r="J616" s="1">
        <v>4.0754999999999999</v>
      </c>
    </row>
    <row r="617" spans="1:10" x14ac:dyDescent="0.3">
      <c r="A617" s="2">
        <v>44262</v>
      </c>
      <c r="B617" s="1">
        <v>1.1952</v>
      </c>
      <c r="C617" s="1">
        <v>1.3922000000000001</v>
      </c>
      <c r="D617" s="1">
        <v>0.15364759387867985</v>
      </c>
      <c r="E617" s="1">
        <v>20.69</v>
      </c>
      <c r="F617" s="1">
        <v>65.61</v>
      </c>
      <c r="G617" s="1">
        <f>VLOOKUP(A617,[1]黄金期货历史数据!$A:$B,2,)</f>
        <v>1721.2</v>
      </c>
      <c r="H617" s="1">
        <v>91.677999999999997</v>
      </c>
      <c r="I617" s="1">
        <v>2.6</v>
      </c>
      <c r="J617" s="1">
        <v>4.1399999999999997</v>
      </c>
    </row>
    <row r="618" spans="1:10" x14ac:dyDescent="0.3">
      <c r="A618" s="2">
        <v>44269</v>
      </c>
      <c r="B618" s="1">
        <v>1.1902999999999999</v>
      </c>
      <c r="C618" s="1">
        <v>1.3868</v>
      </c>
      <c r="D618" s="1">
        <v>0.15363343063450607</v>
      </c>
      <c r="E618" s="1">
        <v>20.95</v>
      </c>
      <c r="F618" s="1">
        <v>61.42</v>
      </c>
      <c r="G618" s="1">
        <f>VLOOKUP(A618,[1]黄金期货历史数据!$A:$B,2,)</f>
        <v>1742.9</v>
      </c>
      <c r="H618" s="1">
        <v>91.924999999999997</v>
      </c>
      <c r="I618" s="1">
        <v>2.5350000000000001</v>
      </c>
      <c r="J618" s="1">
        <v>4.1130000000000004</v>
      </c>
    </row>
    <row r="619" spans="1:10" x14ac:dyDescent="0.3">
      <c r="A619" s="2">
        <v>44276</v>
      </c>
      <c r="B619" s="1">
        <v>1.1796</v>
      </c>
      <c r="C619" s="1">
        <v>1.3787</v>
      </c>
      <c r="D619" s="1">
        <v>0.15287013681877246</v>
      </c>
      <c r="E619" s="1">
        <v>18.86</v>
      </c>
      <c r="F619" s="1">
        <v>60.97</v>
      </c>
      <c r="G619" s="1">
        <f>VLOOKUP(A619,[1]黄金期货历史数据!$A:$B,2,)</f>
        <v>1733.6</v>
      </c>
      <c r="H619" s="1">
        <v>92.775000000000006</v>
      </c>
      <c r="I619" s="1">
        <v>2.5569999999999999</v>
      </c>
      <c r="J619" s="1">
        <v>4.0679999999999996</v>
      </c>
    </row>
    <row r="620" spans="1:10" x14ac:dyDescent="0.3">
      <c r="A620" s="2">
        <v>44283</v>
      </c>
      <c r="B620" s="1">
        <v>1.1761999999999999</v>
      </c>
      <c r="C620" s="1">
        <v>1.3829</v>
      </c>
      <c r="D620" s="1">
        <v>0.15227421540710512</v>
      </c>
      <c r="E620" s="1">
        <v>17.329999999999998</v>
      </c>
      <c r="F620" s="1">
        <v>61.45</v>
      </c>
      <c r="G620" s="1">
        <f>VLOOKUP(A620,[1]黄金期货历史数据!$A:$B,2,)</f>
        <v>1728.4</v>
      </c>
      <c r="H620" s="1">
        <v>93.051000000000002</v>
      </c>
      <c r="I620" s="1">
        <v>2.6389999999999998</v>
      </c>
      <c r="J620" s="1">
        <v>3.9940000000000002</v>
      </c>
    </row>
    <row r="621" spans="1:10" x14ac:dyDescent="0.3">
      <c r="A621" s="2">
        <v>44290</v>
      </c>
      <c r="B621" s="1">
        <v>1.1896</v>
      </c>
      <c r="C621" s="1">
        <v>1.3708</v>
      </c>
      <c r="D621" s="1">
        <v>0.15260186174271326</v>
      </c>
      <c r="E621" s="1">
        <v>16.690000000000001</v>
      </c>
      <c r="F621" s="1">
        <v>59.32</v>
      </c>
      <c r="G621" s="1">
        <f>VLOOKUP(A621,[1]黄金期货历史数据!$A:$B,2,)</f>
        <v>1744.8</v>
      </c>
      <c r="H621" s="1">
        <v>92.16</v>
      </c>
      <c r="I621" s="1">
        <v>2.5259999999999998</v>
      </c>
      <c r="J621" s="1">
        <v>4.0445000000000002</v>
      </c>
    </row>
    <row r="622" spans="1:10" x14ac:dyDescent="0.3">
      <c r="A622" s="2">
        <v>44297</v>
      </c>
      <c r="B622" s="1">
        <v>1.1982999999999999</v>
      </c>
      <c r="C622" s="1">
        <v>1.383</v>
      </c>
      <c r="D622" s="1">
        <v>0.15335071308081583</v>
      </c>
      <c r="E622" s="1">
        <v>16.25</v>
      </c>
      <c r="F622" s="1">
        <v>63.13</v>
      </c>
      <c r="G622" s="1">
        <f>VLOOKUP(A622,[1]黄金期货历史数据!$A:$B,2,)</f>
        <v>1780.2</v>
      </c>
      <c r="H622" s="1">
        <v>91.543999999999997</v>
      </c>
      <c r="I622" s="1">
        <v>2.68</v>
      </c>
      <c r="J622" s="1">
        <v>4.1719999999999997</v>
      </c>
    </row>
    <row r="623" spans="1:10" x14ac:dyDescent="0.3">
      <c r="A623" s="2">
        <v>44304</v>
      </c>
      <c r="B623" s="1">
        <v>1.2099</v>
      </c>
      <c r="C623" s="1">
        <v>1.3874</v>
      </c>
      <c r="D623" s="1">
        <v>0.15395510669088894</v>
      </c>
      <c r="E623" s="1">
        <v>17.329999999999998</v>
      </c>
      <c r="F623" s="1">
        <v>62.14</v>
      </c>
      <c r="G623" s="1">
        <f>VLOOKUP(A623,[1]黄金期货历史数据!$A:$B,2,)</f>
        <v>1777.8</v>
      </c>
      <c r="H623" s="1">
        <v>90.838999999999999</v>
      </c>
      <c r="I623" s="1">
        <v>2.73</v>
      </c>
      <c r="J623" s="1">
        <v>4.34</v>
      </c>
    </row>
    <row r="624" spans="1:10" x14ac:dyDescent="0.3">
      <c r="A624" s="2">
        <v>44311</v>
      </c>
      <c r="B624" s="1">
        <v>1.2018</v>
      </c>
      <c r="C624" s="1">
        <v>1.3814</v>
      </c>
      <c r="D624" s="1">
        <v>0.15447594037228701</v>
      </c>
      <c r="E624" s="1">
        <v>18.61</v>
      </c>
      <c r="F624" s="1">
        <v>63.58</v>
      </c>
      <c r="G624" s="1">
        <f>VLOOKUP(A624,[1]黄金期货历史数据!$A:$B,2,)</f>
        <v>1768.6</v>
      </c>
      <c r="H624" s="1">
        <v>91.27</v>
      </c>
      <c r="I624" s="1">
        <v>2.931</v>
      </c>
      <c r="J624" s="1">
        <v>4.468</v>
      </c>
    </row>
    <row r="625" spans="1:10" x14ac:dyDescent="0.3">
      <c r="A625" s="2">
        <v>44318</v>
      </c>
      <c r="B625" s="1">
        <v>1.2162999999999999</v>
      </c>
      <c r="C625" s="1">
        <v>1.3972</v>
      </c>
      <c r="D625" s="1">
        <v>0.15546055188495919</v>
      </c>
      <c r="E625" s="1">
        <v>16.690000000000001</v>
      </c>
      <c r="F625" s="1">
        <v>64.900000000000006</v>
      </c>
      <c r="G625" s="1">
        <f>VLOOKUP(A625,[1]黄金期货历史数据!$A:$B,2,)</f>
        <v>1832.4</v>
      </c>
      <c r="H625" s="1">
        <v>90.215999999999994</v>
      </c>
      <c r="I625" s="1">
        <v>2.9580000000000002</v>
      </c>
      <c r="J625" s="1">
        <v>4.7484999999999999</v>
      </c>
    </row>
    <row r="626" spans="1:10" x14ac:dyDescent="0.3">
      <c r="A626" s="2">
        <v>44325</v>
      </c>
      <c r="B626" s="1">
        <v>1.214</v>
      </c>
      <c r="C626" s="1">
        <v>1.4096</v>
      </c>
      <c r="D626" s="1">
        <v>0.15534945860713675</v>
      </c>
      <c r="E626" s="1">
        <v>18.809999999999999</v>
      </c>
      <c r="F626" s="1">
        <v>65.37</v>
      </c>
      <c r="G626" s="1">
        <f>VLOOKUP(A626,[1]黄金期货历史数据!$A:$B,2,)</f>
        <v>1839.1</v>
      </c>
      <c r="H626" s="1">
        <v>90.317999999999998</v>
      </c>
      <c r="I626" s="1">
        <v>2.9609999999999999</v>
      </c>
      <c r="J626" s="1">
        <v>4.6544999999999996</v>
      </c>
    </row>
    <row r="627" spans="1:10" x14ac:dyDescent="0.3">
      <c r="A627" s="2">
        <v>44332</v>
      </c>
      <c r="B627" s="1">
        <v>1.2179</v>
      </c>
      <c r="C627" s="1">
        <v>1.4147000000000001</v>
      </c>
      <c r="D627" s="1">
        <v>0.1554194771688788</v>
      </c>
      <c r="E627" s="1">
        <v>20.149999999999999</v>
      </c>
      <c r="F627" s="1">
        <v>63.58</v>
      </c>
      <c r="G627" s="1">
        <f>VLOOKUP(A627,[1]黄金期货历史数据!$A:$B,2,)</f>
        <v>1877.6</v>
      </c>
      <c r="H627" s="1">
        <v>90.004999999999995</v>
      </c>
      <c r="I627" s="1">
        <v>2.9060000000000001</v>
      </c>
      <c r="J627" s="1">
        <v>4.4809999999999999</v>
      </c>
    </row>
    <row r="628" spans="1:10" x14ac:dyDescent="0.3">
      <c r="A628" s="2">
        <v>44339</v>
      </c>
      <c r="B628" s="1">
        <v>1.2189000000000001</v>
      </c>
      <c r="C628" s="1">
        <v>1.4187000000000001</v>
      </c>
      <c r="D628" s="1">
        <v>0.15702531248037183</v>
      </c>
      <c r="E628" s="1">
        <v>16.760000000000002</v>
      </c>
      <c r="F628" s="1">
        <v>66.319999999999993</v>
      </c>
      <c r="G628" s="1">
        <f>VLOOKUP(A628,[1]黄金期货历史数据!$A:$B,2,)</f>
        <v>1905.3</v>
      </c>
      <c r="H628" s="1">
        <v>89.992999999999995</v>
      </c>
      <c r="I628" s="1">
        <v>2.9860000000000002</v>
      </c>
      <c r="J628" s="1">
        <v>4.681</v>
      </c>
    </row>
    <row r="629" spans="1:10" x14ac:dyDescent="0.3">
      <c r="A629" s="2">
        <v>44346</v>
      </c>
      <c r="B629" s="1">
        <v>1.2164999999999999</v>
      </c>
      <c r="C629" s="1">
        <v>1.4154</v>
      </c>
      <c r="D629" s="1">
        <v>0.15636727545659246</v>
      </c>
      <c r="E629" s="1">
        <v>16.420000000000002</v>
      </c>
      <c r="F629" s="1">
        <v>69.62</v>
      </c>
      <c r="G629" s="1">
        <f>VLOOKUP(A629,[1]黄金期货历史数据!$A:$B,2,)</f>
        <v>1892</v>
      </c>
      <c r="H629" s="1">
        <v>90.132999999999996</v>
      </c>
      <c r="I629" s="1">
        <v>3.097</v>
      </c>
      <c r="J629" s="1">
        <v>4.5315000000000003</v>
      </c>
    </row>
    <row r="630" spans="1:10" x14ac:dyDescent="0.3">
      <c r="A630" s="2">
        <v>44353</v>
      </c>
      <c r="B630" s="1">
        <v>1.2105999999999999</v>
      </c>
      <c r="C630" s="1">
        <v>1.4106000000000001</v>
      </c>
      <c r="D630" s="1">
        <v>0.15628174472939815</v>
      </c>
      <c r="E630" s="1">
        <v>15.65</v>
      </c>
      <c r="F630" s="1">
        <v>70.91</v>
      </c>
      <c r="G630" s="1">
        <f>VLOOKUP(A630,[1]黄金期货历史数据!$A:$B,2,)</f>
        <v>1879.6</v>
      </c>
      <c r="H630" s="1">
        <v>90.55</v>
      </c>
      <c r="I630" s="1">
        <v>3.2959999999999998</v>
      </c>
      <c r="J630" s="1">
        <v>4.5415000000000001</v>
      </c>
    </row>
    <row r="631" spans="1:10" x14ac:dyDescent="0.3">
      <c r="A631" s="2">
        <v>44360</v>
      </c>
      <c r="B631" s="1">
        <v>1.1859999999999999</v>
      </c>
      <c r="C631" s="1">
        <v>1.3809</v>
      </c>
      <c r="D631" s="1">
        <v>0.15496428073329097</v>
      </c>
      <c r="E631" s="1">
        <v>20.7</v>
      </c>
      <c r="F631" s="1">
        <v>71.64</v>
      </c>
      <c r="G631" s="1">
        <f>VLOOKUP(A631,[1]黄金期货历史数据!$A:$B,2,)</f>
        <v>1769</v>
      </c>
      <c r="H631" s="1">
        <v>92.209000000000003</v>
      </c>
      <c r="I631" s="1">
        <v>3.2149999999999999</v>
      </c>
      <c r="J631" s="1">
        <v>4.1615000000000002</v>
      </c>
    </row>
    <row r="632" spans="1:10" x14ac:dyDescent="0.3">
      <c r="A632" s="2">
        <v>44367</v>
      </c>
      <c r="B632" s="1">
        <v>1.1933</v>
      </c>
      <c r="C632" s="1">
        <v>1.3876999999999999</v>
      </c>
      <c r="D632" s="1">
        <v>0.15488747424995741</v>
      </c>
      <c r="E632" s="1">
        <v>15.62</v>
      </c>
      <c r="F632" s="1">
        <v>74.05</v>
      </c>
      <c r="G632" s="1">
        <f>VLOOKUP(A632,[1]黄金期货历史数据!$A:$B,2,)</f>
        <v>1777.8</v>
      </c>
      <c r="H632" s="1">
        <v>91.843999999999994</v>
      </c>
      <c r="I632" s="1">
        <v>3.496</v>
      </c>
      <c r="J632" s="1">
        <v>4.2904999999999998</v>
      </c>
    </row>
    <row r="633" spans="1:10" x14ac:dyDescent="0.3">
      <c r="A633" s="2">
        <v>44374</v>
      </c>
      <c r="B633" s="1">
        <v>1.1863999999999999</v>
      </c>
      <c r="C633" s="1">
        <v>1.3821000000000001</v>
      </c>
      <c r="D633" s="1">
        <v>0.15448548608858198</v>
      </c>
      <c r="E633" s="1">
        <v>15.07</v>
      </c>
      <c r="F633" s="1">
        <v>75.16</v>
      </c>
      <c r="G633" s="1">
        <f>VLOOKUP(A633,[1]黄金期货历史数据!$A:$B,2,)</f>
        <v>1784.1</v>
      </c>
      <c r="H633" s="1">
        <v>92.412999999999997</v>
      </c>
      <c r="I633" s="1">
        <v>3.7</v>
      </c>
      <c r="J633" s="1">
        <v>4.2759999999999998</v>
      </c>
    </row>
    <row r="634" spans="1:10" x14ac:dyDescent="0.3">
      <c r="A634" s="2">
        <v>44381</v>
      </c>
      <c r="B634" s="1">
        <v>1.1873</v>
      </c>
      <c r="C634" s="1">
        <v>1.3898999999999999</v>
      </c>
      <c r="D634" s="1">
        <v>0.15434718856596027</v>
      </c>
      <c r="E634" s="1">
        <v>16.18</v>
      </c>
      <c r="F634" s="1">
        <v>74.56</v>
      </c>
      <c r="G634" s="1">
        <f>VLOOKUP(A634,[1]黄金期货历史数据!$A:$B,2,)</f>
        <v>1811.5</v>
      </c>
      <c r="H634" s="1">
        <v>92.116</v>
      </c>
      <c r="I634" s="1">
        <v>3.6739999999999999</v>
      </c>
      <c r="J634" s="1">
        <v>4.3455000000000004</v>
      </c>
    </row>
    <row r="635" spans="1:10" x14ac:dyDescent="0.3">
      <c r="A635" s="2">
        <v>44388</v>
      </c>
      <c r="B635" s="1">
        <v>1.1805000000000001</v>
      </c>
      <c r="C635" s="1">
        <v>1.3772</v>
      </c>
      <c r="D635" s="1">
        <v>0.15434004198049142</v>
      </c>
      <c r="E635" s="1">
        <v>18.45</v>
      </c>
      <c r="F635" s="1">
        <v>71.81</v>
      </c>
      <c r="G635" s="1">
        <f>VLOOKUP(A635,[1]黄金期货历史数据!$A:$B,2,)</f>
        <v>1815.9</v>
      </c>
      <c r="H635" s="1">
        <v>92.686999999999998</v>
      </c>
      <c r="I635" s="1">
        <v>3.6739999999999999</v>
      </c>
      <c r="J635" s="1">
        <v>4.3230000000000004</v>
      </c>
    </row>
    <row r="636" spans="1:10" x14ac:dyDescent="0.3">
      <c r="A636" s="2">
        <v>44395</v>
      </c>
      <c r="B636" s="1">
        <v>1.1771</v>
      </c>
      <c r="C636" s="1">
        <v>1.3745000000000001</v>
      </c>
      <c r="D636" s="1">
        <v>0.15428765390193477</v>
      </c>
      <c r="E636" s="1">
        <v>17.2</v>
      </c>
      <c r="F636" s="1">
        <v>72.069999999999993</v>
      </c>
      <c r="G636" s="1">
        <f>VLOOKUP(A636,[1]黄金期货历史数据!$A:$B,2,)</f>
        <v>1802.9</v>
      </c>
      <c r="H636" s="1">
        <v>92.927999999999997</v>
      </c>
      <c r="I636" s="1">
        <v>4.0599999999999996</v>
      </c>
      <c r="J636" s="1">
        <v>4.4000000000000004</v>
      </c>
    </row>
    <row r="637" spans="1:10" x14ac:dyDescent="0.3">
      <c r="A637" s="2">
        <v>44402</v>
      </c>
      <c r="B637" s="1">
        <v>1.1870000000000001</v>
      </c>
      <c r="C637" s="1">
        <v>1.3900999999999999</v>
      </c>
      <c r="D637" s="1">
        <v>0.15476522115950103</v>
      </c>
      <c r="E637" s="1">
        <v>18.239999999999998</v>
      </c>
      <c r="F637" s="1">
        <v>73.95</v>
      </c>
      <c r="G637" s="1">
        <f>VLOOKUP(A637,[1]黄金期货历史数据!$A:$B,2,)</f>
        <v>1814.5</v>
      </c>
      <c r="H637" s="1">
        <v>92.188000000000002</v>
      </c>
      <c r="I637" s="1">
        <v>3.9140000000000001</v>
      </c>
      <c r="J637" s="1">
        <v>4.4654999999999996</v>
      </c>
    </row>
    <row r="638" spans="1:10" x14ac:dyDescent="0.3">
      <c r="A638" s="2">
        <v>44409</v>
      </c>
      <c r="B638" s="1">
        <v>1.1759999999999999</v>
      </c>
      <c r="C638" s="1">
        <v>1.3871</v>
      </c>
      <c r="D638" s="1">
        <v>0.15423768026528881</v>
      </c>
      <c r="E638" s="1">
        <v>16.149999999999999</v>
      </c>
      <c r="F638" s="1">
        <v>68.28</v>
      </c>
      <c r="G638" s="1">
        <f>VLOOKUP(A638,[1]黄金期货历史数据!$A:$B,2,)</f>
        <v>1761.1</v>
      </c>
      <c r="H638" s="1">
        <v>92.8</v>
      </c>
      <c r="I638" s="1">
        <v>4.1399999999999997</v>
      </c>
      <c r="J638" s="1">
        <v>4.3390000000000004</v>
      </c>
    </row>
    <row r="639" spans="1:10" x14ac:dyDescent="0.3">
      <c r="A639" s="2">
        <v>44416</v>
      </c>
      <c r="B639" s="1">
        <v>1.1791</v>
      </c>
      <c r="C639" s="1">
        <v>1.3863000000000001</v>
      </c>
      <c r="D639" s="1">
        <v>0.15438293142310186</v>
      </c>
      <c r="E639" s="1">
        <v>15.45</v>
      </c>
      <c r="F639" s="1">
        <v>68.44</v>
      </c>
      <c r="G639" s="1">
        <f>VLOOKUP(A639,[1]黄金期货历史数据!$A:$B,2,)</f>
        <v>1776</v>
      </c>
      <c r="H639" s="1">
        <v>92.512</v>
      </c>
      <c r="I639" s="1">
        <v>3.8610000000000002</v>
      </c>
      <c r="J639" s="1">
        <v>4.3825000000000003</v>
      </c>
    </row>
    <row r="640" spans="1:10" x14ac:dyDescent="0.3">
      <c r="A640" s="2">
        <v>44423</v>
      </c>
      <c r="B640" s="1">
        <v>1.1696</v>
      </c>
      <c r="C640" s="1">
        <v>1.3621000000000001</v>
      </c>
      <c r="D640" s="1">
        <v>0.15381065907867414</v>
      </c>
      <c r="E640" s="1">
        <v>18.559999999999999</v>
      </c>
      <c r="F640" s="1">
        <v>62.32</v>
      </c>
      <c r="G640" s="1">
        <f>VLOOKUP(A640,[1]黄金期货历史数据!$A:$B,2,)</f>
        <v>1781.8</v>
      </c>
      <c r="H640" s="1">
        <v>93.507999999999996</v>
      </c>
      <c r="I640" s="1">
        <v>3.851</v>
      </c>
      <c r="J640" s="1">
        <v>4.1254999999999997</v>
      </c>
    </row>
    <row r="641" spans="1:10" x14ac:dyDescent="0.3">
      <c r="A641" s="2">
        <v>44430</v>
      </c>
      <c r="B641" s="1">
        <v>1.1793</v>
      </c>
      <c r="C641" s="1">
        <v>1.3756999999999999</v>
      </c>
      <c r="D641" s="1">
        <v>0.15451651781575451</v>
      </c>
      <c r="E641" s="1">
        <v>16.39</v>
      </c>
      <c r="F641" s="1">
        <v>68.739999999999995</v>
      </c>
      <c r="G641" s="1">
        <f>VLOOKUP(A641,[1]黄金期货历史数据!$A:$B,2,)</f>
        <v>1817.2</v>
      </c>
      <c r="H641" s="1">
        <v>92.694000000000003</v>
      </c>
      <c r="I641" s="1">
        <v>4.37</v>
      </c>
      <c r="J641" s="1">
        <v>4.3235000000000001</v>
      </c>
    </row>
    <row r="642" spans="1:10" x14ac:dyDescent="0.3">
      <c r="A642" s="2">
        <v>44437</v>
      </c>
      <c r="B642" s="1">
        <v>1.1881999999999999</v>
      </c>
      <c r="C642" s="1">
        <v>1.3865000000000001</v>
      </c>
      <c r="D642" s="1">
        <v>0.15496908366780829</v>
      </c>
      <c r="E642" s="1">
        <v>16.41</v>
      </c>
      <c r="F642" s="1">
        <v>69.290000000000006</v>
      </c>
      <c r="G642" s="1">
        <f>VLOOKUP(A642,[1]黄金期货历史数据!$A:$B,2,)</f>
        <v>1832.6</v>
      </c>
      <c r="H642" s="1">
        <v>92.033000000000001</v>
      </c>
      <c r="I642" s="1">
        <v>4.7119999999999997</v>
      </c>
      <c r="J642" s="1">
        <v>4.3310000000000004</v>
      </c>
    </row>
    <row r="643" spans="1:10" x14ac:dyDescent="0.3">
      <c r="A643" s="2">
        <v>44444</v>
      </c>
      <c r="B643" s="1">
        <v>1.1814</v>
      </c>
      <c r="C643" s="1">
        <v>1.3838999999999999</v>
      </c>
      <c r="D643" s="1">
        <v>0.15517348395506175</v>
      </c>
      <c r="E643" s="1">
        <v>20.95</v>
      </c>
      <c r="F643" s="1">
        <v>69.72</v>
      </c>
      <c r="G643" s="1">
        <f>VLOOKUP(A643,[1]黄金期货历史数据!$A:$B,2,)</f>
        <v>1791</v>
      </c>
      <c r="H643" s="1">
        <v>92.59</v>
      </c>
      <c r="I643" s="1">
        <v>4.9379999999999997</v>
      </c>
      <c r="J643" s="1">
        <v>4.45</v>
      </c>
    </row>
    <row r="644" spans="1:10" x14ac:dyDescent="0.3">
      <c r="A644" s="2">
        <v>44451</v>
      </c>
      <c r="B644" s="1">
        <v>1.1725000000000001</v>
      </c>
      <c r="C644" s="1">
        <v>1.3742000000000001</v>
      </c>
      <c r="D644" s="1">
        <v>0.15465033559122823</v>
      </c>
      <c r="E644" s="1">
        <v>20.81</v>
      </c>
      <c r="F644" s="1">
        <v>71.97</v>
      </c>
      <c r="G644" s="1">
        <f>VLOOKUP(A644,[1]黄金期货历史数据!$A:$B,2,)</f>
        <v>1750.5</v>
      </c>
      <c r="H644" s="1">
        <v>93.176000000000002</v>
      </c>
      <c r="I644" s="1">
        <v>5.1050000000000004</v>
      </c>
      <c r="J644" s="1">
        <v>4.2445000000000004</v>
      </c>
    </row>
    <row r="645" spans="1:10" x14ac:dyDescent="0.3">
      <c r="A645" s="2">
        <v>44458</v>
      </c>
      <c r="B645" s="1">
        <v>1.1714</v>
      </c>
      <c r="C645" s="1">
        <v>1.3682000000000001</v>
      </c>
      <c r="D645" s="1">
        <v>0.15463837815268994</v>
      </c>
      <c r="E645" s="1">
        <v>17.75</v>
      </c>
      <c r="F645" s="1">
        <v>73.98</v>
      </c>
      <c r="G645" s="1">
        <f>VLOOKUP(A645,[1]黄金期货历史数据!$A:$B,2,)</f>
        <v>1750.9</v>
      </c>
      <c r="H645" s="1">
        <v>93.334999999999994</v>
      </c>
      <c r="I645" s="1">
        <v>5.14</v>
      </c>
      <c r="J645" s="1">
        <v>4.2845000000000004</v>
      </c>
    </row>
    <row r="646" spans="1:10" x14ac:dyDescent="0.3">
      <c r="A646" s="2">
        <v>44465</v>
      </c>
      <c r="B646" s="1">
        <v>1.1594</v>
      </c>
      <c r="C646" s="1">
        <v>1.3545</v>
      </c>
      <c r="D646" s="1">
        <v>0.15512052865076165</v>
      </c>
      <c r="E646" s="1">
        <v>21.15</v>
      </c>
      <c r="F646" s="1">
        <v>75.88</v>
      </c>
      <c r="G646" s="1">
        <f>VLOOKUP(A646,[1]黄金期货历史数据!$A:$B,2,)</f>
        <v>1758.4</v>
      </c>
      <c r="H646" s="1">
        <v>94.046999999999997</v>
      </c>
      <c r="I646" s="1">
        <v>5.6189999999999998</v>
      </c>
      <c r="J646" s="1">
        <v>4.1885000000000003</v>
      </c>
    </row>
    <row r="647" spans="1:10" x14ac:dyDescent="0.3">
      <c r="A647" s="2">
        <v>44472</v>
      </c>
      <c r="B647" s="1">
        <v>1.1567000000000001</v>
      </c>
      <c r="C647" s="1">
        <v>1.3611</v>
      </c>
      <c r="D647" s="1">
        <v>0.15519034095317907</v>
      </c>
      <c r="E647" s="1">
        <v>18.77</v>
      </c>
      <c r="F647" s="1">
        <v>79.349999999999994</v>
      </c>
      <c r="G647" s="1">
        <f>VLOOKUP(A647,[1]黄金期货历史数据!$A:$B,2,)</f>
        <v>1757.4</v>
      </c>
      <c r="H647" s="1">
        <v>94.078999999999994</v>
      </c>
      <c r="I647" s="1">
        <v>5.5650000000000004</v>
      </c>
      <c r="J647" s="1">
        <v>4.2755000000000001</v>
      </c>
    </row>
    <row r="648" spans="1:10" x14ac:dyDescent="0.3">
      <c r="A648" s="2">
        <v>44479</v>
      </c>
      <c r="B648" s="1">
        <v>1.1599999999999999</v>
      </c>
      <c r="C648" s="1">
        <v>1.3749</v>
      </c>
      <c r="D648" s="1">
        <v>0.15538566722605507</v>
      </c>
      <c r="E648" s="1">
        <v>16.3</v>
      </c>
      <c r="F648" s="1">
        <v>82.28</v>
      </c>
      <c r="G648" s="1">
        <f>VLOOKUP(A648,[1]黄金期货历史数据!$A:$B,2,)</f>
        <v>1768.3</v>
      </c>
      <c r="H648" s="1">
        <v>93.938000000000002</v>
      </c>
      <c r="I648" s="1">
        <v>5.41</v>
      </c>
      <c r="J648" s="1">
        <v>4.7294999999999998</v>
      </c>
    </row>
    <row r="649" spans="1:10" x14ac:dyDescent="0.3">
      <c r="A649" s="2">
        <v>44486</v>
      </c>
      <c r="B649" s="1">
        <v>1.1647000000000001</v>
      </c>
      <c r="C649" s="1">
        <v>1.3751</v>
      </c>
      <c r="D649" s="1">
        <v>0.15661952418988551</v>
      </c>
      <c r="E649" s="1">
        <v>15.43</v>
      </c>
      <c r="F649" s="1">
        <v>83.76</v>
      </c>
      <c r="G649" s="1">
        <f>VLOOKUP(A649,[1]黄金期货历史数据!$A:$B,2,)</f>
        <v>1796.3</v>
      </c>
      <c r="H649" s="1">
        <v>93.625</v>
      </c>
      <c r="I649" s="1">
        <v>5.28</v>
      </c>
      <c r="J649" s="1">
        <v>4.4980000000000002</v>
      </c>
    </row>
    <row r="650" spans="1:10" x14ac:dyDescent="0.3">
      <c r="A650" s="2">
        <v>44493</v>
      </c>
      <c r="B650" s="1">
        <v>1.1560999999999999</v>
      </c>
      <c r="C650" s="1">
        <v>1.3691</v>
      </c>
      <c r="D650" s="1">
        <v>0.15610852664772548</v>
      </c>
      <c r="E650" s="1">
        <v>16.260000000000002</v>
      </c>
      <c r="F650" s="1">
        <v>83.57</v>
      </c>
      <c r="G650" s="1">
        <f>VLOOKUP(A650,[1]黄金期货历史数据!$A:$B,2,)</f>
        <v>1784.9</v>
      </c>
      <c r="H650" s="1">
        <v>94.120999999999995</v>
      </c>
      <c r="I650" s="1">
        <v>5.4260000000000002</v>
      </c>
      <c r="J650" s="1">
        <v>4.359</v>
      </c>
    </row>
    <row r="651" spans="1:10" x14ac:dyDescent="0.3">
      <c r="A651" s="2">
        <v>44500</v>
      </c>
      <c r="B651" s="1">
        <v>1.1566000000000001</v>
      </c>
      <c r="C651" s="1">
        <v>1.3493999999999999</v>
      </c>
      <c r="D651" s="1">
        <v>0.15627686008532715</v>
      </c>
      <c r="E651" s="1">
        <v>16.48</v>
      </c>
      <c r="F651" s="1">
        <v>81.27</v>
      </c>
      <c r="G651" s="1">
        <f>VLOOKUP(A651,[1]黄金期货历史数据!$A:$B,2,)</f>
        <v>1818</v>
      </c>
      <c r="H651" s="1">
        <v>94.316999999999993</v>
      </c>
      <c r="I651" s="1">
        <v>5.516</v>
      </c>
      <c r="J651" s="1">
        <v>4.3354999999999997</v>
      </c>
    </row>
    <row r="652" spans="1:10" x14ac:dyDescent="0.3">
      <c r="A652" s="2">
        <v>44507</v>
      </c>
      <c r="B652" s="1">
        <v>1.145</v>
      </c>
      <c r="C652" s="1">
        <v>1.3412999999999999</v>
      </c>
      <c r="D652" s="1">
        <v>0.15674963947582921</v>
      </c>
      <c r="E652" s="1">
        <v>16.29</v>
      </c>
      <c r="F652" s="1">
        <v>80.790000000000006</v>
      </c>
      <c r="G652" s="1">
        <f>VLOOKUP(A652,[1]黄金期货历史数据!$A:$B,2,)</f>
        <v>1869.7</v>
      </c>
      <c r="H652" s="1">
        <v>95.128</v>
      </c>
      <c r="I652" s="1">
        <v>4.7910000000000004</v>
      </c>
      <c r="J652" s="1">
        <v>4.4470000000000001</v>
      </c>
    </row>
    <row r="653" spans="1:10" x14ac:dyDescent="0.3">
      <c r="A653" s="2">
        <v>44514</v>
      </c>
      <c r="B653" s="1">
        <v>1.1288</v>
      </c>
      <c r="C653" s="1">
        <v>1.3452</v>
      </c>
      <c r="D653" s="1">
        <v>0.15656312625250501</v>
      </c>
      <c r="E653" s="1">
        <v>17.91</v>
      </c>
      <c r="F653" s="1">
        <v>76.099999999999994</v>
      </c>
      <c r="G653" s="1">
        <f>VLOOKUP(A653,[1]黄金期货历史数据!$A:$B,2,)</f>
        <v>1852.9</v>
      </c>
      <c r="H653" s="1">
        <v>96.028000000000006</v>
      </c>
      <c r="I653" s="1">
        <v>5.0650000000000004</v>
      </c>
      <c r="J653" s="1">
        <v>4.4000000000000004</v>
      </c>
    </row>
    <row r="654" spans="1:10" x14ac:dyDescent="0.3">
      <c r="A654" s="2">
        <v>44521</v>
      </c>
      <c r="B654" s="1">
        <v>1.1316999999999999</v>
      </c>
      <c r="C654" s="1">
        <v>1.3340000000000001</v>
      </c>
      <c r="D654" s="1">
        <v>0.15642108556233381</v>
      </c>
      <c r="E654" s="1">
        <v>28.62</v>
      </c>
      <c r="F654" s="1">
        <v>68.150000000000006</v>
      </c>
      <c r="G654" s="1">
        <f>VLOOKUP(A654,[1]黄金期货历史数据!$A:$B,2,)</f>
        <v>1786.9</v>
      </c>
      <c r="H654" s="1">
        <v>96.103999999999999</v>
      </c>
      <c r="I654" s="1">
        <v>5.4470000000000001</v>
      </c>
      <c r="J654" s="1">
        <v>4.2874999999999996</v>
      </c>
    </row>
    <row r="655" spans="1:10" x14ac:dyDescent="0.3">
      <c r="A655" s="2">
        <v>44528</v>
      </c>
      <c r="B655" s="1">
        <v>1.1313</v>
      </c>
      <c r="C655" s="1">
        <v>1.3230999999999999</v>
      </c>
      <c r="D655" s="1">
        <v>0.15682830437237311</v>
      </c>
      <c r="E655" s="1">
        <v>30.67</v>
      </c>
      <c r="F655" s="1">
        <v>66.260000000000005</v>
      </c>
      <c r="G655" s="1">
        <f>VLOOKUP(A655,[1]黄金期货历史数据!$A:$B,2,)</f>
        <v>1783.9</v>
      </c>
      <c r="H655" s="1">
        <v>96.114000000000004</v>
      </c>
      <c r="I655" s="1">
        <v>4.1319999999999997</v>
      </c>
      <c r="J655" s="1">
        <v>4.266</v>
      </c>
    </row>
    <row r="656" spans="1:10" x14ac:dyDescent="0.3">
      <c r="A656" s="2">
        <v>44535</v>
      </c>
      <c r="B656" s="1">
        <v>1.1311</v>
      </c>
      <c r="C656" s="1">
        <v>1.3269</v>
      </c>
      <c r="D656" s="1">
        <v>0.15698587127158556</v>
      </c>
      <c r="E656" s="1">
        <v>18.690000000000001</v>
      </c>
      <c r="F656" s="1">
        <v>71.67</v>
      </c>
      <c r="G656" s="1">
        <f>VLOOKUP(A656,[1]黄金期货历史数据!$A:$B,2,)</f>
        <v>1784.8</v>
      </c>
      <c r="H656" s="1">
        <v>96.1</v>
      </c>
      <c r="I656" s="1">
        <v>3.9249999999999998</v>
      </c>
      <c r="J656" s="1">
        <v>4.2850000000000001</v>
      </c>
    </row>
    <row r="657" spans="1:10" x14ac:dyDescent="0.3">
      <c r="A657" s="2">
        <v>44542</v>
      </c>
      <c r="B657" s="1">
        <v>1.1238999999999999</v>
      </c>
      <c r="C657" s="1">
        <v>1.3242</v>
      </c>
      <c r="D657" s="1">
        <v>0.15684306283133098</v>
      </c>
      <c r="E657" s="1">
        <v>21.57</v>
      </c>
      <c r="F657" s="1">
        <v>70.86</v>
      </c>
      <c r="G657" s="1">
        <f>VLOOKUP(A657,[1]黄金期货历史数据!$A:$B,2,)</f>
        <v>1804.9</v>
      </c>
      <c r="H657" s="1">
        <v>96.548000000000002</v>
      </c>
      <c r="I657" s="1">
        <v>3.69</v>
      </c>
      <c r="J657" s="1">
        <v>4.2925000000000004</v>
      </c>
    </row>
    <row r="658" spans="1:10" x14ac:dyDescent="0.3">
      <c r="A658" s="2">
        <v>44549</v>
      </c>
      <c r="B658" s="1">
        <v>1.1316999999999999</v>
      </c>
      <c r="C658" s="1">
        <v>1.3385</v>
      </c>
      <c r="D658" s="1">
        <v>0.15704257424187698</v>
      </c>
      <c r="E658" s="1">
        <v>17.96</v>
      </c>
      <c r="F658" s="1">
        <v>73.790000000000006</v>
      </c>
      <c r="G658" s="1">
        <f>VLOOKUP(A658,[1]黄金期货历史数据!$A:$B,2,)</f>
        <v>1811.7</v>
      </c>
      <c r="H658" s="1">
        <v>95.984999999999999</v>
      </c>
      <c r="I658" s="1">
        <v>3.7309999999999999</v>
      </c>
      <c r="J658" s="1">
        <v>4.3895</v>
      </c>
    </row>
    <row r="659" spans="1:10" x14ac:dyDescent="0.3">
      <c r="A659" s="2">
        <v>44556</v>
      </c>
      <c r="B659" s="1">
        <v>1.1368</v>
      </c>
      <c r="C659" s="1">
        <v>1.3529</v>
      </c>
      <c r="D659" s="1">
        <v>0.1573291798429855</v>
      </c>
      <c r="E659" s="1">
        <v>17.22</v>
      </c>
      <c r="F659" s="1">
        <v>75.209999999999994</v>
      </c>
      <c r="G659" s="1">
        <f>VLOOKUP(A659,[1]黄金期货历史数据!$A:$B,2,)</f>
        <v>1829.7</v>
      </c>
      <c r="H659" s="1">
        <v>95.593000000000004</v>
      </c>
      <c r="I659" s="1">
        <v>3.73</v>
      </c>
      <c r="J659" s="1">
        <v>4.4634999999999998</v>
      </c>
    </row>
    <row r="660" spans="1:10" x14ac:dyDescent="0.3">
      <c r="A660" s="2">
        <v>44563</v>
      </c>
      <c r="B660" s="1">
        <v>1.1358999999999999</v>
      </c>
      <c r="C660" s="1">
        <v>1.3585</v>
      </c>
      <c r="D660" s="1">
        <v>0.15679387876697296</v>
      </c>
      <c r="E660" s="1">
        <v>18.760000000000002</v>
      </c>
      <c r="F660" s="1">
        <v>78.900000000000006</v>
      </c>
      <c r="G660" s="1">
        <f>VLOOKUP(A660,[1]黄金期货历史数据!$A:$B,2,)</f>
        <v>1799.3</v>
      </c>
      <c r="H660" s="1">
        <v>95.721999999999994</v>
      </c>
      <c r="I660" s="1">
        <v>3.9159999999999999</v>
      </c>
      <c r="J660" s="1">
        <v>4.41</v>
      </c>
    </row>
    <row r="661" spans="1:10" x14ac:dyDescent="0.3">
      <c r="A661" s="2">
        <v>44570</v>
      </c>
      <c r="B661" s="1">
        <v>1.1414</v>
      </c>
      <c r="C661" s="1">
        <v>1.3673</v>
      </c>
      <c r="D661" s="1">
        <v>0.157410905427528</v>
      </c>
      <c r="E661" s="1">
        <v>19.190000000000001</v>
      </c>
      <c r="F661" s="1">
        <v>83.82</v>
      </c>
      <c r="G661" s="1">
        <f>VLOOKUP(A661,[1]黄金期货历史数据!$A:$B,2,)</f>
        <v>1818.3</v>
      </c>
      <c r="H661" s="1">
        <v>95.161000000000001</v>
      </c>
      <c r="I661" s="1">
        <v>4.2619999999999996</v>
      </c>
      <c r="J661" s="1">
        <v>4.4204999999999997</v>
      </c>
    </row>
    <row r="662" spans="1:10" x14ac:dyDescent="0.3">
      <c r="A662" s="2">
        <v>44577</v>
      </c>
      <c r="B662" s="1">
        <v>1.1339999999999999</v>
      </c>
      <c r="C662" s="1">
        <v>1.3553999999999999</v>
      </c>
      <c r="D662" s="1">
        <v>0.15775358889414734</v>
      </c>
      <c r="E662" s="1">
        <v>28.85</v>
      </c>
      <c r="F662" s="1">
        <v>85.14</v>
      </c>
      <c r="G662" s="1">
        <f>VLOOKUP(A662,[1]黄金期货历史数据!$A:$B,2,)</f>
        <v>1833.5</v>
      </c>
      <c r="H662" s="1">
        <v>95.635999999999996</v>
      </c>
      <c r="I662" s="1">
        <v>3.9990000000000001</v>
      </c>
      <c r="J662" s="1">
        <v>4.524</v>
      </c>
    </row>
    <row r="663" spans="1:10" x14ac:dyDescent="0.3">
      <c r="A663" s="2">
        <v>44584</v>
      </c>
      <c r="B663" s="1">
        <v>1.1143000000000001</v>
      </c>
      <c r="C663" s="1">
        <v>1.3404</v>
      </c>
      <c r="D663" s="1">
        <v>0.15720798616569723</v>
      </c>
      <c r="E663" s="1">
        <v>27.66</v>
      </c>
      <c r="F663" s="1">
        <v>86.82</v>
      </c>
      <c r="G663" s="1">
        <f>VLOOKUP(A663,[1]黄金期货历史数据!$A:$B,2,)</f>
        <v>1786.6</v>
      </c>
      <c r="H663" s="1">
        <v>97.266000000000005</v>
      </c>
      <c r="I663" s="1">
        <v>4.6390000000000002</v>
      </c>
      <c r="J663" s="1">
        <v>4.3125</v>
      </c>
    </row>
    <row r="664" spans="1:10" x14ac:dyDescent="0.3">
      <c r="A664" s="2">
        <v>44591</v>
      </c>
      <c r="B664" s="1">
        <v>1.1446000000000001</v>
      </c>
      <c r="C664" s="1">
        <v>1.3529</v>
      </c>
      <c r="D664" s="1">
        <v>0.15720798616569723</v>
      </c>
      <c r="E664" s="1">
        <v>23.22</v>
      </c>
      <c r="F664" s="1">
        <v>92.31</v>
      </c>
      <c r="G664" s="1">
        <f>VLOOKUP(A664,[1]黄金期货历史数据!$A:$B,2,)</f>
        <v>1807.8</v>
      </c>
      <c r="H664" s="1">
        <v>95.48</v>
      </c>
      <c r="I664" s="1">
        <v>4.5720000000000001</v>
      </c>
      <c r="J664" s="1">
        <v>4.49</v>
      </c>
    </row>
    <row r="665" spans="1:10" x14ac:dyDescent="0.3">
      <c r="A665" s="2">
        <v>44598</v>
      </c>
      <c r="B665" s="1">
        <v>1.1349</v>
      </c>
      <c r="C665" s="1">
        <v>1.3560000000000001</v>
      </c>
      <c r="D665" s="1">
        <v>0.15736879376819576</v>
      </c>
      <c r="E665" s="1">
        <v>27.36</v>
      </c>
      <c r="F665" s="1">
        <v>93.1</v>
      </c>
      <c r="G665" s="1">
        <f>VLOOKUP(A665,[1]黄金期货历史数据!$A:$B,2,)</f>
        <v>1842.1</v>
      </c>
      <c r="H665" s="1">
        <v>96.072999999999993</v>
      </c>
      <c r="I665" s="1">
        <v>3.9409999999999998</v>
      </c>
      <c r="J665" s="1">
        <v>4.5084999999999997</v>
      </c>
    </row>
    <row r="666" spans="1:10" x14ac:dyDescent="0.3">
      <c r="A666" s="2">
        <v>44605</v>
      </c>
      <c r="B666" s="1">
        <v>1.1321000000000001</v>
      </c>
      <c r="C666" s="1">
        <v>1.359</v>
      </c>
      <c r="D666" s="1">
        <v>0.15808777033008728</v>
      </c>
      <c r="E666" s="1">
        <v>27.75</v>
      </c>
      <c r="F666" s="1">
        <v>91.07</v>
      </c>
      <c r="G666" s="1">
        <f>VLOOKUP(A666,[1]黄金期货历史数据!$A:$B,2,)</f>
        <v>1899.8</v>
      </c>
      <c r="H666" s="1">
        <v>96.022000000000006</v>
      </c>
      <c r="I666" s="1">
        <v>4.431</v>
      </c>
      <c r="J666" s="1">
        <v>4.524</v>
      </c>
    </row>
    <row r="667" spans="1:10" x14ac:dyDescent="0.3">
      <c r="A667" s="2">
        <v>44612</v>
      </c>
      <c r="B667" s="1">
        <v>1.1267</v>
      </c>
      <c r="C667" s="1">
        <v>1.3405</v>
      </c>
      <c r="D667" s="1">
        <v>0.15829046299960428</v>
      </c>
      <c r="E667" s="1">
        <v>27.59</v>
      </c>
      <c r="F667" s="1">
        <v>91.59</v>
      </c>
      <c r="G667" s="1">
        <f>VLOOKUP(A667,[1]黄金期货历史数据!$A:$B,2,)</f>
        <v>1889.2</v>
      </c>
      <c r="H667" s="1">
        <v>96.619</v>
      </c>
      <c r="I667" s="1">
        <v>4.47</v>
      </c>
      <c r="J667" s="1">
        <v>4.4850000000000003</v>
      </c>
    </row>
    <row r="668" spans="1:10" x14ac:dyDescent="0.3">
      <c r="A668" s="2">
        <v>44619</v>
      </c>
      <c r="B668" s="1">
        <v>1.0926</v>
      </c>
      <c r="C668" s="1">
        <v>1.3225</v>
      </c>
      <c r="D668" s="1">
        <v>0.15822784810126581</v>
      </c>
      <c r="E668" s="1">
        <v>31.98</v>
      </c>
      <c r="F668" s="1">
        <v>115.68</v>
      </c>
      <c r="G668" s="1">
        <f>VLOOKUP(A668,[1]黄金期货历史数据!$A:$B,2,)</f>
        <v>1968.9</v>
      </c>
      <c r="H668" s="1">
        <v>98.671000000000006</v>
      </c>
      <c r="I668" s="1">
        <v>5.016</v>
      </c>
      <c r="J668" s="1">
        <v>4.9375</v>
      </c>
    </row>
    <row r="669" spans="1:10" x14ac:dyDescent="0.3">
      <c r="A669" s="2">
        <v>44626</v>
      </c>
      <c r="B669" s="1">
        <v>1.0909</v>
      </c>
      <c r="C669" s="1">
        <v>1.3036000000000001</v>
      </c>
      <c r="D669" s="1">
        <v>0.15773368245055047</v>
      </c>
      <c r="E669" s="1">
        <v>30.75</v>
      </c>
      <c r="F669" s="1">
        <v>109.33</v>
      </c>
      <c r="G669" s="1">
        <f>VLOOKUP(A669,[1]黄金期货历史数据!$A:$B,2,)</f>
        <v>1987.6</v>
      </c>
      <c r="H669" s="1">
        <v>99.13</v>
      </c>
      <c r="I669" s="1">
        <v>4.7249999999999996</v>
      </c>
      <c r="J669" s="1">
        <v>4.6254999999999997</v>
      </c>
    </row>
    <row r="670" spans="1:10" x14ac:dyDescent="0.3">
      <c r="A670" s="2">
        <v>44633</v>
      </c>
      <c r="B670" s="1">
        <v>1.1054999999999999</v>
      </c>
      <c r="C670" s="1">
        <v>1.3180000000000001</v>
      </c>
      <c r="D670" s="1">
        <v>0.1572030434509212</v>
      </c>
      <c r="E670" s="1">
        <v>23.87</v>
      </c>
      <c r="F670" s="1">
        <v>104.7</v>
      </c>
      <c r="G670" s="1">
        <f>VLOOKUP(A670,[1]黄金期货历史数据!$A:$B,2,)</f>
        <v>1931.7</v>
      </c>
      <c r="H670" s="1">
        <v>98.227000000000004</v>
      </c>
      <c r="I670" s="1">
        <v>4.8630000000000004</v>
      </c>
      <c r="J670" s="1">
        <v>4.7394999999999996</v>
      </c>
    </row>
    <row r="671" spans="1:10" x14ac:dyDescent="0.3">
      <c r="A671" s="2">
        <v>44640</v>
      </c>
      <c r="B671" s="1">
        <v>1.0981000000000001</v>
      </c>
      <c r="C671" s="1">
        <v>1.3188</v>
      </c>
      <c r="D671" s="1">
        <v>0.15707957651346172</v>
      </c>
      <c r="E671" s="1">
        <v>20.81</v>
      </c>
      <c r="F671" s="1">
        <v>113.9</v>
      </c>
      <c r="G671" s="1">
        <f>VLOOKUP(A671,[1]黄金期货历史数据!$A:$B,2,)</f>
        <v>1956.9</v>
      </c>
      <c r="H671" s="1">
        <v>98.822000000000003</v>
      </c>
      <c r="I671" s="1">
        <v>5.5709999999999997</v>
      </c>
      <c r="J671" s="1">
        <v>4.6985000000000001</v>
      </c>
    </row>
    <row r="672" spans="1:10" x14ac:dyDescent="0.3">
      <c r="A672" s="2">
        <v>44647</v>
      </c>
      <c r="B672" s="1">
        <v>1.1052999999999999</v>
      </c>
      <c r="C672" s="1">
        <v>1.3111999999999999</v>
      </c>
      <c r="D672" s="1">
        <v>0.15715610315726611</v>
      </c>
      <c r="E672" s="1">
        <v>19.63</v>
      </c>
      <c r="F672" s="1">
        <v>99.27</v>
      </c>
      <c r="G672" s="1">
        <f>VLOOKUP(A672,[1]黄金期货历史数据!$A:$B,2,)</f>
        <v>1923.7</v>
      </c>
      <c r="H672" s="1">
        <v>98.626999999999995</v>
      </c>
      <c r="I672" s="1">
        <v>5.72</v>
      </c>
      <c r="J672" s="1">
        <v>4.6905000000000001</v>
      </c>
    </row>
    <row r="673" spans="1:10" x14ac:dyDescent="0.3">
      <c r="A673" s="2">
        <v>44654</v>
      </c>
      <c r="B673" s="1">
        <v>1.0875999999999999</v>
      </c>
      <c r="C673" s="1">
        <v>1.3030999999999999</v>
      </c>
      <c r="D673" s="1">
        <v>0.15710919088766692</v>
      </c>
      <c r="E673" s="1">
        <v>21.16</v>
      </c>
      <c r="F673" s="1">
        <v>98.26</v>
      </c>
      <c r="G673" s="1">
        <f>VLOOKUP(A673,[1]黄金期货历史数据!$A:$B,2,)</f>
        <v>1945.6</v>
      </c>
      <c r="H673" s="1">
        <v>99.753</v>
      </c>
      <c r="I673" s="1">
        <v>6.2779999999999996</v>
      </c>
      <c r="J673" s="1">
        <v>4.7314999999999996</v>
      </c>
    </row>
    <row r="674" spans="1:10" x14ac:dyDescent="0.3">
      <c r="A674" s="2">
        <v>44661</v>
      </c>
      <c r="B674" s="1">
        <v>1.0806</v>
      </c>
      <c r="C674" s="1">
        <v>1.3058000000000001</v>
      </c>
      <c r="D674" s="1">
        <v>0.15695630336514316</v>
      </c>
      <c r="E674" s="1">
        <v>22.7</v>
      </c>
      <c r="F674" s="1">
        <v>106.95</v>
      </c>
      <c r="G674" s="1">
        <f>VLOOKUP(A674,[1]黄金期货历史数据!$A:$B,2,)</f>
        <v>1974.9</v>
      </c>
      <c r="H674" s="1">
        <v>100.32599999999999</v>
      </c>
      <c r="I674" s="1">
        <v>7.3</v>
      </c>
      <c r="J674" s="1">
        <v>4.7320000000000002</v>
      </c>
    </row>
    <row r="675" spans="1:10" x14ac:dyDescent="0.3">
      <c r="A675" s="2">
        <v>44668</v>
      </c>
      <c r="B675" s="1">
        <v>1.0793999999999999</v>
      </c>
      <c r="C675" s="1">
        <v>1.2837000000000001</v>
      </c>
      <c r="D675" s="1">
        <v>0.15381539076800024</v>
      </c>
      <c r="E675" s="1">
        <v>28.21</v>
      </c>
      <c r="F675" s="1">
        <v>102.07</v>
      </c>
      <c r="G675" s="1">
        <f>VLOOKUP(A675,[1]黄金期货历史数据!$A:$B,2,)</f>
        <v>1934.3</v>
      </c>
      <c r="H675" s="1">
        <v>101.21299999999999</v>
      </c>
      <c r="I675" s="1">
        <v>6.5339999999999998</v>
      </c>
      <c r="J675" s="1">
        <v>4.5925000000000002</v>
      </c>
    </row>
    <row r="676" spans="1:10" x14ac:dyDescent="0.3">
      <c r="A676" s="2">
        <v>44675</v>
      </c>
      <c r="B676" s="1">
        <v>1.0541</v>
      </c>
      <c r="C676" s="1">
        <v>1.2571000000000001</v>
      </c>
      <c r="D676" s="1">
        <v>0.15132026935007944</v>
      </c>
      <c r="E676" s="1">
        <v>33.4</v>
      </c>
      <c r="F676" s="1">
        <v>104.69</v>
      </c>
      <c r="G676" s="1">
        <f>VLOOKUP(A676,[1]黄金期货历史数据!$A:$B,2,)</f>
        <v>1915.1</v>
      </c>
      <c r="H676" s="1">
        <v>102.96299999999999</v>
      </c>
      <c r="I676" s="1">
        <v>7.2439999999999998</v>
      </c>
      <c r="J676" s="1">
        <v>4.4085000000000001</v>
      </c>
    </row>
    <row r="677" spans="1:10" x14ac:dyDescent="0.3">
      <c r="A677" s="2">
        <v>44682</v>
      </c>
      <c r="B677" s="1">
        <v>1.0550999999999999</v>
      </c>
      <c r="C677" s="1">
        <v>1.2337</v>
      </c>
      <c r="D677" s="1">
        <v>0.15000375009375233</v>
      </c>
      <c r="E677" s="1">
        <v>30.19</v>
      </c>
      <c r="F677" s="1">
        <v>109.77</v>
      </c>
      <c r="G677" s="1">
        <f>VLOOKUP(A677,[1]黄金期货历史数据!$A:$B,2,)</f>
        <v>1886.2</v>
      </c>
      <c r="H677" s="1">
        <v>103.694</v>
      </c>
      <c r="I677" s="1">
        <v>8.0429999999999993</v>
      </c>
      <c r="J677" s="1">
        <v>4.2670000000000003</v>
      </c>
    </row>
    <row r="678" spans="1:10" x14ac:dyDescent="0.3">
      <c r="A678" s="2">
        <v>44689</v>
      </c>
      <c r="B678" s="1">
        <v>1.0410999999999999</v>
      </c>
      <c r="C678" s="1">
        <v>1.2261</v>
      </c>
      <c r="D678" s="1">
        <v>0.14729709824716453</v>
      </c>
      <c r="E678" s="1">
        <v>28.87</v>
      </c>
      <c r="F678" s="1">
        <v>110.49</v>
      </c>
      <c r="G678" s="1">
        <f>VLOOKUP(A678,[1]黄金期货历史数据!$A:$B,2,)</f>
        <v>1811.3</v>
      </c>
      <c r="H678" s="1">
        <v>104.621</v>
      </c>
      <c r="I678" s="1">
        <v>7.6630000000000003</v>
      </c>
      <c r="J678" s="1">
        <v>4.1749999999999998</v>
      </c>
    </row>
    <row r="679" spans="1:10" x14ac:dyDescent="0.3">
      <c r="A679" s="2">
        <v>44696</v>
      </c>
      <c r="B679" s="1">
        <v>1.056</v>
      </c>
      <c r="C679" s="1">
        <v>1.2486999999999999</v>
      </c>
      <c r="D679" s="1">
        <v>0.14941206353000941</v>
      </c>
      <c r="E679" s="1">
        <v>29.43</v>
      </c>
      <c r="F679" s="1">
        <v>113.23</v>
      </c>
      <c r="G679" s="1">
        <f>VLOOKUP(A679,[1]黄金期货历史数据!$A:$B,2,)</f>
        <v>1844.7</v>
      </c>
      <c r="H679" s="1">
        <v>103.173</v>
      </c>
      <c r="I679" s="1">
        <v>8.0830000000000002</v>
      </c>
      <c r="J679" s="1">
        <v>4.2750000000000004</v>
      </c>
    </row>
    <row r="680" spans="1:10" x14ac:dyDescent="0.3">
      <c r="A680" s="2">
        <v>44703</v>
      </c>
      <c r="B680" s="1">
        <v>1.0727</v>
      </c>
      <c r="C680" s="1">
        <v>1.2616000000000001</v>
      </c>
      <c r="D680" s="1">
        <v>0.14928492520825248</v>
      </c>
      <c r="E680" s="1">
        <v>25.72</v>
      </c>
      <c r="F680" s="1">
        <v>115.07</v>
      </c>
      <c r="G680" s="1">
        <f>VLOOKUP(A680,[1]黄金期货历史数据!$A:$B,2,)</f>
        <v>1857.3</v>
      </c>
      <c r="H680" s="1">
        <v>101.69799999999999</v>
      </c>
      <c r="I680" s="1">
        <v>8.7270000000000003</v>
      </c>
      <c r="J680" s="1">
        <v>4.3064999999999998</v>
      </c>
    </row>
    <row r="681" spans="1:10" x14ac:dyDescent="0.3">
      <c r="A681" s="2">
        <v>44710</v>
      </c>
      <c r="B681" s="1">
        <v>1.0718000000000001</v>
      </c>
      <c r="C681" s="1">
        <v>1.2484999999999999</v>
      </c>
      <c r="D681" s="1">
        <v>0.15014338693452245</v>
      </c>
      <c r="E681" s="1">
        <v>24.79</v>
      </c>
      <c r="F681" s="1">
        <v>118.87</v>
      </c>
      <c r="G681" s="1">
        <f>VLOOKUP(A681,[1]黄金期货历史数据!$A:$B,2,)</f>
        <v>1850.2</v>
      </c>
      <c r="H681" s="1">
        <v>102.16</v>
      </c>
      <c r="I681" s="1">
        <v>8.5229999999999997</v>
      </c>
      <c r="J681" s="1">
        <v>4.4764999999999997</v>
      </c>
    </row>
    <row r="682" spans="1:10" x14ac:dyDescent="0.3">
      <c r="A682" s="2">
        <v>44717</v>
      </c>
      <c r="B682" s="1">
        <v>1.0515000000000001</v>
      </c>
      <c r="C682" s="1">
        <v>1.2314000000000001</v>
      </c>
      <c r="D682" s="1">
        <v>0.14905795373241115</v>
      </c>
      <c r="E682" s="1">
        <v>27.75</v>
      </c>
      <c r="F682" s="1">
        <v>120.67</v>
      </c>
      <c r="G682" s="1">
        <f>VLOOKUP(A682,[1]黄金期货历史数据!$A:$B,2,)</f>
        <v>1875.5</v>
      </c>
      <c r="H682" s="1">
        <v>104.151</v>
      </c>
      <c r="I682" s="1">
        <v>8.85</v>
      </c>
      <c r="J682" s="1">
        <v>4.3025000000000002</v>
      </c>
    </row>
    <row r="683" spans="1:10" x14ac:dyDescent="0.3">
      <c r="A683" s="2">
        <v>44724</v>
      </c>
      <c r="B683" s="1">
        <v>1.0498000000000001</v>
      </c>
      <c r="C683" s="1">
        <v>1.2223999999999999</v>
      </c>
      <c r="D683" s="1">
        <v>0.14888485245511121</v>
      </c>
      <c r="E683" s="1">
        <v>31.13</v>
      </c>
      <c r="F683" s="1">
        <v>109.56</v>
      </c>
      <c r="G683" s="1">
        <f>VLOOKUP(A683,[1]黄金期货历史数据!$A:$B,2,)</f>
        <v>1840.6</v>
      </c>
      <c r="H683" s="1">
        <v>104.488</v>
      </c>
      <c r="I683" s="1">
        <v>6.944</v>
      </c>
      <c r="J683" s="1">
        <v>4.0220000000000002</v>
      </c>
    </row>
    <row r="684" spans="1:10" x14ac:dyDescent="0.3">
      <c r="A684" s="2">
        <v>44731</v>
      </c>
      <c r="B684" s="1">
        <v>1.0553999999999999</v>
      </c>
      <c r="C684" s="1">
        <v>1.2262</v>
      </c>
      <c r="D684" s="1">
        <v>0.14948129988938383</v>
      </c>
      <c r="E684" s="1">
        <v>27.23</v>
      </c>
      <c r="F684" s="1">
        <v>107.62</v>
      </c>
      <c r="G684" s="1">
        <f>VLOOKUP(A684,[1]黄金期货历史数据!$A:$B,2,)</f>
        <v>1830.3</v>
      </c>
      <c r="H684" s="1">
        <v>103.959</v>
      </c>
      <c r="I684" s="1">
        <v>6.22</v>
      </c>
      <c r="J684" s="1">
        <v>3.7440000000000002</v>
      </c>
    </row>
    <row r="685" spans="1:10" x14ac:dyDescent="0.3">
      <c r="A685" s="2">
        <v>44738</v>
      </c>
      <c r="B685" s="1">
        <v>1.0427999999999999</v>
      </c>
      <c r="C685" s="1">
        <v>1.2094</v>
      </c>
      <c r="D685" s="1">
        <v>0.14922032380810266</v>
      </c>
      <c r="E685" s="1">
        <v>26.7</v>
      </c>
      <c r="F685" s="1">
        <v>108.43</v>
      </c>
      <c r="G685" s="1">
        <f>VLOOKUP(A685,[1]黄金期货历史数据!$A:$B,2,)</f>
        <v>1805.9</v>
      </c>
      <c r="H685" s="1">
        <v>104.90900000000001</v>
      </c>
      <c r="I685" s="1">
        <v>5.73</v>
      </c>
      <c r="J685" s="1">
        <v>3.6040000000000001</v>
      </c>
    </row>
    <row r="686" spans="1:10" x14ac:dyDescent="0.3">
      <c r="A686" s="2">
        <v>44745</v>
      </c>
      <c r="B686" s="1">
        <v>1.0183</v>
      </c>
      <c r="C686" s="1">
        <v>1.2027000000000001</v>
      </c>
      <c r="D686" s="1">
        <v>0.14936073604970726</v>
      </c>
      <c r="E686" s="1">
        <v>24.64</v>
      </c>
      <c r="F686" s="1">
        <v>104.79</v>
      </c>
      <c r="G686" s="1">
        <f>VLOOKUP(A686,[1]黄金期货历史数据!$A:$B,2,)</f>
        <v>1746.7</v>
      </c>
      <c r="H686" s="1">
        <v>106.821</v>
      </c>
      <c r="I686" s="1">
        <v>6.0339999999999998</v>
      </c>
      <c r="J686" s="1">
        <v>3.5219999999999998</v>
      </c>
    </row>
    <row r="687" spans="1:10" x14ac:dyDescent="0.3">
      <c r="A687" s="2">
        <v>44752</v>
      </c>
      <c r="B687" s="1">
        <v>1.0086999999999999</v>
      </c>
      <c r="C687" s="1">
        <v>1.1852</v>
      </c>
      <c r="D687" s="1">
        <v>0.14798372179060304</v>
      </c>
      <c r="E687" s="1">
        <v>24.23</v>
      </c>
      <c r="F687" s="1">
        <v>97.59</v>
      </c>
      <c r="G687" s="1">
        <f>VLOOKUP(A687,[1]黄金期货历史数据!$A:$B,2,)</f>
        <v>1707.5</v>
      </c>
      <c r="H687" s="1">
        <v>107.911</v>
      </c>
      <c r="I687" s="1">
        <v>7.016</v>
      </c>
      <c r="J687" s="1">
        <v>3.234</v>
      </c>
    </row>
    <row r="688" spans="1:10" x14ac:dyDescent="0.3">
      <c r="A688" s="2">
        <v>44759</v>
      </c>
      <c r="B688" s="1">
        <v>1.0209999999999999</v>
      </c>
      <c r="C688" s="1">
        <v>1.2001999999999999</v>
      </c>
      <c r="D688" s="1">
        <v>0.14811523365178109</v>
      </c>
      <c r="E688" s="1">
        <v>23.03</v>
      </c>
      <c r="F688" s="1">
        <v>94.7</v>
      </c>
      <c r="G688" s="1">
        <f>VLOOKUP(A688,[1]黄金期货历史数据!$A:$B,2,)</f>
        <v>1731.4</v>
      </c>
      <c r="H688" s="1">
        <v>106.621</v>
      </c>
      <c r="I688" s="1">
        <v>8.2989999999999995</v>
      </c>
      <c r="J688" s="1">
        <v>3.3494999999999999</v>
      </c>
    </row>
    <row r="689" spans="1:10" x14ac:dyDescent="0.3">
      <c r="A689" s="2">
        <v>44766</v>
      </c>
      <c r="B689" s="1">
        <v>1.0218</v>
      </c>
      <c r="C689" s="1">
        <v>1.2165999999999999</v>
      </c>
      <c r="D689" s="1">
        <v>0.14827555529195457</v>
      </c>
      <c r="E689" s="1">
        <v>21.33</v>
      </c>
      <c r="F689" s="1">
        <v>98.62</v>
      </c>
      <c r="G689" s="1">
        <f>VLOOKUP(A689,[1]黄金期货历史数据!$A:$B,2,)</f>
        <v>1771.5</v>
      </c>
      <c r="H689" s="1">
        <v>105.779</v>
      </c>
      <c r="I689" s="1">
        <v>8.2289999999999992</v>
      </c>
      <c r="J689" s="1">
        <v>3.5750000000000002</v>
      </c>
    </row>
    <row r="690" spans="1:10" x14ac:dyDescent="0.3">
      <c r="A690" s="2">
        <v>44773</v>
      </c>
      <c r="B690" s="1">
        <v>1.0181</v>
      </c>
      <c r="C690" s="1">
        <v>1.2071000000000001</v>
      </c>
      <c r="D690" s="1">
        <v>0.14788742808973809</v>
      </c>
      <c r="E690" s="1">
        <v>21.15</v>
      </c>
      <c r="F690" s="1">
        <v>89.01</v>
      </c>
      <c r="G690" s="1">
        <f>VLOOKUP(A690,[1]黄金期货历史数据!$A:$B,2,)</f>
        <v>1780.5</v>
      </c>
      <c r="H690" s="1">
        <v>106.49</v>
      </c>
      <c r="I690" s="1">
        <v>8.0640000000000001</v>
      </c>
      <c r="J690" s="1">
        <v>3.5590000000000002</v>
      </c>
    </row>
    <row r="691" spans="1:10" x14ac:dyDescent="0.3">
      <c r="A691" s="2">
        <v>44780</v>
      </c>
      <c r="B691" s="1">
        <v>1.0258</v>
      </c>
      <c r="C691" s="1">
        <v>1.2130000000000001</v>
      </c>
      <c r="D691" s="1">
        <v>0.14830634157916592</v>
      </c>
      <c r="E691" s="1">
        <v>19.53</v>
      </c>
      <c r="F691" s="1">
        <v>92.09</v>
      </c>
      <c r="G691" s="1">
        <f>VLOOKUP(A691,[1]黄金期货历史数据!$A:$B,2,)</f>
        <v>1805.2</v>
      </c>
      <c r="H691" s="1">
        <v>105.51</v>
      </c>
      <c r="I691" s="1">
        <v>8.7680000000000007</v>
      </c>
      <c r="J691" s="1">
        <v>3.6735000000000002</v>
      </c>
    </row>
    <row r="692" spans="1:10" x14ac:dyDescent="0.3">
      <c r="A692" s="2">
        <v>44787</v>
      </c>
      <c r="B692" s="1">
        <v>1.0034000000000001</v>
      </c>
      <c r="C692" s="1">
        <v>1.1827000000000001</v>
      </c>
      <c r="D692" s="1">
        <v>0.14669854915134889</v>
      </c>
      <c r="E692" s="1">
        <v>20.6</v>
      </c>
      <c r="F692" s="1">
        <v>90.77</v>
      </c>
      <c r="G692" s="1">
        <f>VLOOKUP(A692,[1]黄金期货历史数据!$A:$B,2,)</f>
        <v>1753</v>
      </c>
      <c r="H692" s="1">
        <v>108.098</v>
      </c>
      <c r="I692" s="1">
        <v>9.3360000000000003</v>
      </c>
      <c r="J692" s="1">
        <v>3.6684999999999999</v>
      </c>
    </row>
    <row r="693" spans="1:10" x14ac:dyDescent="0.3">
      <c r="A693" s="2">
        <v>44794</v>
      </c>
      <c r="B693" s="1">
        <v>0.99609999999999999</v>
      </c>
      <c r="C693" s="1">
        <v>1.1747000000000001</v>
      </c>
      <c r="D693" s="1">
        <v>0.14552227946098548</v>
      </c>
      <c r="E693" s="1">
        <v>25.56</v>
      </c>
      <c r="F693" s="1">
        <v>93.06</v>
      </c>
      <c r="G693" s="1">
        <f>VLOOKUP(A693,[1]黄金期货历史数据!$A:$B,2,)</f>
        <v>1740.6</v>
      </c>
      <c r="H693" s="1">
        <v>108.751</v>
      </c>
      <c r="I693" s="1">
        <v>9.2959999999999994</v>
      </c>
      <c r="J693" s="1">
        <v>3.6970000000000001</v>
      </c>
    </row>
    <row r="694" spans="1:10" x14ac:dyDescent="0.3">
      <c r="A694" s="2">
        <v>44801</v>
      </c>
      <c r="B694" s="1">
        <v>0.99509999999999998</v>
      </c>
      <c r="C694" s="1">
        <v>1.1507000000000001</v>
      </c>
      <c r="D694" s="1">
        <v>0.14492753623188406</v>
      </c>
      <c r="E694" s="1">
        <v>25.47</v>
      </c>
      <c r="F694" s="1">
        <v>86.87</v>
      </c>
      <c r="G694" s="1">
        <f>VLOOKUP(A694,[1]黄金期货历史数据!$A:$B,2,)</f>
        <v>1717.7</v>
      </c>
      <c r="H694" s="1">
        <v>109.51</v>
      </c>
      <c r="I694" s="1">
        <v>8.7859999999999996</v>
      </c>
      <c r="J694" s="1">
        <v>3.4169999999999998</v>
      </c>
    </row>
    <row r="695" spans="1:10" x14ac:dyDescent="0.3">
      <c r="A695" s="2">
        <v>44808</v>
      </c>
      <c r="B695" s="1">
        <v>1.0039</v>
      </c>
      <c r="C695" s="1">
        <v>1.1587000000000001</v>
      </c>
      <c r="D695" s="1">
        <v>0.14437305998700642</v>
      </c>
      <c r="E695" s="1">
        <v>22.79</v>
      </c>
      <c r="F695" s="1">
        <v>86.79</v>
      </c>
      <c r="G695" s="1">
        <f>VLOOKUP(A695,[1]黄金期货历史数据!$A:$B,2,)</f>
        <v>1723.6</v>
      </c>
      <c r="H695" s="1">
        <v>108.997</v>
      </c>
      <c r="I695" s="1">
        <v>7.9960000000000004</v>
      </c>
      <c r="J695" s="1">
        <v>3.573</v>
      </c>
    </row>
    <row r="696" spans="1:10" x14ac:dyDescent="0.3">
      <c r="A696" s="2">
        <v>44815</v>
      </c>
      <c r="B696" s="1">
        <v>1.0015000000000001</v>
      </c>
      <c r="C696" s="1">
        <v>1.1412</v>
      </c>
      <c r="D696" s="1">
        <v>0.14326647564469913</v>
      </c>
      <c r="E696" s="1">
        <v>26.3</v>
      </c>
      <c r="F696" s="1">
        <v>85.11</v>
      </c>
      <c r="G696" s="1">
        <f>VLOOKUP(A696,[1]黄金期货历史数据!$A:$B,2,)</f>
        <v>1677.9</v>
      </c>
      <c r="H696" s="1">
        <v>109.736</v>
      </c>
      <c r="I696" s="1">
        <v>7.7640000000000002</v>
      </c>
      <c r="J696" s="1">
        <v>3.5310000000000001</v>
      </c>
    </row>
    <row r="697" spans="1:10" x14ac:dyDescent="0.3">
      <c r="A697" s="2">
        <v>44822</v>
      </c>
      <c r="B697" s="1">
        <v>0.96899999999999997</v>
      </c>
      <c r="C697" s="1">
        <v>1.0855999999999999</v>
      </c>
      <c r="D697" s="1">
        <v>0.14028590266964072</v>
      </c>
      <c r="E697" s="1">
        <v>29.92</v>
      </c>
      <c r="F697" s="1">
        <v>78.739999999999995</v>
      </c>
      <c r="G697" s="1">
        <f>VLOOKUP(A697,[1]黄金期货历史数据!$A:$B,2,)</f>
        <v>1650</v>
      </c>
      <c r="H697" s="1">
        <v>112.962</v>
      </c>
      <c r="I697" s="1">
        <v>6.8280000000000003</v>
      </c>
      <c r="J697" s="1">
        <v>3.3570000000000002</v>
      </c>
    </row>
    <row r="698" spans="1:10" x14ac:dyDescent="0.3">
      <c r="A698" s="2">
        <v>44829</v>
      </c>
      <c r="B698" s="1">
        <v>0.97989999999999999</v>
      </c>
      <c r="C698" s="1">
        <v>1.1160000000000001</v>
      </c>
      <c r="D698" s="1">
        <v>0.14057777465382723</v>
      </c>
      <c r="E698" s="1">
        <v>31.62</v>
      </c>
      <c r="F698" s="1">
        <v>79.489999999999995</v>
      </c>
      <c r="G698" s="1">
        <f>VLOOKUP(A698,[1]黄金期货历史数据!$A:$B,2,)</f>
        <v>1672</v>
      </c>
      <c r="H698" s="1">
        <v>112.084</v>
      </c>
      <c r="I698" s="1">
        <v>6.766</v>
      </c>
      <c r="J698" s="1">
        <v>3.4125000000000001</v>
      </c>
    </row>
    <row r="699" spans="1:10" x14ac:dyDescent="0.3">
      <c r="A699" s="2">
        <v>44836</v>
      </c>
      <c r="B699" s="1">
        <v>0.97409999999999997</v>
      </c>
      <c r="C699" s="1">
        <v>1.1084000000000001</v>
      </c>
      <c r="D699" s="1">
        <v>0.1405283867341203</v>
      </c>
      <c r="E699" s="1">
        <v>31.36</v>
      </c>
      <c r="F699" s="1">
        <v>92.64</v>
      </c>
      <c r="G699" s="1">
        <f>VLOOKUP(A699,[1]黄金期货历史数据!$A:$B,2,)</f>
        <v>1709.3</v>
      </c>
      <c r="H699" s="1">
        <v>112.68300000000001</v>
      </c>
      <c r="I699" s="1">
        <v>6.7480000000000002</v>
      </c>
      <c r="J699" s="1">
        <v>3.3864999999999998</v>
      </c>
    </row>
    <row r="700" spans="1:10" x14ac:dyDescent="0.3">
      <c r="A700" s="2">
        <v>44843</v>
      </c>
      <c r="B700" s="1">
        <v>0.97189999999999999</v>
      </c>
      <c r="C700" s="1">
        <v>1.117</v>
      </c>
      <c r="D700" s="1">
        <v>0.13909173099659225</v>
      </c>
      <c r="E700" s="1">
        <v>32.020000000000003</v>
      </c>
      <c r="F700" s="1">
        <v>85.61</v>
      </c>
      <c r="G700" s="1">
        <f>VLOOKUP(A700,[1]黄金期货历史数据!$A:$B,2,)</f>
        <v>1648.9</v>
      </c>
      <c r="H700" s="1">
        <v>113.202</v>
      </c>
      <c r="I700" s="1">
        <v>6.4530000000000003</v>
      </c>
      <c r="J700" s="1">
        <v>3.4235000000000002</v>
      </c>
    </row>
    <row r="701" spans="1:10" x14ac:dyDescent="0.3">
      <c r="A701" s="2">
        <v>44850</v>
      </c>
      <c r="B701" s="1">
        <v>0.98599999999999999</v>
      </c>
      <c r="C701" s="1">
        <v>1.1302000000000001</v>
      </c>
      <c r="D701" s="1">
        <v>0.13812345474385007</v>
      </c>
      <c r="E701" s="1">
        <v>29.69</v>
      </c>
      <c r="F701" s="1">
        <v>85.05</v>
      </c>
      <c r="G701" s="1">
        <f>VLOOKUP(A701,[1]黄金期货历史数据!$A:$B,2,)</f>
        <v>1656.3</v>
      </c>
      <c r="H701" s="1">
        <v>111.98</v>
      </c>
      <c r="I701" s="1">
        <v>4.9589999999999996</v>
      </c>
      <c r="J701" s="1">
        <v>3.4744999999999999</v>
      </c>
    </row>
    <row r="702" spans="1:10" x14ac:dyDescent="0.3">
      <c r="A702" s="2">
        <v>44857</v>
      </c>
      <c r="B702" s="1">
        <v>0.99629999999999996</v>
      </c>
      <c r="C702" s="1">
        <v>1.161</v>
      </c>
      <c r="D702" s="1">
        <v>0.13793293700602766</v>
      </c>
      <c r="E702" s="1">
        <v>25.75</v>
      </c>
      <c r="F702" s="1">
        <v>87.9</v>
      </c>
      <c r="G702" s="1">
        <f>VLOOKUP(A702,[1]黄金期货历史数据!$A:$B,2,)</f>
        <v>1644.8</v>
      </c>
      <c r="H702" s="1">
        <v>110.60599999999999</v>
      </c>
      <c r="I702" s="1">
        <v>5.6840000000000002</v>
      </c>
      <c r="J702" s="1">
        <v>3.4289999999999998</v>
      </c>
    </row>
    <row r="703" spans="1:10" x14ac:dyDescent="0.3">
      <c r="A703" s="2">
        <v>44864</v>
      </c>
      <c r="B703" s="1">
        <v>0.996</v>
      </c>
      <c r="C703" s="1">
        <v>1.1375</v>
      </c>
      <c r="D703" s="1">
        <v>0.13922535015175563</v>
      </c>
      <c r="E703" s="1">
        <v>24.55</v>
      </c>
      <c r="F703" s="1">
        <v>92.61</v>
      </c>
      <c r="G703" s="1">
        <f>VLOOKUP(A703,[1]黄金期货历史数据!$A:$B,2,)</f>
        <v>1676.6</v>
      </c>
      <c r="H703" s="1">
        <v>110.774</v>
      </c>
      <c r="I703" s="1">
        <v>6.4</v>
      </c>
      <c r="J703" s="1">
        <v>3.6865000000000001</v>
      </c>
    </row>
    <row r="704" spans="1:10" x14ac:dyDescent="0.3">
      <c r="A704" s="2">
        <v>44871</v>
      </c>
      <c r="B704" s="1">
        <v>1.0351999999999999</v>
      </c>
      <c r="C704" s="1">
        <v>1.1835</v>
      </c>
      <c r="D704" s="1">
        <v>0.14071426561224776</v>
      </c>
      <c r="E704" s="1">
        <v>22.52</v>
      </c>
      <c r="F704" s="1">
        <v>88.96</v>
      </c>
      <c r="G704" s="1">
        <f>VLOOKUP(A704,[1]黄金期货历史数据!$A:$B,2,)</f>
        <v>1769.4</v>
      </c>
      <c r="H704" s="1">
        <v>106.164</v>
      </c>
      <c r="I704" s="1">
        <v>5.8789999999999996</v>
      </c>
      <c r="J704" s="1">
        <v>3.9135</v>
      </c>
    </row>
    <row r="705" spans="1:10" x14ac:dyDescent="0.3">
      <c r="A705" s="2">
        <v>44878</v>
      </c>
      <c r="B705" s="1">
        <v>1.0324</v>
      </c>
      <c r="C705" s="1">
        <v>1.1883999999999999</v>
      </c>
      <c r="D705" s="1">
        <v>0.14046522081132712</v>
      </c>
      <c r="E705" s="1">
        <v>23.12</v>
      </c>
      <c r="F705" s="1">
        <v>80.08</v>
      </c>
      <c r="G705" s="1">
        <f>VLOOKUP(A705,[1]黄金期货历史数据!$A:$B,2,)</f>
        <v>1754.4</v>
      </c>
      <c r="H705" s="1">
        <v>106.82599999999999</v>
      </c>
      <c r="I705" s="1">
        <v>6.3029999999999999</v>
      </c>
      <c r="J705" s="1">
        <v>3.6320000000000001</v>
      </c>
    </row>
    <row r="706" spans="1:10" x14ac:dyDescent="0.3">
      <c r="A706" s="2">
        <v>44885</v>
      </c>
      <c r="B706" s="1">
        <v>1.0395000000000001</v>
      </c>
      <c r="C706" s="1">
        <v>1.2093</v>
      </c>
      <c r="D706" s="1">
        <v>0.1395829262164652</v>
      </c>
      <c r="E706" s="1">
        <v>20.5</v>
      </c>
      <c r="F706" s="1">
        <v>76.28</v>
      </c>
      <c r="G706" s="1">
        <f>VLOOKUP(A706,[1]黄金期货历史数据!$A:$B,2,)</f>
        <v>1768.8</v>
      </c>
      <c r="H706" s="1">
        <v>105.917</v>
      </c>
      <c r="I706" s="1">
        <v>7.024</v>
      </c>
      <c r="J706" s="1">
        <v>3.6305000000000001</v>
      </c>
    </row>
    <row r="707" spans="1:10" x14ac:dyDescent="0.3">
      <c r="A707" s="2">
        <v>44892</v>
      </c>
      <c r="B707" s="1">
        <v>1.0538000000000001</v>
      </c>
      <c r="C707" s="1">
        <v>1.2286999999999999</v>
      </c>
      <c r="D707" s="1">
        <v>0.14247043738424275</v>
      </c>
      <c r="E707" s="1">
        <v>19.059999999999999</v>
      </c>
      <c r="F707" s="1">
        <v>80.3</v>
      </c>
      <c r="G707" s="1">
        <f>VLOOKUP(A707,[1]黄金期货历史数据!$A:$B,2,)</f>
        <v>1809.6</v>
      </c>
      <c r="H707" s="1">
        <v>104.5</v>
      </c>
      <c r="I707" s="1">
        <v>6.2809999999999997</v>
      </c>
      <c r="J707" s="1">
        <v>3.8504999999999998</v>
      </c>
    </row>
    <row r="708" spans="1:10" x14ac:dyDescent="0.3">
      <c r="A708" s="2">
        <v>44899</v>
      </c>
      <c r="B708" s="1">
        <v>1.0529999999999999</v>
      </c>
      <c r="C708" s="1">
        <v>1.2255</v>
      </c>
      <c r="D708" s="1">
        <v>0.1437628488046119</v>
      </c>
      <c r="E708" s="1">
        <v>22.83</v>
      </c>
      <c r="F708" s="1">
        <v>71.5</v>
      </c>
      <c r="G708" s="1">
        <f>VLOOKUP(A708,[1]黄金期货历史数据!$A:$B,2,)</f>
        <v>1810.7</v>
      </c>
      <c r="H708" s="1">
        <v>104.79900000000001</v>
      </c>
      <c r="I708" s="1">
        <v>6.2450000000000001</v>
      </c>
      <c r="J708" s="1">
        <v>3.8784999999999998</v>
      </c>
    </row>
    <row r="709" spans="1:10" x14ac:dyDescent="0.3">
      <c r="A709" s="2">
        <v>44906</v>
      </c>
      <c r="B709" s="1">
        <v>1.0582</v>
      </c>
      <c r="C709" s="1">
        <v>1.214</v>
      </c>
      <c r="D709" s="1">
        <v>0.14345555746829633</v>
      </c>
      <c r="E709" s="1">
        <v>22.62</v>
      </c>
      <c r="F709" s="1">
        <v>74.45</v>
      </c>
      <c r="G709" s="1">
        <f>VLOOKUP(A709,[1]黄金期货历史数据!$A:$B,2,)</f>
        <v>1800.2</v>
      </c>
      <c r="H709" s="1">
        <v>104.661</v>
      </c>
      <c r="I709" s="1">
        <v>6.6</v>
      </c>
      <c r="J709" s="1">
        <v>3.7614999999999998</v>
      </c>
    </row>
    <row r="710" spans="1:10" x14ac:dyDescent="0.3">
      <c r="A710" s="2">
        <v>44913</v>
      </c>
      <c r="B710" s="1">
        <v>1.0613999999999999</v>
      </c>
      <c r="C710" s="1">
        <v>1.2058</v>
      </c>
      <c r="D710" s="1">
        <v>0.14310246136233543</v>
      </c>
      <c r="E710" s="1">
        <v>20.87</v>
      </c>
      <c r="F710" s="1">
        <v>79.34</v>
      </c>
      <c r="G710" s="1">
        <f>VLOOKUP(A710,[1]黄金期货历史数据!$A:$B,2,)</f>
        <v>1804.2</v>
      </c>
      <c r="H710" s="1">
        <v>104.01</v>
      </c>
      <c r="I710" s="1">
        <v>5.0789999999999997</v>
      </c>
      <c r="J710" s="1">
        <v>3.8090000000000002</v>
      </c>
    </row>
    <row r="711" spans="1:10" x14ac:dyDescent="0.3">
      <c r="A711" s="2">
        <v>44920</v>
      </c>
      <c r="B711" s="1">
        <v>1.0702</v>
      </c>
      <c r="C711" s="1">
        <v>1.2097</v>
      </c>
      <c r="D711" s="1">
        <v>0.14498637128109959</v>
      </c>
      <c r="E711" s="1">
        <v>21.67</v>
      </c>
      <c r="F711" s="1">
        <v>80.47</v>
      </c>
      <c r="G711" s="1">
        <f>VLOOKUP(A711,[1]黄金期货历史数据!$A:$B,2,)</f>
        <v>1826.2</v>
      </c>
      <c r="H711" s="1">
        <v>103.26900000000001</v>
      </c>
      <c r="I711" s="1">
        <v>4.4749999999999996</v>
      </c>
      <c r="J711" s="1">
        <v>3.8105000000000002</v>
      </c>
    </row>
    <row r="712" spans="1:10" x14ac:dyDescent="0.3">
      <c r="A712" s="2">
        <v>44927</v>
      </c>
      <c r="B712" s="1">
        <v>1.0644</v>
      </c>
      <c r="C712" s="1">
        <v>1.2092000000000001</v>
      </c>
      <c r="D712" s="1">
        <v>0.14626298083954953</v>
      </c>
      <c r="E712" s="1">
        <v>21.13</v>
      </c>
      <c r="F712" s="1">
        <v>73.69</v>
      </c>
      <c r="G712" s="1">
        <f>VLOOKUP(A712,[1]黄金期货历史数据!$A:$B,2,)</f>
        <v>1869.7</v>
      </c>
      <c r="H712" s="1">
        <v>103.646</v>
      </c>
      <c r="I712" s="1">
        <v>3.71</v>
      </c>
      <c r="J712" s="1">
        <v>3.911</v>
      </c>
    </row>
    <row r="713" spans="1:10" x14ac:dyDescent="0.3">
      <c r="A713" s="2">
        <v>44934</v>
      </c>
      <c r="B713" s="1">
        <v>1.0828</v>
      </c>
      <c r="C713" s="1">
        <v>1.2225999999999999</v>
      </c>
      <c r="D713" s="1">
        <v>0.14923145799134457</v>
      </c>
      <c r="E713" s="1">
        <v>18.350000000000001</v>
      </c>
      <c r="F713" s="1">
        <v>80.11</v>
      </c>
      <c r="G713" s="1">
        <f>VLOOKUP(A713,[1]黄金期货历史数据!$A:$B,2,)</f>
        <v>1921.7</v>
      </c>
      <c r="H713" s="1">
        <v>101.946</v>
      </c>
      <c r="I713" s="1">
        <v>3.419</v>
      </c>
      <c r="J713" s="1">
        <v>4.2160000000000002</v>
      </c>
    </row>
    <row r="714" spans="1:10" x14ac:dyDescent="0.3">
      <c r="A714" s="2">
        <v>44941</v>
      </c>
      <c r="B714" s="1">
        <v>1.0854999999999999</v>
      </c>
      <c r="C714" s="1">
        <v>1.2393000000000001</v>
      </c>
      <c r="D714" s="1">
        <v>0.14743826022852932</v>
      </c>
      <c r="E714" s="1">
        <v>19.850000000000001</v>
      </c>
      <c r="F714" s="1">
        <v>81.64</v>
      </c>
      <c r="G714" s="1">
        <f>VLOOKUP(A714,[1]黄金期货历史数据!$A:$B,2,)</f>
        <v>1928.2</v>
      </c>
      <c r="H714" s="1">
        <v>101.78100000000001</v>
      </c>
      <c r="I714" s="1">
        <v>3.1739999999999999</v>
      </c>
      <c r="J714" s="1">
        <v>4.2515000000000001</v>
      </c>
    </row>
    <row r="715" spans="1:10" x14ac:dyDescent="0.3">
      <c r="A715" s="2">
        <v>44948</v>
      </c>
      <c r="B715" s="1">
        <v>1.0867</v>
      </c>
      <c r="C715" s="1">
        <v>1.2397</v>
      </c>
      <c r="D715" s="1">
        <v>0.14741869858772885</v>
      </c>
      <c r="E715" s="1">
        <v>18.510000000000002</v>
      </c>
      <c r="F715" s="1">
        <v>79.41</v>
      </c>
      <c r="G715" s="1">
        <f>VLOOKUP(A715,[1]黄金期货历史数据!$A:$B,2,)</f>
        <v>1929.4</v>
      </c>
      <c r="H715" s="1">
        <v>101.721</v>
      </c>
      <c r="I715" s="1">
        <v>3.109</v>
      </c>
      <c r="J715" s="1">
        <v>4.2225000000000001</v>
      </c>
    </row>
    <row r="716" spans="1:10" x14ac:dyDescent="0.3">
      <c r="A716" s="2">
        <v>44955</v>
      </c>
      <c r="B716" s="1">
        <v>1.0792999999999999</v>
      </c>
      <c r="C716" s="1">
        <v>1.2051000000000001</v>
      </c>
      <c r="D716" s="1">
        <v>0.14763852184311932</v>
      </c>
      <c r="E716" s="1">
        <v>18.329999999999998</v>
      </c>
      <c r="F716" s="1">
        <v>73.2</v>
      </c>
      <c r="G716" s="1">
        <f>VLOOKUP(A716,[1]黄金期货历史数据!$A:$B,2,)</f>
        <v>1862.9</v>
      </c>
      <c r="H716" s="1">
        <v>102.755</v>
      </c>
      <c r="I716" s="1">
        <v>2.41</v>
      </c>
      <c r="J716" s="1">
        <v>4.0564999999999998</v>
      </c>
    </row>
    <row r="717" spans="1:10" x14ac:dyDescent="0.3">
      <c r="A717" s="2">
        <v>44962</v>
      </c>
      <c r="B717" s="1">
        <v>1.0674999999999999</v>
      </c>
      <c r="C717" s="1">
        <v>1.2058</v>
      </c>
      <c r="D717" s="1">
        <v>0.14690759512266782</v>
      </c>
      <c r="E717" s="1">
        <v>20.53</v>
      </c>
      <c r="F717" s="1">
        <v>79.75</v>
      </c>
      <c r="G717" s="1">
        <f>VLOOKUP(A717,[1]黄金期货历史数据!$A:$B,2,)</f>
        <v>1862.8</v>
      </c>
      <c r="H717" s="1">
        <v>103.535</v>
      </c>
      <c r="I717" s="1">
        <v>2.5139999999999998</v>
      </c>
      <c r="J717" s="1">
        <v>4.0164999999999997</v>
      </c>
    </row>
    <row r="718" spans="1:10" x14ac:dyDescent="0.3">
      <c r="A718" s="2">
        <v>44969</v>
      </c>
      <c r="B718" s="1">
        <v>1.0693999999999999</v>
      </c>
      <c r="C718" s="1">
        <v>1.2035</v>
      </c>
      <c r="D718" s="1">
        <v>0.14564308705087312</v>
      </c>
      <c r="E718" s="1">
        <v>20.02</v>
      </c>
      <c r="F718" s="1">
        <v>76.34</v>
      </c>
      <c r="G718" s="1">
        <f>VLOOKUP(A718,[1]黄金期货历史数据!$A:$B,2,)</f>
        <v>1840.4</v>
      </c>
      <c r="H718" s="1">
        <v>103.78</v>
      </c>
      <c r="I718" s="1">
        <v>2.2749999999999999</v>
      </c>
      <c r="J718" s="1">
        <v>4.1085000000000003</v>
      </c>
    </row>
    <row r="719" spans="1:10" x14ac:dyDescent="0.3">
      <c r="A719" s="2">
        <v>44976</v>
      </c>
      <c r="B719" s="1">
        <v>1.0546</v>
      </c>
      <c r="C719" s="1">
        <v>1.1943999999999999</v>
      </c>
      <c r="D719" s="1">
        <v>0.14379178948882018</v>
      </c>
      <c r="E719" s="1">
        <v>21.67</v>
      </c>
      <c r="F719" s="1">
        <v>76.47</v>
      </c>
      <c r="G719" s="1">
        <f>VLOOKUP(A719,[1]黄金期货历史数据!$A:$B,2,)</f>
        <v>1817.1</v>
      </c>
      <c r="H719" s="1">
        <v>105.158</v>
      </c>
      <c r="I719" s="1">
        <v>2.4510000000000001</v>
      </c>
      <c r="J719" s="1">
        <v>3.952</v>
      </c>
    </row>
    <row r="720" spans="1:10" x14ac:dyDescent="0.3">
      <c r="A720" s="2">
        <v>44983</v>
      </c>
      <c r="B720" s="1">
        <v>1.0631999999999999</v>
      </c>
      <c r="C720" s="1">
        <v>1.204</v>
      </c>
      <c r="D720" s="1">
        <v>0.14482678716255359</v>
      </c>
      <c r="E720" s="1">
        <v>18.489999999999998</v>
      </c>
      <c r="F720" s="1">
        <v>79.680000000000007</v>
      </c>
      <c r="G720" s="1">
        <f>VLOOKUP(A720,[1]黄金期货历史数据!$A:$B,2,)</f>
        <v>1854.6</v>
      </c>
      <c r="H720" s="1">
        <v>104.488</v>
      </c>
      <c r="I720" s="1">
        <v>3.0089999999999999</v>
      </c>
      <c r="J720" s="1">
        <v>4.0670000000000002</v>
      </c>
    </row>
    <row r="721" spans="1:10" x14ac:dyDescent="0.3">
      <c r="A721" s="2">
        <v>44990</v>
      </c>
      <c r="B721" s="1">
        <v>1.0643</v>
      </c>
      <c r="C721" s="1">
        <v>1.2028000000000001</v>
      </c>
      <c r="D721" s="1">
        <v>0.14487504527345166</v>
      </c>
      <c r="E721" s="1">
        <v>24.8</v>
      </c>
      <c r="F721" s="1">
        <v>76.680000000000007</v>
      </c>
      <c r="G721" s="1">
        <f>VLOOKUP(A721,[1]黄金期货历史数据!$A:$B,2,)</f>
        <v>1867.2</v>
      </c>
      <c r="H721" s="1">
        <v>104.55200000000001</v>
      </c>
      <c r="I721" s="1">
        <v>2.4300000000000002</v>
      </c>
      <c r="J721" s="1">
        <v>4.0305</v>
      </c>
    </row>
    <row r="722" spans="1:10" x14ac:dyDescent="0.3">
      <c r="A722" s="2">
        <v>44997</v>
      </c>
      <c r="B722" s="1">
        <v>1.0666</v>
      </c>
      <c r="C722" s="1">
        <v>1.2175</v>
      </c>
      <c r="D722" s="1">
        <v>0.14524328249818447</v>
      </c>
      <c r="E722" s="1">
        <v>25.51</v>
      </c>
      <c r="F722" s="1">
        <v>66.739999999999995</v>
      </c>
      <c r="G722" s="1">
        <f>VLOOKUP(A722,[1]黄金期货历史数据!$A:$B,2,)</f>
        <v>1973.5</v>
      </c>
      <c r="H722" s="1">
        <v>103.36</v>
      </c>
      <c r="I722" s="1">
        <v>2.3380000000000001</v>
      </c>
      <c r="J722" s="1">
        <v>3.8925000000000001</v>
      </c>
    </row>
    <row r="723" spans="1:10" x14ac:dyDescent="0.3">
      <c r="A723" s="2">
        <v>45004</v>
      </c>
      <c r="B723" s="1">
        <v>1.0759000000000001</v>
      </c>
      <c r="C723" s="1">
        <v>1.2230000000000001</v>
      </c>
      <c r="D723" s="1">
        <v>0.14561339643247179</v>
      </c>
      <c r="E723" s="1">
        <v>21.74</v>
      </c>
      <c r="F723" s="1">
        <v>69.260000000000005</v>
      </c>
      <c r="G723" s="1">
        <f>VLOOKUP(A723,[1]黄金期货历史数据!$A:$B,2,)</f>
        <v>1983.8</v>
      </c>
      <c r="H723" s="1">
        <v>102.764</v>
      </c>
      <c r="I723" s="1">
        <v>2.2160000000000002</v>
      </c>
      <c r="J723" s="1">
        <v>4.0750000000000002</v>
      </c>
    </row>
    <row r="724" spans="1:10" x14ac:dyDescent="0.3">
      <c r="A724" s="2">
        <v>45011</v>
      </c>
      <c r="B724" s="1">
        <v>1.0839000000000001</v>
      </c>
      <c r="C724" s="1">
        <v>1.2333000000000001</v>
      </c>
      <c r="D724" s="1">
        <v>0.14561127613722405</v>
      </c>
      <c r="E724" s="1">
        <v>18.7</v>
      </c>
      <c r="F724" s="1">
        <v>75.67</v>
      </c>
      <c r="G724" s="1">
        <f>VLOOKUP(A724,[1]黄金期货历史数据!$A:$B,2,)</f>
        <v>1969</v>
      </c>
      <c r="H724" s="1">
        <v>102.18600000000001</v>
      </c>
      <c r="I724" s="1">
        <v>2.2160000000000002</v>
      </c>
      <c r="J724" s="1">
        <v>4.0945</v>
      </c>
    </row>
    <row r="725" spans="1:10" x14ac:dyDescent="0.3">
      <c r="A725" s="2">
        <v>45018</v>
      </c>
      <c r="B725" s="1">
        <v>1.0896999999999999</v>
      </c>
      <c r="C725" s="1">
        <v>1.2413000000000001</v>
      </c>
      <c r="D725" s="1">
        <v>0.14560067558713471</v>
      </c>
      <c r="E725" s="1">
        <v>18.399999999999999</v>
      </c>
      <c r="F725" s="1">
        <v>80.7</v>
      </c>
      <c r="G725" s="1">
        <f>VLOOKUP(A725,[1]黄金期货历史数据!$A:$B,2,)</f>
        <v>2011.9</v>
      </c>
      <c r="H725" s="1">
        <v>101.51900000000001</v>
      </c>
      <c r="I725" s="1">
        <v>2.0110000000000001</v>
      </c>
      <c r="J725" s="1">
        <v>4.0155000000000003</v>
      </c>
    </row>
    <row r="726" spans="1:10" x14ac:dyDescent="0.3">
      <c r="A726" s="2">
        <v>45025</v>
      </c>
      <c r="B726" s="1">
        <v>1.1000000000000001</v>
      </c>
      <c r="C726" s="1">
        <v>1.2413000000000001</v>
      </c>
      <c r="D726" s="1">
        <v>0.14558159848595137</v>
      </c>
      <c r="E726" s="1">
        <v>17.07</v>
      </c>
      <c r="F726" s="1">
        <v>82.52</v>
      </c>
      <c r="G726" s="1">
        <f>VLOOKUP(A726,[1]黄金期货历史数据!$A:$B,2,)</f>
        <v>2002.2</v>
      </c>
      <c r="H726" s="1">
        <v>101.245</v>
      </c>
      <c r="I726" s="1">
        <v>2.1139999999999999</v>
      </c>
      <c r="J726" s="1">
        <v>4.1064999999999996</v>
      </c>
    </row>
    <row r="727" spans="1:10" x14ac:dyDescent="0.3">
      <c r="A727" s="2">
        <v>45032</v>
      </c>
      <c r="B727" s="1">
        <v>1.0987</v>
      </c>
      <c r="C727" s="1">
        <v>1.2430000000000001</v>
      </c>
      <c r="D727" s="1">
        <v>0.14509576320371445</v>
      </c>
      <c r="E727" s="1">
        <v>16.77</v>
      </c>
      <c r="F727" s="1">
        <v>77.709999999999994</v>
      </c>
      <c r="G727" s="1">
        <f>VLOOKUP(A727,[1]黄金期货历史数据!$A:$B,2,)</f>
        <v>1979.5</v>
      </c>
      <c r="H727" s="1">
        <v>101.55200000000001</v>
      </c>
      <c r="I727" s="1">
        <v>2.2330000000000001</v>
      </c>
      <c r="J727" s="1">
        <v>3.98</v>
      </c>
    </row>
    <row r="728" spans="1:10" x14ac:dyDescent="0.3">
      <c r="A728" s="2">
        <v>45039</v>
      </c>
      <c r="B728" s="1">
        <v>1.1020000000000001</v>
      </c>
      <c r="C728" s="1">
        <v>1.2572000000000001</v>
      </c>
      <c r="D728" s="1">
        <v>0.14469686007813631</v>
      </c>
      <c r="E728" s="1">
        <v>15.78</v>
      </c>
      <c r="F728" s="1">
        <v>76.78</v>
      </c>
      <c r="G728" s="1">
        <f>VLOOKUP(A728,[1]黄金期货历史数据!$A:$B,2,)</f>
        <v>1985.7</v>
      </c>
      <c r="H728" s="1">
        <v>101.40300000000001</v>
      </c>
      <c r="I728" s="1">
        <v>2.41</v>
      </c>
      <c r="J728" s="1">
        <v>3.8904999999999998</v>
      </c>
    </row>
    <row r="729" spans="1:10" x14ac:dyDescent="0.3">
      <c r="A729" s="2">
        <v>45046</v>
      </c>
      <c r="B729" s="1">
        <v>1.1016999999999999</v>
      </c>
      <c r="C729" s="1">
        <v>1.2641</v>
      </c>
      <c r="D729" s="1">
        <v>0.14471780028943559</v>
      </c>
      <c r="E729" s="1">
        <v>17.190000000000001</v>
      </c>
      <c r="F729" s="1">
        <v>71.34</v>
      </c>
      <c r="G729" s="1">
        <f>VLOOKUP(A729,[1]黄金期货历史数据!$A:$B,2,)</f>
        <v>2024.8</v>
      </c>
      <c r="H729" s="1">
        <v>100.999</v>
      </c>
      <c r="I729" s="1">
        <v>2.137</v>
      </c>
      <c r="J729" s="1">
        <v>3.883</v>
      </c>
    </row>
    <row r="730" spans="1:10" x14ac:dyDescent="0.3">
      <c r="A730" s="2">
        <v>45053</v>
      </c>
      <c r="B730" s="1">
        <v>1.0848</v>
      </c>
      <c r="C730" s="1">
        <v>1.2457</v>
      </c>
      <c r="D730" s="1">
        <v>0.1437297879985627</v>
      </c>
      <c r="E730" s="1">
        <v>17.03</v>
      </c>
      <c r="F730" s="1">
        <v>70.040000000000006</v>
      </c>
      <c r="G730" s="1">
        <f>VLOOKUP(A730,[1]黄金期货历史数据!$A:$B,2,)</f>
        <v>2019.8</v>
      </c>
      <c r="H730" s="1">
        <v>102.509</v>
      </c>
      <c r="I730" s="1">
        <v>2.266</v>
      </c>
      <c r="J730" s="1">
        <v>3.7284999999999999</v>
      </c>
    </row>
    <row r="731" spans="1:10" x14ac:dyDescent="0.3">
      <c r="A731" s="2">
        <v>45060</v>
      </c>
      <c r="B731" s="1">
        <v>1.0802</v>
      </c>
      <c r="C731" s="1">
        <v>1.2444</v>
      </c>
      <c r="D731" s="1">
        <v>0.14273479874393377</v>
      </c>
      <c r="E731" s="1">
        <v>16.809999999999999</v>
      </c>
      <c r="F731" s="1">
        <v>71.55</v>
      </c>
      <c r="G731" s="1">
        <f>VLOOKUP(A731,[1]黄金期货历史数据!$A:$B,2,)</f>
        <v>2000.3</v>
      </c>
      <c r="H731" s="1">
        <v>103.07899999999999</v>
      </c>
      <c r="I731" s="1">
        <v>2.585</v>
      </c>
      <c r="J731" s="1">
        <v>3.7320000000000002</v>
      </c>
    </row>
    <row r="732" spans="1:10" x14ac:dyDescent="0.3">
      <c r="A732" s="2">
        <v>45067</v>
      </c>
      <c r="B732" s="1">
        <v>1.0724</v>
      </c>
      <c r="C732" s="1">
        <v>1.2343</v>
      </c>
      <c r="D732" s="1">
        <v>0.14158289678606825</v>
      </c>
      <c r="E732" s="1">
        <v>17.95</v>
      </c>
      <c r="F732" s="1">
        <v>72.67</v>
      </c>
      <c r="G732" s="1">
        <f>VLOOKUP(A732,[1]黄金期货历史数据!$A:$B,2,)</f>
        <v>1963.1</v>
      </c>
      <c r="H732" s="1">
        <v>104.136</v>
      </c>
      <c r="I732" s="1">
        <v>2.181</v>
      </c>
      <c r="J732" s="1">
        <v>3.6819999999999999</v>
      </c>
    </row>
    <row r="733" spans="1:10" x14ac:dyDescent="0.3">
      <c r="A733" s="2">
        <v>45074</v>
      </c>
      <c r="B733" s="1">
        <v>1.0706</v>
      </c>
      <c r="C733" s="1">
        <v>1.2447999999999999</v>
      </c>
      <c r="D733" s="1">
        <v>0.14118909455433662</v>
      </c>
      <c r="E733" s="1">
        <v>14.6</v>
      </c>
      <c r="F733" s="1">
        <v>71.739999999999995</v>
      </c>
      <c r="G733" s="1">
        <f>VLOOKUP(A733,[1]黄金期货历史数据!$A:$B,2,)</f>
        <v>1969.6</v>
      </c>
      <c r="H733" s="1">
        <v>103.952</v>
      </c>
      <c r="I733" s="1">
        <v>2.1720000000000002</v>
      </c>
      <c r="J733" s="1">
        <v>3.7275</v>
      </c>
    </row>
    <row r="734" spans="1:10" x14ac:dyDescent="0.3">
      <c r="A734" s="2">
        <v>45081</v>
      </c>
      <c r="B734" s="1">
        <v>1.0747</v>
      </c>
      <c r="C734" s="1">
        <v>1.2568999999999999</v>
      </c>
      <c r="D734" s="1">
        <v>0.14030558556536135</v>
      </c>
      <c r="E734" s="1">
        <v>13.83</v>
      </c>
      <c r="F734" s="1">
        <v>70.17</v>
      </c>
      <c r="G734" s="1">
        <f>VLOOKUP(A734,[1]黄金期货历史数据!$A:$B,2,)</f>
        <v>1977.2</v>
      </c>
      <c r="H734" s="1">
        <v>103.533</v>
      </c>
      <c r="I734" s="1">
        <v>2.254</v>
      </c>
      <c r="J734" s="1">
        <v>3.7890000000000001</v>
      </c>
    </row>
    <row r="735" spans="1:10" x14ac:dyDescent="0.3">
      <c r="A735" s="2">
        <v>45088</v>
      </c>
      <c r="B735" s="1">
        <v>1.0932999999999999</v>
      </c>
      <c r="C735" s="1">
        <v>1.2817000000000001</v>
      </c>
      <c r="D735" s="1">
        <v>0.14034890738375602</v>
      </c>
      <c r="E735" s="1">
        <v>13.54</v>
      </c>
      <c r="F735" s="1">
        <v>71.78</v>
      </c>
      <c r="G735" s="1">
        <f>VLOOKUP(A735,[1]黄金期货历史数据!$A:$B,2,)</f>
        <v>1971.2</v>
      </c>
      <c r="H735" s="1">
        <v>101.83799999999999</v>
      </c>
      <c r="I735" s="1">
        <v>2.6320000000000001</v>
      </c>
      <c r="J735" s="1">
        <v>3.8889999999999998</v>
      </c>
    </row>
    <row r="736" spans="1:10" x14ac:dyDescent="0.3">
      <c r="A736" s="2">
        <v>45095</v>
      </c>
      <c r="B736" s="1">
        <v>1.0889</v>
      </c>
      <c r="C736" s="1">
        <v>1.2710999999999999</v>
      </c>
      <c r="D736" s="1">
        <v>0.13931651318630797</v>
      </c>
      <c r="E736" s="1">
        <v>13.44</v>
      </c>
      <c r="F736" s="1">
        <v>69.16</v>
      </c>
      <c r="G736" s="1">
        <f>VLOOKUP(A736,[1]黄金期货历史数据!$A:$B,2,)</f>
        <v>1929.6</v>
      </c>
      <c r="H736" s="1">
        <v>102.217</v>
      </c>
      <c r="I736" s="1">
        <v>2.7290000000000001</v>
      </c>
      <c r="J736" s="1">
        <v>3.8035000000000001</v>
      </c>
    </row>
    <row r="737" spans="1:10" x14ac:dyDescent="0.3">
      <c r="A737" s="2">
        <v>45102</v>
      </c>
      <c r="B737" s="1">
        <v>1.091</v>
      </c>
      <c r="C737" s="1">
        <v>1.2704</v>
      </c>
      <c r="D737" s="1">
        <v>0.1379063064553942</v>
      </c>
      <c r="E737" s="1">
        <v>13.59</v>
      </c>
      <c r="F737" s="1">
        <v>70.64</v>
      </c>
      <c r="G737" s="1">
        <f>VLOOKUP(A737,[1]黄金期货历史数据!$A:$B,2,)</f>
        <v>1929.4</v>
      </c>
      <c r="H737" s="1">
        <v>102.262</v>
      </c>
      <c r="I737" s="1">
        <v>2.798</v>
      </c>
      <c r="J737" s="1">
        <v>3.7595000000000001</v>
      </c>
    </row>
    <row r="738" spans="1:10" x14ac:dyDescent="0.3">
      <c r="A738" s="2">
        <v>45109</v>
      </c>
      <c r="B738" s="1">
        <v>1.0878000000000001</v>
      </c>
      <c r="C738" s="1">
        <v>1.274</v>
      </c>
      <c r="D738" s="1">
        <v>0.13828963380904966</v>
      </c>
      <c r="E738" s="1">
        <v>15.78</v>
      </c>
      <c r="F738" s="1">
        <v>72.010000000000005</v>
      </c>
      <c r="G738" s="1">
        <f>VLOOKUP(A738,[1]黄金期货历史数据!$A:$B,2,)</f>
        <v>1921.25</v>
      </c>
      <c r="H738" s="1">
        <v>102.755</v>
      </c>
      <c r="I738" s="1">
        <v>2.6440000000000001</v>
      </c>
      <c r="J738" s="1">
        <v>3.7656999999999998</v>
      </c>
    </row>
    <row r="739" spans="1:10" x14ac:dyDescent="0.3">
      <c r="A739"/>
      <c r="B739"/>
      <c r="C739"/>
      <c r="D739"/>
      <c r="E739"/>
      <c r="F739"/>
      <c r="G739"/>
      <c r="H739"/>
      <c r="I739"/>
      <c r="J739"/>
    </row>
    <row r="740" spans="1:10" x14ac:dyDescent="0.3">
      <c r="A740"/>
      <c r="B740"/>
      <c r="C740"/>
      <c r="D740"/>
      <c r="E740"/>
      <c r="F740"/>
      <c r="G740"/>
      <c r="H740"/>
      <c r="I740"/>
      <c r="J740"/>
    </row>
    <row r="741" spans="1:10" x14ac:dyDescent="0.3">
      <c r="A741"/>
      <c r="B741"/>
      <c r="C741"/>
      <c r="D741"/>
      <c r="E741"/>
      <c r="F741"/>
      <c r="G741"/>
      <c r="H741"/>
      <c r="I741"/>
      <c r="J741"/>
    </row>
    <row r="742" spans="1:10" x14ac:dyDescent="0.3">
      <c r="A742"/>
      <c r="B742"/>
      <c r="C742"/>
      <c r="D742"/>
      <c r="E742"/>
      <c r="F742"/>
      <c r="G742"/>
      <c r="H742"/>
      <c r="I742"/>
      <c r="J742"/>
    </row>
    <row r="743" spans="1:10" x14ac:dyDescent="0.3">
      <c r="A743"/>
      <c r="B743"/>
      <c r="C743"/>
      <c r="D743"/>
      <c r="E743"/>
      <c r="F743"/>
      <c r="G743"/>
      <c r="H743"/>
      <c r="I743"/>
      <c r="J743"/>
    </row>
    <row r="744" spans="1:10" x14ac:dyDescent="0.3">
      <c r="A744"/>
      <c r="B744"/>
      <c r="C744"/>
      <c r="D744"/>
      <c r="E744"/>
      <c r="F744"/>
      <c r="G744"/>
      <c r="H744"/>
      <c r="I744"/>
      <c r="J744"/>
    </row>
    <row r="745" spans="1:10" x14ac:dyDescent="0.3">
      <c r="A745"/>
      <c r="B745"/>
      <c r="C745"/>
      <c r="D745"/>
      <c r="E745"/>
      <c r="F745"/>
      <c r="G745"/>
      <c r="H745"/>
      <c r="I745"/>
      <c r="J745"/>
    </row>
    <row r="746" spans="1:10" x14ac:dyDescent="0.3">
      <c r="A746"/>
      <c r="B746"/>
      <c r="C746"/>
      <c r="D746"/>
      <c r="E746"/>
      <c r="F746"/>
      <c r="G746"/>
      <c r="H746"/>
      <c r="I746"/>
      <c r="J746"/>
    </row>
    <row r="747" spans="1:10" x14ac:dyDescent="0.3">
      <c r="A747"/>
      <c r="B747"/>
      <c r="C747"/>
      <c r="D747"/>
      <c r="E747"/>
      <c r="F747"/>
      <c r="G747"/>
      <c r="H747"/>
      <c r="I747"/>
      <c r="J747"/>
    </row>
    <row r="748" spans="1:10" x14ac:dyDescent="0.3">
      <c r="A748"/>
      <c r="B748"/>
      <c r="C748"/>
      <c r="D748"/>
      <c r="E748"/>
      <c r="F748"/>
      <c r="G748"/>
      <c r="H748"/>
      <c r="I748"/>
      <c r="J74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XYX</dc:creator>
  <cp:lastModifiedBy>XYX</cp:lastModifiedBy>
  <dcterms:created xsi:type="dcterms:W3CDTF">2015-06-05T18:19:34Z</dcterms:created>
  <dcterms:modified xsi:type="dcterms:W3CDTF">2023-07-07T12:46:07Z</dcterms:modified>
</cp:coreProperties>
</file>