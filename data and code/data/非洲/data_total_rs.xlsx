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data\非洲\"/>
    </mc:Choice>
  </mc:AlternateContent>
  <xr:revisionPtr revIDLastSave="0" documentId="13_ncr:1_{D345B378-16F7-434D-BA61-FAA09B5B0683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Sheet1!$N$1:$N$708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703" i="1" l="1"/>
  <c r="AE704" i="1"/>
  <c r="AE705" i="1"/>
  <c r="AE706" i="1"/>
  <c r="AE707" i="1"/>
  <c r="AE708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A699" i="1"/>
  <c r="AA700" i="1"/>
  <c r="AA701" i="1"/>
  <c r="AA702" i="1"/>
  <c r="AA703" i="1"/>
  <c r="AA704" i="1"/>
  <c r="AA705" i="1"/>
  <c r="AA706" i="1"/>
  <c r="AA707" i="1"/>
  <c r="AA70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Z698" i="1"/>
  <c r="Z699" i="1"/>
  <c r="Z700" i="1"/>
  <c r="Z701" i="1"/>
  <c r="Z702" i="1"/>
  <c r="Z703" i="1"/>
  <c r="Z704" i="1"/>
  <c r="Z705" i="1"/>
  <c r="Z706" i="1"/>
  <c r="Z707" i="1"/>
  <c r="Z70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W708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N704" i="1"/>
  <c r="N705" i="1"/>
  <c r="N706" i="1"/>
  <c r="N707" i="1"/>
  <c r="N708" i="1"/>
  <c r="N70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</calcChain>
</file>

<file path=xl/sharedStrings.xml><?xml version="1.0" encoding="utf-8"?>
<sst xmlns="http://schemas.openxmlformats.org/spreadsheetml/2006/main" count="36" uniqueCount="36">
  <si>
    <t>Date</t>
    <phoneticPr fontId="1" type="noConversion"/>
  </si>
  <si>
    <t>上证指数</t>
    <phoneticPr fontId="1" type="noConversion"/>
  </si>
  <si>
    <t>深证成指</t>
    <phoneticPr fontId="1" type="noConversion"/>
  </si>
  <si>
    <t>台湾加权指数</t>
    <phoneticPr fontId="1" type="noConversion"/>
  </si>
  <si>
    <t>新加坡海峡时报指数</t>
    <phoneticPr fontId="1" type="noConversion"/>
  </si>
  <si>
    <t>印度NIFTY指数</t>
    <phoneticPr fontId="1" type="noConversion"/>
  </si>
  <si>
    <t>巴西IBOVESPA指数</t>
    <phoneticPr fontId="1" type="noConversion"/>
  </si>
  <si>
    <t>阿根廷Merval指数</t>
    <phoneticPr fontId="1" type="noConversion"/>
  </si>
  <si>
    <t xml:space="preserve">澳大利亚S&amp;P/ASX200指数 </t>
    <phoneticPr fontId="1" type="noConversion"/>
  </si>
  <si>
    <t>美国道琼斯指数</t>
    <phoneticPr fontId="1" type="noConversion"/>
  </si>
  <si>
    <t>加拿大TSX指数</t>
    <phoneticPr fontId="1" type="noConversion"/>
  </si>
  <si>
    <t>美国罗素2000指数</t>
    <phoneticPr fontId="1" type="noConversion"/>
  </si>
  <si>
    <t>美国标普500指数</t>
    <phoneticPr fontId="1" type="noConversion"/>
  </si>
  <si>
    <t>美国纳斯达克工业指数</t>
    <phoneticPr fontId="1" type="noConversion"/>
  </si>
  <si>
    <t>墨西哥BMV指数</t>
    <phoneticPr fontId="1" type="noConversion"/>
  </si>
  <si>
    <t>智利SPCLXIGPA指数</t>
    <phoneticPr fontId="1" type="noConversion"/>
  </si>
  <si>
    <t xml:space="preserve">波兰华沙WIG20指数 </t>
    <phoneticPr fontId="1" type="noConversion"/>
  </si>
  <si>
    <t>德国DAX30指数</t>
    <phoneticPr fontId="1" type="noConversion"/>
  </si>
  <si>
    <t>俄罗斯IRS指数</t>
    <phoneticPr fontId="1" type="noConversion"/>
  </si>
  <si>
    <t>法国CAC40指数</t>
    <phoneticPr fontId="1" type="noConversion"/>
  </si>
  <si>
    <t>荷兰AEX指数</t>
    <phoneticPr fontId="1" type="noConversion"/>
  </si>
  <si>
    <t>以色列TA35指数</t>
    <phoneticPr fontId="1" type="noConversion"/>
  </si>
  <si>
    <t>土耳其XU100指数</t>
    <phoneticPr fontId="1" type="noConversion"/>
  </si>
  <si>
    <t>西班牙IBEX35指数</t>
    <phoneticPr fontId="1" type="noConversion"/>
  </si>
  <si>
    <t>英国富时100指数</t>
    <phoneticPr fontId="1" type="noConversion"/>
  </si>
  <si>
    <t>欧洲STOXX指数</t>
    <phoneticPr fontId="1" type="noConversion"/>
  </si>
  <si>
    <t>韩国KOSPI指数</t>
    <phoneticPr fontId="1" type="noConversion"/>
  </si>
  <si>
    <t>日经225指数</t>
    <phoneticPr fontId="1" type="noConversion"/>
  </si>
  <si>
    <t>瑞士SWI20指数</t>
    <phoneticPr fontId="1" type="noConversion"/>
  </si>
  <si>
    <t>香港恒生指数</t>
    <phoneticPr fontId="1" type="noConversion"/>
  </si>
  <si>
    <t>越南VN30指数</t>
    <phoneticPr fontId="1" type="noConversion"/>
  </si>
  <si>
    <t>南非40指数</t>
    <phoneticPr fontId="1" type="noConversion"/>
  </si>
  <si>
    <t>埃及EGX30指数</t>
    <phoneticPr fontId="1" type="noConversion"/>
  </si>
  <si>
    <t>摩洛哥MASI指数</t>
    <phoneticPr fontId="1" type="noConversion"/>
  </si>
  <si>
    <t>尼日利亚NSE30指数</t>
    <phoneticPr fontId="1" type="noConversion"/>
  </si>
  <si>
    <t>坦桑尼亚全股指数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</si>
</sst>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4" fontId="0" fillId="2" borderId="0" xfId="0" applyNumberFormat="1" applyFill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0420;&#32599;&#26031;&#20132;&#26131;&#31995;&#32479;&#24066;&#20540;&#21152;&#26435;&#25351;&#25968;&#21382;&#21490;&#25968;&#25454;%20(1).csv" TargetMode="External"/><Relationship Id="rId1" Type="http://schemas.openxmlformats.org/officeDocument/2006/relationships/externalLinkPath" Target="/Desktop/CoEVaR/&#20013;&#22269;&#31649;&#29702;&#31185;&#23398;/code/COEVAR/data/&#20420;&#32599;&#26031;&#20132;&#26131;&#31995;&#32479;&#24066;&#20540;&#21152;&#26435;&#25351;&#25968;&#21382;&#21490;&#25968;&#25454;%20(1)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38889;&#22269;KOSPI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38889;&#22269;KOSPI&#25351;&#25968;&#21382;&#21490;&#25968;&#25454;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6085;&#32463;225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6085;&#32463;225&#25351;&#25968;&#21382;&#21490;&#25968;&#25454;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19978;&#35777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19978;&#35777;&#25351;&#25968;&#21382;&#21490;&#25968;&#25454;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8145;&#35777;&#25104;&#20221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8145;&#35777;&#25104;&#20221;&#25351;&#25968;&#21382;&#21490;&#25968;&#25454;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1488;&#28286;&#21152;&#26435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1488;&#28286;&#21152;&#26435;&#25351;&#25968;&#21382;&#21490;&#25968;&#25454;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36234;&#21335;VN30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36234;&#21335;VN30&#25351;&#25968;&#21382;&#21490;&#25968;&#25454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俄罗斯交易系统市值加权指数历史数据 (1)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1149.95</v>
          </cell>
        </row>
        <row r="3">
          <cell r="A3">
            <v>39971</v>
          </cell>
          <cell r="B3">
            <v>1127.23</v>
          </cell>
        </row>
        <row r="4">
          <cell r="A4">
            <v>39978</v>
          </cell>
          <cell r="B4">
            <v>1011.38</v>
          </cell>
        </row>
        <row r="5">
          <cell r="A5">
            <v>39985</v>
          </cell>
          <cell r="B5">
            <v>955.45</v>
          </cell>
        </row>
        <row r="6">
          <cell r="A6">
            <v>39992</v>
          </cell>
          <cell r="B6">
            <v>950.24</v>
          </cell>
        </row>
        <row r="7">
          <cell r="A7">
            <v>39999</v>
          </cell>
          <cell r="B7">
            <v>835.23</v>
          </cell>
        </row>
        <row r="8">
          <cell r="A8">
            <v>40006</v>
          </cell>
          <cell r="B8">
            <v>925</v>
          </cell>
        </row>
        <row r="9">
          <cell r="A9">
            <v>40013</v>
          </cell>
          <cell r="B9">
            <v>1012.62</v>
          </cell>
        </row>
        <row r="10">
          <cell r="A10">
            <v>40020</v>
          </cell>
          <cell r="B10">
            <v>1017.47</v>
          </cell>
        </row>
        <row r="11">
          <cell r="A11">
            <v>40027</v>
          </cell>
          <cell r="B11">
            <v>1080.08</v>
          </cell>
        </row>
        <row r="12">
          <cell r="A12">
            <v>40034</v>
          </cell>
          <cell r="B12">
            <v>1059.92</v>
          </cell>
        </row>
        <row r="13">
          <cell r="A13">
            <v>40041</v>
          </cell>
          <cell r="B13">
            <v>1050.44</v>
          </cell>
        </row>
        <row r="14">
          <cell r="A14">
            <v>40048</v>
          </cell>
          <cell r="B14">
            <v>1089.46</v>
          </cell>
        </row>
        <row r="15">
          <cell r="A15">
            <v>40055</v>
          </cell>
          <cell r="B15">
            <v>1063.57</v>
          </cell>
        </row>
        <row r="16">
          <cell r="A16">
            <v>40062</v>
          </cell>
          <cell r="B16">
            <v>1196.55</v>
          </cell>
        </row>
        <row r="17">
          <cell r="A17">
            <v>40069</v>
          </cell>
          <cell r="B17">
            <v>1245.56</v>
          </cell>
        </row>
        <row r="18">
          <cell r="A18">
            <v>40076</v>
          </cell>
          <cell r="B18">
            <v>1225.29</v>
          </cell>
        </row>
        <row r="19">
          <cell r="A19">
            <v>40083</v>
          </cell>
          <cell r="B19">
            <v>1224.8</v>
          </cell>
        </row>
        <row r="20">
          <cell r="A20">
            <v>40090</v>
          </cell>
          <cell r="B20">
            <v>1372.11</v>
          </cell>
        </row>
        <row r="21">
          <cell r="A21">
            <v>40097</v>
          </cell>
          <cell r="B21">
            <v>1408.68</v>
          </cell>
        </row>
        <row r="22">
          <cell r="A22">
            <v>40104</v>
          </cell>
          <cell r="B22">
            <v>1461.3</v>
          </cell>
        </row>
        <row r="23">
          <cell r="A23">
            <v>40111</v>
          </cell>
          <cell r="B23">
            <v>1348.54</v>
          </cell>
        </row>
        <row r="24">
          <cell r="A24">
            <v>40118</v>
          </cell>
          <cell r="B24">
            <v>1337.54</v>
          </cell>
        </row>
        <row r="25">
          <cell r="A25">
            <v>40125</v>
          </cell>
          <cell r="B25">
            <v>1419.49</v>
          </cell>
        </row>
        <row r="26">
          <cell r="A26">
            <v>40132</v>
          </cell>
          <cell r="B26">
            <v>1436.44</v>
          </cell>
        </row>
        <row r="27">
          <cell r="A27">
            <v>40139</v>
          </cell>
          <cell r="B27">
            <v>1369.6</v>
          </cell>
        </row>
        <row r="28">
          <cell r="A28">
            <v>40146</v>
          </cell>
          <cell r="B28">
            <v>1427.13</v>
          </cell>
        </row>
        <row r="29">
          <cell r="A29">
            <v>40153</v>
          </cell>
          <cell r="B29">
            <v>1366.36</v>
          </cell>
        </row>
        <row r="30">
          <cell r="A30">
            <v>40160</v>
          </cell>
          <cell r="B30">
            <v>1410.22</v>
          </cell>
        </row>
        <row r="31">
          <cell r="A31">
            <v>40167</v>
          </cell>
          <cell r="B31">
            <v>1450.25</v>
          </cell>
        </row>
        <row r="32">
          <cell r="A32">
            <v>40174</v>
          </cell>
          <cell r="B32">
            <v>1444.61</v>
          </cell>
        </row>
        <row r="33">
          <cell r="A33">
            <v>40188</v>
          </cell>
          <cell r="B33">
            <v>1559.25</v>
          </cell>
        </row>
        <row r="34">
          <cell r="A34">
            <v>40195</v>
          </cell>
          <cell r="B34">
            <v>1489.46</v>
          </cell>
        </row>
        <row r="35">
          <cell r="A35">
            <v>40202</v>
          </cell>
          <cell r="B35">
            <v>1473.81</v>
          </cell>
        </row>
        <row r="36">
          <cell r="A36">
            <v>40209</v>
          </cell>
          <cell r="B36">
            <v>1411.14</v>
          </cell>
        </row>
        <row r="37">
          <cell r="A37">
            <v>40216</v>
          </cell>
          <cell r="B37">
            <v>1363.83</v>
          </cell>
        </row>
        <row r="38">
          <cell r="A38">
            <v>40223</v>
          </cell>
          <cell r="B38">
            <v>1423.13</v>
          </cell>
        </row>
        <row r="39">
          <cell r="A39">
            <v>40230</v>
          </cell>
          <cell r="B39">
            <v>1390.25</v>
          </cell>
        </row>
        <row r="40">
          <cell r="A40">
            <v>40237</v>
          </cell>
          <cell r="B40">
            <v>1508.21</v>
          </cell>
        </row>
        <row r="41">
          <cell r="A41">
            <v>40244</v>
          </cell>
          <cell r="B41">
            <v>1534.68</v>
          </cell>
        </row>
        <row r="42">
          <cell r="A42">
            <v>40251</v>
          </cell>
          <cell r="B42">
            <v>1544.71</v>
          </cell>
        </row>
        <row r="43">
          <cell r="A43">
            <v>40258</v>
          </cell>
          <cell r="B43">
            <v>1519.87</v>
          </cell>
        </row>
        <row r="44">
          <cell r="A44">
            <v>40265</v>
          </cell>
          <cell r="B44">
            <v>1614.45</v>
          </cell>
        </row>
        <row r="45">
          <cell r="A45">
            <v>40272</v>
          </cell>
          <cell r="B45">
            <v>1631.81</v>
          </cell>
        </row>
        <row r="46">
          <cell r="A46">
            <v>40279</v>
          </cell>
          <cell r="B46">
            <v>1642.57</v>
          </cell>
        </row>
        <row r="47">
          <cell r="A47">
            <v>40286</v>
          </cell>
          <cell r="B47">
            <v>1602.99</v>
          </cell>
        </row>
        <row r="48">
          <cell r="A48">
            <v>40293</v>
          </cell>
          <cell r="B48">
            <v>1572.84</v>
          </cell>
        </row>
        <row r="49">
          <cell r="A49">
            <v>40300</v>
          </cell>
          <cell r="B49">
            <v>1369.91</v>
          </cell>
        </row>
        <row r="50">
          <cell r="A50">
            <v>40307</v>
          </cell>
          <cell r="B50">
            <v>1441.68</v>
          </cell>
        </row>
        <row r="51">
          <cell r="A51">
            <v>40314</v>
          </cell>
          <cell r="B51">
            <v>1297.9100000000001</v>
          </cell>
        </row>
        <row r="52">
          <cell r="A52">
            <v>40321</v>
          </cell>
          <cell r="B52">
            <v>1366.9</v>
          </cell>
        </row>
        <row r="53">
          <cell r="A53">
            <v>40328</v>
          </cell>
          <cell r="B53">
            <v>1360.74</v>
          </cell>
        </row>
        <row r="54">
          <cell r="A54">
            <v>40335</v>
          </cell>
          <cell r="B54">
            <v>1356.79</v>
          </cell>
        </row>
        <row r="55">
          <cell r="A55">
            <v>40342</v>
          </cell>
          <cell r="B55">
            <v>1409.43</v>
          </cell>
        </row>
        <row r="56">
          <cell r="A56">
            <v>40349</v>
          </cell>
          <cell r="B56">
            <v>1387.66</v>
          </cell>
        </row>
        <row r="57">
          <cell r="A57">
            <v>40356</v>
          </cell>
          <cell r="B57">
            <v>1316.65</v>
          </cell>
        </row>
        <row r="58">
          <cell r="A58">
            <v>40363</v>
          </cell>
          <cell r="B58">
            <v>1359.45</v>
          </cell>
        </row>
        <row r="59">
          <cell r="A59">
            <v>40370</v>
          </cell>
          <cell r="B59">
            <v>1389.92</v>
          </cell>
        </row>
        <row r="60">
          <cell r="A60">
            <v>40377</v>
          </cell>
          <cell r="B60">
            <v>1449.19</v>
          </cell>
        </row>
        <row r="61">
          <cell r="A61">
            <v>40384</v>
          </cell>
          <cell r="B61">
            <v>1479.73</v>
          </cell>
        </row>
        <row r="62">
          <cell r="A62">
            <v>40391</v>
          </cell>
          <cell r="B62">
            <v>1509.85</v>
          </cell>
        </row>
        <row r="63">
          <cell r="A63">
            <v>40398</v>
          </cell>
          <cell r="B63">
            <v>1445.37</v>
          </cell>
        </row>
        <row r="64">
          <cell r="A64">
            <v>40405</v>
          </cell>
          <cell r="B64">
            <v>1425.03</v>
          </cell>
        </row>
        <row r="65">
          <cell r="A65">
            <v>40412</v>
          </cell>
          <cell r="B65">
            <v>1421.47</v>
          </cell>
        </row>
        <row r="66">
          <cell r="A66">
            <v>40419</v>
          </cell>
          <cell r="B66">
            <v>1467.62</v>
          </cell>
        </row>
        <row r="67">
          <cell r="A67">
            <v>40426</v>
          </cell>
          <cell r="B67">
            <v>1487.09</v>
          </cell>
        </row>
        <row r="68">
          <cell r="A68">
            <v>40433</v>
          </cell>
          <cell r="B68">
            <v>1464.18</v>
          </cell>
        </row>
        <row r="69">
          <cell r="A69">
            <v>40440</v>
          </cell>
          <cell r="B69">
            <v>1488.67</v>
          </cell>
        </row>
        <row r="70">
          <cell r="A70">
            <v>40447</v>
          </cell>
          <cell r="B70">
            <v>1531.91</v>
          </cell>
        </row>
        <row r="71">
          <cell r="A71">
            <v>40454</v>
          </cell>
          <cell r="B71">
            <v>1566.85</v>
          </cell>
        </row>
        <row r="72">
          <cell r="A72">
            <v>40461</v>
          </cell>
          <cell r="B72">
            <v>1581.9</v>
          </cell>
        </row>
        <row r="73">
          <cell r="A73">
            <v>40468</v>
          </cell>
          <cell r="B73">
            <v>1608.71</v>
          </cell>
        </row>
        <row r="74">
          <cell r="A74">
            <v>40475</v>
          </cell>
          <cell r="B74">
            <v>1587.14</v>
          </cell>
        </row>
        <row r="75">
          <cell r="A75">
            <v>40482</v>
          </cell>
          <cell r="B75">
            <v>1602.53</v>
          </cell>
        </row>
        <row r="76">
          <cell r="A76">
            <v>40489</v>
          </cell>
          <cell r="B76">
            <v>1610.97</v>
          </cell>
        </row>
        <row r="77">
          <cell r="A77">
            <v>40496</v>
          </cell>
          <cell r="B77">
            <v>1600.98</v>
          </cell>
        </row>
        <row r="78">
          <cell r="A78">
            <v>40503</v>
          </cell>
          <cell r="B78">
            <v>1602.48</v>
          </cell>
        </row>
        <row r="79">
          <cell r="A79">
            <v>40510</v>
          </cell>
          <cell r="B79">
            <v>1687.36</v>
          </cell>
        </row>
        <row r="80">
          <cell r="A80">
            <v>40517</v>
          </cell>
          <cell r="B80">
            <v>1712.93</v>
          </cell>
        </row>
        <row r="81">
          <cell r="A81">
            <v>40524</v>
          </cell>
          <cell r="B81">
            <v>1743.87</v>
          </cell>
        </row>
        <row r="82">
          <cell r="A82">
            <v>40531</v>
          </cell>
          <cell r="B82">
            <v>1769.57</v>
          </cell>
        </row>
        <row r="83">
          <cell r="A83">
            <v>40538</v>
          </cell>
          <cell r="B83">
            <v>1770.28</v>
          </cell>
        </row>
        <row r="84">
          <cell r="A84">
            <v>40552</v>
          </cell>
          <cell r="B84">
            <v>1870.09</v>
          </cell>
        </row>
        <row r="85">
          <cell r="A85">
            <v>40559</v>
          </cell>
          <cell r="B85">
            <v>1884.76</v>
          </cell>
        </row>
        <row r="86">
          <cell r="A86">
            <v>40566</v>
          </cell>
          <cell r="B86">
            <v>1885.53</v>
          </cell>
        </row>
        <row r="87">
          <cell r="A87">
            <v>40573</v>
          </cell>
          <cell r="B87">
            <v>1928.58</v>
          </cell>
        </row>
        <row r="88">
          <cell r="A88">
            <v>40580</v>
          </cell>
          <cell r="B88">
            <v>1881.9</v>
          </cell>
        </row>
        <row r="89">
          <cell r="A89">
            <v>40587</v>
          </cell>
          <cell r="B89">
            <v>1868.4</v>
          </cell>
        </row>
        <row r="90">
          <cell r="A90">
            <v>40594</v>
          </cell>
          <cell r="B90">
            <v>1932.82</v>
          </cell>
        </row>
        <row r="91">
          <cell r="A91">
            <v>40601</v>
          </cell>
          <cell r="B91">
            <v>2012.68</v>
          </cell>
        </row>
        <row r="92">
          <cell r="A92">
            <v>40608</v>
          </cell>
          <cell r="B92">
            <v>1929.59</v>
          </cell>
        </row>
        <row r="93">
          <cell r="A93">
            <v>40615</v>
          </cell>
          <cell r="B93">
            <v>1962.92</v>
          </cell>
        </row>
        <row r="94">
          <cell r="A94">
            <v>40622</v>
          </cell>
          <cell r="B94">
            <v>2041.49</v>
          </cell>
        </row>
        <row r="95">
          <cell r="A95">
            <v>40629</v>
          </cell>
          <cell r="B95">
            <v>2076.7800000000002</v>
          </cell>
        </row>
        <row r="96">
          <cell r="A96">
            <v>40636</v>
          </cell>
          <cell r="B96">
            <v>2123.56</v>
          </cell>
        </row>
        <row r="97">
          <cell r="A97">
            <v>40643</v>
          </cell>
          <cell r="B97">
            <v>2030.32</v>
          </cell>
        </row>
        <row r="98">
          <cell r="A98">
            <v>40650</v>
          </cell>
          <cell r="B98">
            <v>2049.0300000000002</v>
          </cell>
        </row>
        <row r="99">
          <cell r="A99">
            <v>40657</v>
          </cell>
          <cell r="B99">
            <v>2026.94</v>
          </cell>
        </row>
        <row r="100">
          <cell r="A100">
            <v>40664</v>
          </cell>
          <cell r="B100">
            <v>1936.29</v>
          </cell>
        </row>
        <row r="101">
          <cell r="A101">
            <v>40671</v>
          </cell>
          <cell r="B101">
            <v>1866.3</v>
          </cell>
        </row>
        <row r="102">
          <cell r="A102">
            <v>40678</v>
          </cell>
          <cell r="B102">
            <v>1825.34</v>
          </cell>
        </row>
        <row r="103">
          <cell r="A103">
            <v>40685</v>
          </cell>
          <cell r="B103">
            <v>1858.39</v>
          </cell>
        </row>
        <row r="104">
          <cell r="A104">
            <v>40692</v>
          </cell>
          <cell r="B104">
            <v>1858.08</v>
          </cell>
        </row>
        <row r="105">
          <cell r="A105">
            <v>40699</v>
          </cell>
          <cell r="B105">
            <v>1926.02</v>
          </cell>
        </row>
        <row r="106">
          <cell r="A106">
            <v>40706</v>
          </cell>
          <cell r="B106">
            <v>1878.55</v>
          </cell>
        </row>
        <row r="107">
          <cell r="A107">
            <v>40713</v>
          </cell>
          <cell r="B107">
            <v>1857.04</v>
          </cell>
        </row>
        <row r="108">
          <cell r="A108">
            <v>40720</v>
          </cell>
          <cell r="B108">
            <v>1937.57</v>
          </cell>
        </row>
        <row r="109">
          <cell r="A109">
            <v>40727</v>
          </cell>
          <cell r="B109">
            <v>1958.4</v>
          </cell>
        </row>
        <row r="110">
          <cell r="A110">
            <v>40734</v>
          </cell>
          <cell r="B110">
            <v>1938.54</v>
          </cell>
        </row>
        <row r="111">
          <cell r="A111">
            <v>40741</v>
          </cell>
          <cell r="B111">
            <v>1976.82</v>
          </cell>
        </row>
        <row r="112">
          <cell r="A112">
            <v>40748</v>
          </cell>
          <cell r="B112">
            <v>1965.02</v>
          </cell>
        </row>
        <row r="113">
          <cell r="A113">
            <v>40755</v>
          </cell>
          <cell r="B113">
            <v>1798.75</v>
          </cell>
        </row>
        <row r="114">
          <cell r="A114">
            <v>40762</v>
          </cell>
          <cell r="B114">
            <v>1594.68</v>
          </cell>
        </row>
        <row r="115">
          <cell r="A115">
            <v>40769</v>
          </cell>
          <cell r="B115">
            <v>1575.33</v>
          </cell>
        </row>
        <row r="116">
          <cell r="A116">
            <v>40776</v>
          </cell>
          <cell r="B116">
            <v>1596.17</v>
          </cell>
        </row>
        <row r="117">
          <cell r="A117">
            <v>40783</v>
          </cell>
          <cell r="B117">
            <v>1657.25</v>
          </cell>
        </row>
        <row r="118">
          <cell r="A118">
            <v>40790</v>
          </cell>
          <cell r="B118">
            <v>1625.29</v>
          </cell>
        </row>
        <row r="119">
          <cell r="A119">
            <v>40797</v>
          </cell>
          <cell r="B119">
            <v>1574.94</v>
          </cell>
        </row>
        <row r="120">
          <cell r="A120">
            <v>40804</v>
          </cell>
          <cell r="B120">
            <v>1315.95</v>
          </cell>
        </row>
        <row r="121">
          <cell r="A121">
            <v>40811</v>
          </cell>
          <cell r="B121">
            <v>1341.09</v>
          </cell>
        </row>
        <row r="122">
          <cell r="A122">
            <v>40818</v>
          </cell>
          <cell r="B122">
            <v>1311.91</v>
          </cell>
        </row>
        <row r="123">
          <cell r="A123">
            <v>40825</v>
          </cell>
          <cell r="B123">
            <v>1449.28</v>
          </cell>
        </row>
        <row r="124">
          <cell r="A124">
            <v>40832</v>
          </cell>
          <cell r="B124">
            <v>1456.73</v>
          </cell>
        </row>
        <row r="125">
          <cell r="A125">
            <v>40839</v>
          </cell>
          <cell r="B125">
            <v>1610.32</v>
          </cell>
        </row>
        <row r="126">
          <cell r="A126">
            <v>40846</v>
          </cell>
          <cell r="B126">
            <v>1542.39</v>
          </cell>
        </row>
        <row r="127">
          <cell r="A127">
            <v>40853</v>
          </cell>
          <cell r="B127">
            <v>1530.7</v>
          </cell>
        </row>
        <row r="128">
          <cell r="A128">
            <v>40860</v>
          </cell>
          <cell r="B128">
            <v>1495.87</v>
          </cell>
        </row>
        <row r="129">
          <cell r="A129">
            <v>40867</v>
          </cell>
          <cell r="B129">
            <v>1413.18</v>
          </cell>
        </row>
        <row r="130">
          <cell r="A130">
            <v>40874</v>
          </cell>
          <cell r="B130">
            <v>1545.57</v>
          </cell>
        </row>
        <row r="131">
          <cell r="A131">
            <v>40881</v>
          </cell>
          <cell r="B131">
            <v>1410.28</v>
          </cell>
        </row>
        <row r="132">
          <cell r="A132">
            <v>40888</v>
          </cell>
          <cell r="B132">
            <v>1373.73</v>
          </cell>
        </row>
        <row r="133">
          <cell r="A133">
            <v>40895</v>
          </cell>
          <cell r="B133">
            <v>1394.12</v>
          </cell>
        </row>
        <row r="134">
          <cell r="A134">
            <v>40902</v>
          </cell>
          <cell r="B134">
            <v>1381.87</v>
          </cell>
        </row>
        <row r="135">
          <cell r="A135">
            <v>40909</v>
          </cell>
          <cell r="B135">
            <v>1423.7</v>
          </cell>
        </row>
        <row r="136">
          <cell r="A136">
            <v>40916</v>
          </cell>
          <cell r="B136">
            <v>1446.46</v>
          </cell>
        </row>
        <row r="137">
          <cell r="A137">
            <v>40923</v>
          </cell>
          <cell r="B137">
            <v>1496.41</v>
          </cell>
        </row>
        <row r="138">
          <cell r="A138">
            <v>40930</v>
          </cell>
          <cell r="B138">
            <v>1565.82</v>
          </cell>
        </row>
        <row r="139">
          <cell r="A139">
            <v>40937</v>
          </cell>
          <cell r="B139">
            <v>1625.6</v>
          </cell>
        </row>
        <row r="140">
          <cell r="A140">
            <v>40944</v>
          </cell>
          <cell r="B140">
            <v>1603.25</v>
          </cell>
        </row>
        <row r="141">
          <cell r="A141">
            <v>40951</v>
          </cell>
          <cell r="B141">
            <v>1656.6</v>
          </cell>
        </row>
        <row r="142">
          <cell r="A142">
            <v>40958</v>
          </cell>
          <cell r="B142">
            <v>1722.05</v>
          </cell>
        </row>
        <row r="143">
          <cell r="A143">
            <v>40965</v>
          </cell>
          <cell r="B143">
            <v>1726.73</v>
          </cell>
        </row>
        <row r="144">
          <cell r="A144">
            <v>40972</v>
          </cell>
          <cell r="B144">
            <v>1677.21</v>
          </cell>
        </row>
        <row r="145">
          <cell r="A145">
            <v>40979</v>
          </cell>
          <cell r="B145">
            <v>1748.32</v>
          </cell>
        </row>
        <row r="146">
          <cell r="A146">
            <v>40986</v>
          </cell>
          <cell r="B146">
            <v>1668.41</v>
          </cell>
        </row>
        <row r="147">
          <cell r="A147">
            <v>40993</v>
          </cell>
          <cell r="B147">
            <v>1637.73</v>
          </cell>
        </row>
        <row r="148">
          <cell r="A148">
            <v>41000</v>
          </cell>
          <cell r="B148">
            <v>1613.25</v>
          </cell>
        </row>
        <row r="149">
          <cell r="A149">
            <v>41007</v>
          </cell>
          <cell r="B149">
            <v>1612.74</v>
          </cell>
        </row>
        <row r="150">
          <cell r="A150">
            <v>41014</v>
          </cell>
          <cell r="B150">
            <v>1619.53</v>
          </cell>
        </row>
        <row r="151">
          <cell r="A151">
            <v>41021</v>
          </cell>
          <cell r="B151">
            <v>1594.2</v>
          </cell>
        </row>
        <row r="152">
          <cell r="A152">
            <v>41028</v>
          </cell>
          <cell r="B152">
            <v>1498.05</v>
          </cell>
        </row>
        <row r="153">
          <cell r="A153">
            <v>41035</v>
          </cell>
          <cell r="B153">
            <v>1464.53</v>
          </cell>
        </row>
        <row r="154">
          <cell r="A154">
            <v>41042</v>
          </cell>
          <cell r="B154">
            <v>1289.46</v>
          </cell>
        </row>
        <row r="155">
          <cell r="A155">
            <v>41049</v>
          </cell>
          <cell r="B155">
            <v>1272.69</v>
          </cell>
        </row>
        <row r="156">
          <cell r="A156">
            <v>41056</v>
          </cell>
          <cell r="B156">
            <v>1227.6500000000001</v>
          </cell>
        </row>
        <row r="157">
          <cell r="A157">
            <v>41063</v>
          </cell>
          <cell r="B157">
            <v>1282.48</v>
          </cell>
        </row>
        <row r="158">
          <cell r="A158">
            <v>41070</v>
          </cell>
          <cell r="B158">
            <v>1337.5</v>
          </cell>
        </row>
        <row r="159">
          <cell r="A159">
            <v>41077</v>
          </cell>
          <cell r="B159">
            <v>1281.8800000000001</v>
          </cell>
        </row>
        <row r="160">
          <cell r="A160">
            <v>41084</v>
          </cell>
          <cell r="B160">
            <v>1350.51</v>
          </cell>
        </row>
        <row r="161">
          <cell r="A161">
            <v>41091</v>
          </cell>
          <cell r="B161">
            <v>1357.71</v>
          </cell>
        </row>
        <row r="162">
          <cell r="A162">
            <v>41098</v>
          </cell>
          <cell r="B162">
            <v>1368.69</v>
          </cell>
        </row>
        <row r="163">
          <cell r="A163">
            <v>41105</v>
          </cell>
          <cell r="B163">
            <v>1391.55</v>
          </cell>
        </row>
        <row r="164">
          <cell r="A164">
            <v>41112</v>
          </cell>
          <cell r="B164">
            <v>1382.82</v>
          </cell>
        </row>
        <row r="165">
          <cell r="A165">
            <v>41119</v>
          </cell>
          <cell r="B165">
            <v>1398.33</v>
          </cell>
        </row>
        <row r="166">
          <cell r="A166">
            <v>41126</v>
          </cell>
          <cell r="B166">
            <v>1427.33</v>
          </cell>
        </row>
        <row r="167">
          <cell r="A167">
            <v>41133</v>
          </cell>
          <cell r="B167">
            <v>1416.78</v>
          </cell>
        </row>
        <row r="168">
          <cell r="A168">
            <v>41140</v>
          </cell>
          <cell r="B168">
            <v>1436.84</v>
          </cell>
        </row>
        <row r="169">
          <cell r="A169">
            <v>41147</v>
          </cell>
          <cell r="B169">
            <v>1389.72</v>
          </cell>
        </row>
        <row r="170">
          <cell r="A170">
            <v>41154</v>
          </cell>
          <cell r="B170">
            <v>1471.8</v>
          </cell>
        </row>
        <row r="171">
          <cell r="A171">
            <v>41161</v>
          </cell>
          <cell r="B171">
            <v>1589.4</v>
          </cell>
        </row>
        <row r="172">
          <cell r="A172">
            <v>41168</v>
          </cell>
          <cell r="B172">
            <v>1522.63</v>
          </cell>
        </row>
        <row r="173">
          <cell r="A173">
            <v>41175</v>
          </cell>
          <cell r="B173">
            <v>1475.7</v>
          </cell>
        </row>
        <row r="174">
          <cell r="A174">
            <v>41182</v>
          </cell>
          <cell r="B174">
            <v>1508.72</v>
          </cell>
        </row>
        <row r="175">
          <cell r="A175">
            <v>41189</v>
          </cell>
          <cell r="B175">
            <v>1472.36</v>
          </cell>
        </row>
        <row r="176">
          <cell r="A176">
            <v>41196</v>
          </cell>
          <cell r="B176">
            <v>1494.44</v>
          </cell>
        </row>
        <row r="177">
          <cell r="A177">
            <v>41203</v>
          </cell>
          <cell r="B177">
            <v>1441.38</v>
          </cell>
        </row>
        <row r="178">
          <cell r="A178">
            <v>41210</v>
          </cell>
          <cell r="B178">
            <v>1444.19</v>
          </cell>
        </row>
        <row r="179">
          <cell r="A179">
            <v>41217</v>
          </cell>
          <cell r="B179">
            <v>1397.86</v>
          </cell>
        </row>
        <row r="180">
          <cell r="A180">
            <v>41224</v>
          </cell>
          <cell r="B180">
            <v>1376.1</v>
          </cell>
        </row>
        <row r="181">
          <cell r="A181">
            <v>41231</v>
          </cell>
          <cell r="B181">
            <v>1432.24</v>
          </cell>
        </row>
        <row r="182">
          <cell r="A182">
            <v>41238</v>
          </cell>
          <cell r="B182">
            <v>1436.55</v>
          </cell>
        </row>
        <row r="183">
          <cell r="A183">
            <v>41245</v>
          </cell>
          <cell r="B183">
            <v>1471.09</v>
          </cell>
        </row>
        <row r="184">
          <cell r="A184">
            <v>41252</v>
          </cell>
          <cell r="B184">
            <v>1500.89</v>
          </cell>
        </row>
        <row r="185">
          <cell r="A185">
            <v>41259</v>
          </cell>
          <cell r="B185">
            <v>1512.18</v>
          </cell>
        </row>
        <row r="186">
          <cell r="A186">
            <v>41266</v>
          </cell>
          <cell r="B186">
            <v>1526.98</v>
          </cell>
        </row>
        <row r="187">
          <cell r="A187">
            <v>41280</v>
          </cell>
          <cell r="B187">
            <v>1571.73</v>
          </cell>
        </row>
        <row r="188">
          <cell r="A188">
            <v>41287</v>
          </cell>
          <cell r="B188">
            <v>1603.5</v>
          </cell>
        </row>
        <row r="189">
          <cell r="A189">
            <v>41294</v>
          </cell>
          <cell r="B189">
            <v>1618.84</v>
          </cell>
        </row>
        <row r="190">
          <cell r="A190">
            <v>41301</v>
          </cell>
          <cell r="B190">
            <v>1628.31</v>
          </cell>
        </row>
        <row r="191">
          <cell r="A191">
            <v>41308</v>
          </cell>
          <cell r="B191">
            <v>1590.13</v>
          </cell>
        </row>
        <row r="192">
          <cell r="A192">
            <v>41315</v>
          </cell>
          <cell r="B192">
            <v>1577.26</v>
          </cell>
        </row>
        <row r="193">
          <cell r="A193">
            <v>41322</v>
          </cell>
          <cell r="B193">
            <v>1551.04</v>
          </cell>
        </row>
        <row r="194">
          <cell r="A194">
            <v>41329</v>
          </cell>
          <cell r="B194">
            <v>1509.8</v>
          </cell>
        </row>
        <row r="195">
          <cell r="A195">
            <v>41336</v>
          </cell>
          <cell r="B195">
            <v>1532.09</v>
          </cell>
        </row>
        <row r="196">
          <cell r="A196">
            <v>41343</v>
          </cell>
          <cell r="B196">
            <v>1537.66</v>
          </cell>
        </row>
        <row r="197">
          <cell r="A197">
            <v>41350</v>
          </cell>
          <cell r="B197">
            <v>1470.91</v>
          </cell>
        </row>
        <row r="198">
          <cell r="A198">
            <v>41357</v>
          </cell>
          <cell r="B198">
            <v>1460.04</v>
          </cell>
        </row>
        <row r="199">
          <cell r="A199">
            <v>41364</v>
          </cell>
          <cell r="B199">
            <v>1411.09</v>
          </cell>
        </row>
        <row r="200">
          <cell r="A200">
            <v>41371</v>
          </cell>
          <cell r="B200">
            <v>1405.47</v>
          </cell>
        </row>
        <row r="201">
          <cell r="A201">
            <v>41378</v>
          </cell>
          <cell r="B201">
            <v>1336.46</v>
          </cell>
        </row>
        <row r="202">
          <cell r="A202">
            <v>41385</v>
          </cell>
          <cell r="B202">
            <v>1382.22</v>
          </cell>
        </row>
        <row r="203">
          <cell r="A203">
            <v>41392</v>
          </cell>
          <cell r="B203">
            <v>1429.86</v>
          </cell>
        </row>
        <row r="204">
          <cell r="A204">
            <v>41399</v>
          </cell>
          <cell r="B204">
            <v>1429.78</v>
          </cell>
        </row>
        <row r="205">
          <cell r="A205">
            <v>41406</v>
          </cell>
          <cell r="B205">
            <v>1405.34</v>
          </cell>
        </row>
        <row r="206">
          <cell r="A206">
            <v>41413</v>
          </cell>
          <cell r="B206">
            <v>1388.52</v>
          </cell>
        </row>
        <row r="207">
          <cell r="A207">
            <v>41420</v>
          </cell>
          <cell r="B207">
            <v>1331.43</v>
          </cell>
        </row>
        <row r="208">
          <cell r="A208">
            <v>41427</v>
          </cell>
          <cell r="B208">
            <v>1314.41</v>
          </cell>
        </row>
        <row r="209">
          <cell r="A209">
            <v>41434</v>
          </cell>
          <cell r="B209">
            <v>1293.8800000000001</v>
          </cell>
        </row>
        <row r="210">
          <cell r="A210">
            <v>41441</v>
          </cell>
          <cell r="B210">
            <v>1245.72</v>
          </cell>
        </row>
        <row r="211">
          <cell r="A211">
            <v>41448</v>
          </cell>
          <cell r="B211">
            <v>1275.44</v>
          </cell>
        </row>
        <row r="212">
          <cell r="A212">
            <v>41455</v>
          </cell>
          <cell r="B212">
            <v>1268.5899999999999</v>
          </cell>
        </row>
        <row r="213">
          <cell r="A213">
            <v>41462</v>
          </cell>
          <cell r="B213">
            <v>1348.81</v>
          </cell>
        </row>
        <row r="214">
          <cell r="A214">
            <v>41469</v>
          </cell>
          <cell r="B214">
            <v>1382.33</v>
          </cell>
        </row>
        <row r="215">
          <cell r="A215">
            <v>41476</v>
          </cell>
          <cell r="B215">
            <v>1348.37</v>
          </cell>
        </row>
        <row r="216">
          <cell r="A216">
            <v>41483</v>
          </cell>
          <cell r="B216">
            <v>1336.39</v>
          </cell>
        </row>
        <row r="217">
          <cell r="A217">
            <v>41490</v>
          </cell>
          <cell r="B217">
            <v>1325.72</v>
          </cell>
        </row>
        <row r="218">
          <cell r="A218">
            <v>41497</v>
          </cell>
          <cell r="B218">
            <v>1323.42</v>
          </cell>
        </row>
        <row r="219">
          <cell r="A219">
            <v>41504</v>
          </cell>
          <cell r="B219">
            <v>1330.99</v>
          </cell>
        </row>
        <row r="220">
          <cell r="A220">
            <v>41511</v>
          </cell>
          <cell r="B220">
            <v>1290.96</v>
          </cell>
        </row>
        <row r="221">
          <cell r="A221">
            <v>41518</v>
          </cell>
          <cell r="B221">
            <v>1345.6</v>
          </cell>
        </row>
        <row r="222">
          <cell r="A222">
            <v>41525</v>
          </cell>
          <cell r="B222">
            <v>1396.57</v>
          </cell>
        </row>
        <row r="223">
          <cell r="A223">
            <v>41532</v>
          </cell>
          <cell r="B223">
            <v>1462.92</v>
          </cell>
        </row>
        <row r="224">
          <cell r="A224">
            <v>41539</v>
          </cell>
          <cell r="B224">
            <v>1432.87</v>
          </cell>
        </row>
        <row r="225">
          <cell r="A225">
            <v>41546</v>
          </cell>
          <cell r="B225">
            <v>1443.15</v>
          </cell>
        </row>
        <row r="226">
          <cell r="A226">
            <v>41553</v>
          </cell>
          <cell r="B226">
            <v>1477</v>
          </cell>
        </row>
        <row r="227">
          <cell r="A227">
            <v>41560</v>
          </cell>
          <cell r="B227">
            <v>1516.62</v>
          </cell>
        </row>
        <row r="228">
          <cell r="A228">
            <v>41567</v>
          </cell>
          <cell r="B228">
            <v>1492.2</v>
          </cell>
        </row>
        <row r="229">
          <cell r="A229">
            <v>41574</v>
          </cell>
          <cell r="B229">
            <v>1475.18</v>
          </cell>
        </row>
        <row r="230">
          <cell r="A230">
            <v>41581</v>
          </cell>
          <cell r="B230">
            <v>1435.12</v>
          </cell>
        </row>
        <row r="231">
          <cell r="A231">
            <v>41588</v>
          </cell>
          <cell r="B231">
            <v>1444.24</v>
          </cell>
        </row>
        <row r="232">
          <cell r="A232">
            <v>41595</v>
          </cell>
          <cell r="B232">
            <v>1444.91</v>
          </cell>
        </row>
        <row r="233">
          <cell r="A233">
            <v>41602</v>
          </cell>
          <cell r="B233">
            <v>1402.93</v>
          </cell>
        </row>
        <row r="234">
          <cell r="A234">
            <v>41609</v>
          </cell>
          <cell r="B234">
            <v>1390.61</v>
          </cell>
        </row>
        <row r="235">
          <cell r="A235">
            <v>41616</v>
          </cell>
          <cell r="B235">
            <v>1391.85</v>
          </cell>
        </row>
        <row r="236">
          <cell r="A236">
            <v>41623</v>
          </cell>
          <cell r="B236">
            <v>1429.91</v>
          </cell>
        </row>
        <row r="237">
          <cell r="A237">
            <v>41630</v>
          </cell>
          <cell r="B237">
            <v>1445.39</v>
          </cell>
        </row>
        <row r="238">
          <cell r="A238">
            <v>41637</v>
          </cell>
          <cell r="B238">
            <v>1442.73</v>
          </cell>
        </row>
        <row r="239">
          <cell r="A239">
            <v>41644</v>
          </cell>
          <cell r="B239">
            <v>1395.91</v>
          </cell>
        </row>
        <row r="240">
          <cell r="A240">
            <v>41651</v>
          </cell>
          <cell r="B240">
            <v>1395.79</v>
          </cell>
        </row>
        <row r="241">
          <cell r="A241">
            <v>41658</v>
          </cell>
          <cell r="B241">
            <v>1364.11</v>
          </cell>
        </row>
        <row r="242">
          <cell r="A242">
            <v>41665</v>
          </cell>
          <cell r="B242">
            <v>1301.02</v>
          </cell>
        </row>
        <row r="243">
          <cell r="A243">
            <v>41672</v>
          </cell>
          <cell r="B243">
            <v>1341.49</v>
          </cell>
        </row>
        <row r="244">
          <cell r="A244">
            <v>41679</v>
          </cell>
          <cell r="B244">
            <v>1343.2</v>
          </cell>
        </row>
        <row r="245">
          <cell r="A245">
            <v>41686</v>
          </cell>
          <cell r="B245">
            <v>1315.54</v>
          </cell>
        </row>
        <row r="246">
          <cell r="A246">
            <v>41693</v>
          </cell>
          <cell r="B246">
            <v>1267.27</v>
          </cell>
        </row>
        <row r="247">
          <cell r="A247">
            <v>41700</v>
          </cell>
          <cell r="B247">
            <v>1158.8699999999999</v>
          </cell>
        </row>
        <row r="248">
          <cell r="A248">
            <v>41707</v>
          </cell>
          <cell r="B248">
            <v>1062.47</v>
          </cell>
        </row>
        <row r="249">
          <cell r="A249">
            <v>41714</v>
          </cell>
          <cell r="B249">
            <v>1136.21</v>
          </cell>
        </row>
        <row r="250">
          <cell r="A250">
            <v>41721</v>
          </cell>
          <cell r="B250">
            <v>1186.28</v>
          </cell>
        </row>
        <row r="251">
          <cell r="A251">
            <v>41728</v>
          </cell>
          <cell r="B251">
            <v>1233.93</v>
          </cell>
        </row>
        <row r="252">
          <cell r="A252">
            <v>41735</v>
          </cell>
          <cell r="B252">
            <v>1204.07</v>
          </cell>
        </row>
        <row r="253">
          <cell r="A253">
            <v>41742</v>
          </cell>
          <cell r="B253">
            <v>1200.22</v>
          </cell>
        </row>
        <row r="254">
          <cell r="A254">
            <v>41749</v>
          </cell>
          <cell r="B254">
            <v>1119.3699999999999</v>
          </cell>
        </row>
        <row r="255">
          <cell r="A255">
            <v>41756</v>
          </cell>
          <cell r="B255">
            <v>1148.96</v>
          </cell>
        </row>
        <row r="256">
          <cell r="A256">
            <v>41763</v>
          </cell>
          <cell r="B256">
            <v>1232.78</v>
          </cell>
        </row>
        <row r="257">
          <cell r="A257">
            <v>41770</v>
          </cell>
          <cell r="B257">
            <v>1262.01</v>
          </cell>
        </row>
        <row r="258">
          <cell r="A258">
            <v>41777</v>
          </cell>
          <cell r="B258">
            <v>1326.58</v>
          </cell>
        </row>
        <row r="259">
          <cell r="A259">
            <v>41784</v>
          </cell>
          <cell r="B259">
            <v>1295.75</v>
          </cell>
        </row>
        <row r="260">
          <cell r="A260">
            <v>41791</v>
          </cell>
          <cell r="B260">
            <v>1359.1</v>
          </cell>
        </row>
        <row r="261">
          <cell r="A261">
            <v>41798</v>
          </cell>
          <cell r="B261">
            <v>1374.94</v>
          </cell>
        </row>
        <row r="262">
          <cell r="A262">
            <v>41805</v>
          </cell>
          <cell r="B262">
            <v>1358.73</v>
          </cell>
        </row>
        <row r="263">
          <cell r="A263">
            <v>41812</v>
          </cell>
          <cell r="B263">
            <v>1379.75</v>
          </cell>
        </row>
        <row r="264">
          <cell r="A264">
            <v>41819</v>
          </cell>
          <cell r="B264">
            <v>1360.48</v>
          </cell>
        </row>
        <row r="265">
          <cell r="A265">
            <v>41826</v>
          </cell>
          <cell r="B265">
            <v>1383.18</v>
          </cell>
        </row>
        <row r="266">
          <cell r="A266">
            <v>41833</v>
          </cell>
          <cell r="B266">
            <v>1276.28</v>
          </cell>
        </row>
        <row r="267">
          <cell r="A267">
            <v>41840</v>
          </cell>
          <cell r="B267">
            <v>1246.25</v>
          </cell>
        </row>
        <row r="268">
          <cell r="A268">
            <v>41847</v>
          </cell>
          <cell r="B268">
            <v>1212.74</v>
          </cell>
        </row>
        <row r="269">
          <cell r="A269">
            <v>41854</v>
          </cell>
          <cell r="B269">
            <v>1170.5999999999999</v>
          </cell>
        </row>
        <row r="270">
          <cell r="A270">
            <v>41861</v>
          </cell>
          <cell r="B270">
            <v>1232.3399999999999</v>
          </cell>
        </row>
        <row r="271">
          <cell r="A271">
            <v>41868</v>
          </cell>
          <cell r="B271">
            <v>1260.07</v>
          </cell>
        </row>
        <row r="272">
          <cell r="A272">
            <v>41875</v>
          </cell>
          <cell r="B272">
            <v>1190.23</v>
          </cell>
        </row>
        <row r="273">
          <cell r="A273">
            <v>41882</v>
          </cell>
          <cell r="B273">
            <v>1257.26</v>
          </cell>
        </row>
        <row r="274">
          <cell r="A274">
            <v>41889</v>
          </cell>
          <cell r="B274">
            <v>1213.27</v>
          </cell>
        </row>
        <row r="275">
          <cell r="A275">
            <v>41896</v>
          </cell>
          <cell r="B275">
            <v>1170.25</v>
          </cell>
        </row>
        <row r="276">
          <cell r="A276">
            <v>41903</v>
          </cell>
          <cell r="B276">
            <v>1156.1500000000001</v>
          </cell>
        </row>
        <row r="277">
          <cell r="A277">
            <v>41910</v>
          </cell>
          <cell r="B277">
            <v>1092.1199999999999</v>
          </cell>
        </row>
        <row r="278">
          <cell r="A278">
            <v>41917</v>
          </cell>
          <cell r="B278">
            <v>1064.29</v>
          </cell>
        </row>
        <row r="279">
          <cell r="A279">
            <v>41924</v>
          </cell>
          <cell r="B279">
            <v>1072.94</v>
          </cell>
        </row>
        <row r="280">
          <cell r="A280">
            <v>41931</v>
          </cell>
          <cell r="B280">
            <v>1036.68</v>
          </cell>
        </row>
        <row r="281">
          <cell r="A281">
            <v>41938</v>
          </cell>
          <cell r="B281">
            <v>1091.44</v>
          </cell>
        </row>
        <row r="282">
          <cell r="A282">
            <v>41945</v>
          </cell>
          <cell r="B282">
            <v>1007.68</v>
          </cell>
        </row>
        <row r="283">
          <cell r="A283">
            <v>41952</v>
          </cell>
          <cell r="B283">
            <v>1000.42</v>
          </cell>
        </row>
        <row r="284">
          <cell r="A284">
            <v>41959</v>
          </cell>
          <cell r="B284">
            <v>1058.8</v>
          </cell>
        </row>
        <row r="285">
          <cell r="A285">
            <v>41966</v>
          </cell>
          <cell r="B285">
            <v>974.27</v>
          </cell>
        </row>
        <row r="286">
          <cell r="A286">
            <v>41973</v>
          </cell>
          <cell r="B286">
            <v>908.75</v>
          </cell>
        </row>
        <row r="287">
          <cell r="A287">
            <v>41980</v>
          </cell>
          <cell r="B287">
            <v>799.18</v>
          </cell>
        </row>
        <row r="288">
          <cell r="A288">
            <v>41987</v>
          </cell>
          <cell r="B288">
            <v>768.06</v>
          </cell>
        </row>
        <row r="289">
          <cell r="A289">
            <v>41994</v>
          </cell>
          <cell r="B289">
            <v>828.57</v>
          </cell>
        </row>
        <row r="290">
          <cell r="A290">
            <v>42001</v>
          </cell>
          <cell r="B290">
            <v>790.71</v>
          </cell>
        </row>
        <row r="291">
          <cell r="A291">
            <v>42008</v>
          </cell>
          <cell r="B291">
            <v>782.62</v>
          </cell>
        </row>
        <row r="292">
          <cell r="A292">
            <v>42015</v>
          </cell>
          <cell r="B292">
            <v>769.8</v>
          </cell>
        </row>
        <row r="293">
          <cell r="A293">
            <v>42022</v>
          </cell>
          <cell r="B293">
            <v>820.99</v>
          </cell>
        </row>
        <row r="294">
          <cell r="A294">
            <v>42029</v>
          </cell>
          <cell r="B294">
            <v>737.35</v>
          </cell>
        </row>
        <row r="295">
          <cell r="A295">
            <v>42036</v>
          </cell>
          <cell r="B295">
            <v>826.4</v>
          </cell>
        </row>
        <row r="296">
          <cell r="A296">
            <v>42043</v>
          </cell>
          <cell r="B296">
            <v>914.05</v>
          </cell>
        </row>
        <row r="297">
          <cell r="A297">
            <v>42050</v>
          </cell>
          <cell r="B297">
            <v>910.42</v>
          </cell>
        </row>
        <row r="298">
          <cell r="A298">
            <v>42057</v>
          </cell>
          <cell r="B298">
            <v>896.63</v>
          </cell>
        </row>
        <row r="299">
          <cell r="A299">
            <v>42064</v>
          </cell>
          <cell r="B299">
            <v>903.45</v>
          </cell>
        </row>
        <row r="300">
          <cell r="A300">
            <v>42071</v>
          </cell>
          <cell r="B300">
            <v>833.57</v>
          </cell>
        </row>
        <row r="301">
          <cell r="A301">
            <v>42078</v>
          </cell>
          <cell r="B301">
            <v>862.14</v>
          </cell>
        </row>
        <row r="302">
          <cell r="A302">
            <v>42085</v>
          </cell>
          <cell r="B302">
            <v>856.44</v>
          </cell>
        </row>
        <row r="303">
          <cell r="A303">
            <v>42092</v>
          </cell>
          <cell r="B303">
            <v>930.12</v>
          </cell>
        </row>
        <row r="304">
          <cell r="A304">
            <v>42099</v>
          </cell>
          <cell r="B304">
            <v>999.38</v>
          </cell>
        </row>
        <row r="305">
          <cell r="A305">
            <v>42106</v>
          </cell>
          <cell r="B305">
            <v>998.96</v>
          </cell>
        </row>
        <row r="306">
          <cell r="A306">
            <v>42113</v>
          </cell>
          <cell r="B306">
            <v>1037.52</v>
          </cell>
        </row>
        <row r="307">
          <cell r="A307">
            <v>42120</v>
          </cell>
          <cell r="B307">
            <v>1029.31</v>
          </cell>
        </row>
        <row r="308">
          <cell r="A308">
            <v>42127</v>
          </cell>
          <cell r="B308">
            <v>1059.52</v>
          </cell>
        </row>
        <row r="309">
          <cell r="A309">
            <v>42134</v>
          </cell>
          <cell r="B309">
            <v>1074.73</v>
          </cell>
        </row>
        <row r="310">
          <cell r="A310">
            <v>42141</v>
          </cell>
          <cell r="B310">
            <v>1051.21</v>
          </cell>
        </row>
        <row r="311">
          <cell r="A311">
            <v>42148</v>
          </cell>
          <cell r="B311">
            <v>968.81</v>
          </cell>
        </row>
        <row r="312">
          <cell r="A312">
            <v>42155</v>
          </cell>
          <cell r="B312">
            <v>922.67</v>
          </cell>
        </row>
        <row r="313">
          <cell r="A313">
            <v>42162</v>
          </cell>
          <cell r="B313">
            <v>950.38</v>
          </cell>
        </row>
        <row r="314">
          <cell r="A314">
            <v>42169</v>
          </cell>
          <cell r="B314">
            <v>966.9</v>
          </cell>
        </row>
        <row r="315">
          <cell r="A315">
            <v>42176</v>
          </cell>
          <cell r="B315">
            <v>943.01</v>
          </cell>
        </row>
        <row r="316">
          <cell r="A316">
            <v>42183</v>
          </cell>
          <cell r="B316">
            <v>919.61</v>
          </cell>
        </row>
        <row r="317">
          <cell r="A317">
            <v>42190</v>
          </cell>
          <cell r="B317">
            <v>905.2</v>
          </cell>
        </row>
        <row r="318">
          <cell r="A318">
            <v>42197</v>
          </cell>
          <cell r="B318">
            <v>912.44</v>
          </cell>
        </row>
        <row r="319">
          <cell r="A319">
            <v>42204</v>
          </cell>
          <cell r="B319">
            <v>859.12</v>
          </cell>
        </row>
        <row r="320">
          <cell r="A320">
            <v>42211</v>
          </cell>
          <cell r="B320">
            <v>858.82</v>
          </cell>
        </row>
        <row r="321">
          <cell r="A321">
            <v>42218</v>
          </cell>
          <cell r="B321">
            <v>832.47</v>
          </cell>
        </row>
        <row r="322">
          <cell r="A322">
            <v>42225</v>
          </cell>
          <cell r="B322">
            <v>835.17</v>
          </cell>
        </row>
        <row r="323">
          <cell r="A323">
            <v>42232</v>
          </cell>
          <cell r="B323">
            <v>762.38</v>
          </cell>
        </row>
        <row r="324">
          <cell r="A324">
            <v>42239</v>
          </cell>
          <cell r="B324">
            <v>829.95</v>
          </cell>
        </row>
        <row r="325">
          <cell r="A325">
            <v>42246</v>
          </cell>
          <cell r="B325">
            <v>793.65</v>
          </cell>
        </row>
        <row r="326">
          <cell r="A326">
            <v>42253</v>
          </cell>
          <cell r="B326">
            <v>799.1</v>
          </cell>
        </row>
        <row r="327">
          <cell r="A327">
            <v>42260</v>
          </cell>
          <cell r="B327">
            <v>816.56</v>
          </cell>
        </row>
        <row r="328">
          <cell r="A328">
            <v>42267</v>
          </cell>
          <cell r="B328">
            <v>788.55</v>
          </cell>
        </row>
        <row r="329">
          <cell r="A329">
            <v>42274</v>
          </cell>
          <cell r="B329">
            <v>764.93</v>
          </cell>
        </row>
        <row r="330">
          <cell r="A330">
            <v>42281</v>
          </cell>
          <cell r="B330">
            <v>885.96</v>
          </cell>
        </row>
        <row r="331">
          <cell r="A331">
            <v>42288</v>
          </cell>
          <cell r="B331">
            <v>881.19</v>
          </cell>
        </row>
        <row r="332">
          <cell r="A332">
            <v>42295</v>
          </cell>
          <cell r="B332">
            <v>872.86</v>
          </cell>
        </row>
        <row r="333">
          <cell r="A333">
            <v>42302</v>
          </cell>
          <cell r="B333">
            <v>845.54</v>
          </cell>
        </row>
        <row r="334">
          <cell r="A334">
            <v>42309</v>
          </cell>
          <cell r="B334">
            <v>854.34</v>
          </cell>
        </row>
        <row r="335">
          <cell r="A335">
            <v>42316</v>
          </cell>
          <cell r="B335">
            <v>814.93</v>
          </cell>
        </row>
        <row r="336">
          <cell r="A336">
            <v>42323</v>
          </cell>
          <cell r="B336">
            <v>888.36</v>
          </cell>
        </row>
        <row r="337">
          <cell r="A337">
            <v>42330</v>
          </cell>
          <cell r="B337">
            <v>856.3</v>
          </cell>
        </row>
        <row r="338">
          <cell r="A338">
            <v>42337</v>
          </cell>
          <cell r="B338">
            <v>811.72</v>
          </cell>
        </row>
        <row r="339">
          <cell r="A339">
            <v>42344</v>
          </cell>
          <cell r="B339">
            <v>777.17</v>
          </cell>
        </row>
        <row r="340">
          <cell r="A340">
            <v>42351</v>
          </cell>
          <cell r="B340">
            <v>765.73</v>
          </cell>
        </row>
        <row r="341">
          <cell r="A341">
            <v>42358</v>
          </cell>
          <cell r="B341">
            <v>772.94</v>
          </cell>
        </row>
        <row r="342">
          <cell r="A342">
            <v>42365</v>
          </cell>
          <cell r="B342">
            <v>757.04</v>
          </cell>
        </row>
        <row r="343">
          <cell r="A343">
            <v>42372</v>
          </cell>
          <cell r="B343">
            <v>736.82</v>
          </cell>
        </row>
        <row r="344">
          <cell r="A344">
            <v>42379</v>
          </cell>
          <cell r="B344">
            <v>652.98</v>
          </cell>
        </row>
        <row r="345">
          <cell r="A345">
            <v>42386</v>
          </cell>
          <cell r="B345">
            <v>691.4</v>
          </cell>
        </row>
        <row r="346">
          <cell r="A346">
            <v>42393</v>
          </cell>
          <cell r="B346">
            <v>745.3</v>
          </cell>
        </row>
        <row r="347">
          <cell r="A347">
            <v>42400</v>
          </cell>
          <cell r="B347">
            <v>725.91</v>
          </cell>
        </row>
        <row r="348">
          <cell r="A348">
            <v>42407</v>
          </cell>
          <cell r="B348">
            <v>689.9</v>
          </cell>
        </row>
        <row r="349">
          <cell r="A349">
            <v>42414</v>
          </cell>
          <cell r="B349">
            <v>725.98</v>
          </cell>
        </row>
        <row r="350">
          <cell r="A350">
            <v>42421</v>
          </cell>
          <cell r="B350">
            <v>757.45</v>
          </cell>
        </row>
        <row r="351">
          <cell r="A351">
            <v>42428</v>
          </cell>
          <cell r="B351">
            <v>818.25</v>
          </cell>
        </row>
        <row r="352">
          <cell r="A352">
            <v>42435</v>
          </cell>
          <cell r="B352">
            <v>845.59</v>
          </cell>
        </row>
        <row r="353">
          <cell r="A353">
            <v>42442</v>
          </cell>
          <cell r="B353">
            <v>885.13</v>
          </cell>
        </row>
        <row r="354">
          <cell r="A354">
            <v>42449</v>
          </cell>
          <cell r="B354">
            <v>862.22</v>
          </cell>
        </row>
        <row r="355">
          <cell r="A355">
            <v>42456</v>
          </cell>
          <cell r="B355">
            <v>861.96</v>
          </cell>
        </row>
        <row r="356">
          <cell r="A356">
            <v>42463</v>
          </cell>
          <cell r="B356">
            <v>879.07</v>
          </cell>
        </row>
        <row r="357">
          <cell r="A357">
            <v>42470</v>
          </cell>
          <cell r="B357">
            <v>905.1</v>
          </cell>
        </row>
        <row r="358">
          <cell r="A358">
            <v>42477</v>
          </cell>
          <cell r="B358">
            <v>931.46</v>
          </cell>
        </row>
        <row r="359">
          <cell r="A359">
            <v>42484</v>
          </cell>
          <cell r="B359">
            <v>951.11</v>
          </cell>
        </row>
        <row r="360">
          <cell r="A360">
            <v>42491</v>
          </cell>
          <cell r="B360">
            <v>912.02</v>
          </cell>
        </row>
        <row r="361">
          <cell r="A361">
            <v>42498</v>
          </cell>
          <cell r="B361">
            <v>921.88</v>
          </cell>
        </row>
        <row r="362">
          <cell r="A362">
            <v>42505</v>
          </cell>
          <cell r="B362">
            <v>893.09</v>
          </cell>
        </row>
        <row r="363">
          <cell r="A363">
            <v>42512</v>
          </cell>
          <cell r="B363">
            <v>917.52</v>
          </cell>
        </row>
        <row r="364">
          <cell r="A364">
            <v>42519</v>
          </cell>
          <cell r="B364">
            <v>902.64</v>
          </cell>
        </row>
        <row r="365">
          <cell r="A365">
            <v>42526</v>
          </cell>
          <cell r="B365">
            <v>924.65</v>
          </cell>
        </row>
        <row r="366">
          <cell r="A366">
            <v>42533</v>
          </cell>
          <cell r="B366">
            <v>910.28</v>
          </cell>
        </row>
        <row r="367">
          <cell r="A367">
            <v>42540</v>
          </cell>
          <cell r="B367">
            <v>912.49</v>
          </cell>
        </row>
        <row r="368">
          <cell r="A368">
            <v>42547</v>
          </cell>
          <cell r="B368">
            <v>933.32</v>
          </cell>
        </row>
        <row r="369">
          <cell r="A369">
            <v>42554</v>
          </cell>
          <cell r="B369">
            <v>934.35</v>
          </cell>
        </row>
        <row r="370">
          <cell r="A370">
            <v>42561</v>
          </cell>
          <cell r="B370">
            <v>963.7</v>
          </cell>
        </row>
        <row r="371">
          <cell r="A371">
            <v>42568</v>
          </cell>
          <cell r="B371">
            <v>935.98</v>
          </cell>
        </row>
        <row r="372">
          <cell r="A372">
            <v>42575</v>
          </cell>
          <cell r="B372">
            <v>927.57</v>
          </cell>
        </row>
        <row r="373">
          <cell r="A373">
            <v>42582</v>
          </cell>
          <cell r="B373">
            <v>935.46</v>
          </cell>
        </row>
        <row r="374">
          <cell r="A374">
            <v>42589</v>
          </cell>
          <cell r="B374">
            <v>954.58</v>
          </cell>
        </row>
        <row r="375">
          <cell r="A375">
            <v>42596</v>
          </cell>
          <cell r="B375">
            <v>965.68</v>
          </cell>
        </row>
        <row r="376">
          <cell r="A376">
            <v>42603</v>
          </cell>
          <cell r="B376">
            <v>973.43</v>
          </cell>
        </row>
        <row r="377">
          <cell r="A377">
            <v>42610</v>
          </cell>
          <cell r="B377">
            <v>969.86</v>
          </cell>
        </row>
        <row r="378">
          <cell r="A378">
            <v>42617</v>
          </cell>
          <cell r="B378">
            <v>987.87</v>
          </cell>
        </row>
        <row r="379">
          <cell r="A379">
            <v>42624</v>
          </cell>
          <cell r="B379">
            <v>961.41</v>
          </cell>
        </row>
        <row r="380">
          <cell r="A380">
            <v>42631</v>
          </cell>
          <cell r="B380">
            <v>993.94</v>
          </cell>
        </row>
        <row r="381">
          <cell r="A381">
            <v>42638</v>
          </cell>
          <cell r="B381">
            <v>990.88</v>
          </cell>
        </row>
        <row r="382">
          <cell r="A382">
            <v>42645</v>
          </cell>
          <cell r="B382">
            <v>1002.07</v>
          </cell>
        </row>
        <row r="383">
          <cell r="A383">
            <v>42652</v>
          </cell>
          <cell r="B383">
            <v>983.04</v>
          </cell>
        </row>
        <row r="384">
          <cell r="A384">
            <v>42659</v>
          </cell>
          <cell r="B384">
            <v>986.37</v>
          </cell>
        </row>
        <row r="385">
          <cell r="A385">
            <v>42666</v>
          </cell>
          <cell r="B385">
            <v>992.23</v>
          </cell>
        </row>
        <row r="386">
          <cell r="A386">
            <v>42673</v>
          </cell>
          <cell r="B386">
            <v>971.2</v>
          </cell>
        </row>
        <row r="387">
          <cell r="A387">
            <v>42680</v>
          </cell>
          <cell r="B387">
            <v>970.15</v>
          </cell>
        </row>
        <row r="388">
          <cell r="A388">
            <v>42687</v>
          </cell>
          <cell r="B388">
            <v>990.77</v>
          </cell>
        </row>
        <row r="389">
          <cell r="A389">
            <v>42694</v>
          </cell>
          <cell r="B389">
            <v>1018.51</v>
          </cell>
        </row>
        <row r="390">
          <cell r="A390">
            <v>42701</v>
          </cell>
          <cell r="B390">
            <v>1050.21</v>
          </cell>
        </row>
        <row r="391">
          <cell r="A391">
            <v>42708</v>
          </cell>
          <cell r="B391">
            <v>1110.1400000000001</v>
          </cell>
        </row>
        <row r="392">
          <cell r="A392">
            <v>42715</v>
          </cell>
          <cell r="B392">
            <v>1135.56</v>
          </cell>
        </row>
        <row r="393">
          <cell r="A393">
            <v>42722</v>
          </cell>
          <cell r="B393">
            <v>1117.92</v>
          </cell>
        </row>
        <row r="394">
          <cell r="A394">
            <v>42729</v>
          </cell>
          <cell r="B394">
            <v>1152.33</v>
          </cell>
        </row>
        <row r="395">
          <cell r="A395">
            <v>42736</v>
          </cell>
          <cell r="B395">
            <v>1172.5899999999999</v>
          </cell>
        </row>
        <row r="396">
          <cell r="A396">
            <v>42743</v>
          </cell>
          <cell r="B396">
            <v>1158.19</v>
          </cell>
        </row>
        <row r="397">
          <cell r="A397">
            <v>42750</v>
          </cell>
          <cell r="B397">
            <v>1138.99</v>
          </cell>
        </row>
        <row r="398">
          <cell r="A398">
            <v>42757</v>
          </cell>
          <cell r="B398">
            <v>1195.6099999999999</v>
          </cell>
        </row>
        <row r="399">
          <cell r="A399">
            <v>42764</v>
          </cell>
          <cell r="B399">
            <v>1190.4000000000001</v>
          </cell>
        </row>
        <row r="400">
          <cell r="A400">
            <v>42771</v>
          </cell>
          <cell r="B400">
            <v>1164.21</v>
          </cell>
        </row>
        <row r="401">
          <cell r="A401">
            <v>42778</v>
          </cell>
          <cell r="B401">
            <v>1152.21</v>
          </cell>
        </row>
        <row r="402">
          <cell r="A402">
            <v>42785</v>
          </cell>
          <cell r="B402">
            <v>1129.0899999999999</v>
          </cell>
        </row>
        <row r="403">
          <cell r="A403">
            <v>42792</v>
          </cell>
          <cell r="B403">
            <v>1108.26</v>
          </cell>
        </row>
        <row r="404">
          <cell r="A404">
            <v>42799</v>
          </cell>
          <cell r="B404">
            <v>1055.93</v>
          </cell>
        </row>
        <row r="405">
          <cell r="A405">
            <v>42806</v>
          </cell>
          <cell r="B405">
            <v>1111.8900000000001</v>
          </cell>
        </row>
        <row r="406">
          <cell r="A406">
            <v>42813</v>
          </cell>
          <cell r="B406">
            <v>1124.6600000000001</v>
          </cell>
        </row>
        <row r="407">
          <cell r="A407">
            <v>42820</v>
          </cell>
          <cell r="B407">
            <v>1113.76</v>
          </cell>
        </row>
        <row r="408">
          <cell r="A408">
            <v>42827</v>
          </cell>
          <cell r="B408">
            <v>1113.45</v>
          </cell>
        </row>
        <row r="409">
          <cell r="A409">
            <v>42834</v>
          </cell>
          <cell r="B409">
            <v>1073.1500000000001</v>
          </cell>
        </row>
        <row r="410">
          <cell r="A410">
            <v>42841</v>
          </cell>
          <cell r="B410">
            <v>1084.17</v>
          </cell>
        </row>
        <row r="411">
          <cell r="A411">
            <v>42848</v>
          </cell>
          <cell r="B411">
            <v>1114.43</v>
          </cell>
        </row>
        <row r="412">
          <cell r="A412">
            <v>42855</v>
          </cell>
          <cell r="B412">
            <v>1085.68</v>
          </cell>
        </row>
        <row r="413">
          <cell r="A413">
            <v>42862</v>
          </cell>
          <cell r="B413">
            <v>1099.75</v>
          </cell>
        </row>
        <row r="414">
          <cell r="A414">
            <v>42869</v>
          </cell>
          <cell r="B414">
            <v>1087.75</v>
          </cell>
        </row>
        <row r="415">
          <cell r="A415">
            <v>42876</v>
          </cell>
          <cell r="B415">
            <v>1073.04</v>
          </cell>
        </row>
        <row r="416">
          <cell r="A416">
            <v>42883</v>
          </cell>
          <cell r="B416">
            <v>1046.02</v>
          </cell>
        </row>
        <row r="417">
          <cell r="A417">
            <v>42890</v>
          </cell>
          <cell r="B417">
            <v>1041.49</v>
          </cell>
        </row>
        <row r="418">
          <cell r="A418">
            <v>42897</v>
          </cell>
          <cell r="B418">
            <v>994.38</v>
          </cell>
        </row>
        <row r="419">
          <cell r="A419">
            <v>42904</v>
          </cell>
          <cell r="B419">
            <v>988.93</v>
          </cell>
        </row>
        <row r="420">
          <cell r="A420">
            <v>42911</v>
          </cell>
          <cell r="B420">
            <v>1000.96</v>
          </cell>
        </row>
        <row r="421">
          <cell r="A421">
            <v>42918</v>
          </cell>
          <cell r="B421">
            <v>995.24</v>
          </cell>
        </row>
        <row r="422">
          <cell r="A422">
            <v>42925</v>
          </cell>
          <cell r="B422">
            <v>1044.27</v>
          </cell>
        </row>
        <row r="423">
          <cell r="A423">
            <v>42932</v>
          </cell>
          <cell r="B423">
            <v>1024.8900000000001</v>
          </cell>
        </row>
        <row r="424">
          <cell r="A424">
            <v>42939</v>
          </cell>
          <cell r="B424">
            <v>1014.44</v>
          </cell>
        </row>
        <row r="425">
          <cell r="A425">
            <v>42946</v>
          </cell>
          <cell r="B425">
            <v>1026.73</v>
          </cell>
        </row>
        <row r="426">
          <cell r="A426">
            <v>42953</v>
          </cell>
          <cell r="B426">
            <v>1022.41</v>
          </cell>
        </row>
        <row r="427">
          <cell r="A427">
            <v>42960</v>
          </cell>
          <cell r="B427">
            <v>1027.8499999999999</v>
          </cell>
        </row>
        <row r="428">
          <cell r="A428">
            <v>42967</v>
          </cell>
          <cell r="B428">
            <v>1060.49</v>
          </cell>
        </row>
        <row r="429">
          <cell r="A429">
            <v>42974</v>
          </cell>
          <cell r="B429">
            <v>1100.58</v>
          </cell>
        </row>
        <row r="430">
          <cell r="A430">
            <v>42981</v>
          </cell>
          <cell r="B430">
            <v>1119.6099999999999</v>
          </cell>
        </row>
        <row r="431">
          <cell r="A431">
            <v>42988</v>
          </cell>
          <cell r="B431">
            <v>1123.43</v>
          </cell>
        </row>
        <row r="432">
          <cell r="A432">
            <v>42995</v>
          </cell>
          <cell r="B432">
            <v>1123.24</v>
          </cell>
        </row>
        <row r="433">
          <cell r="A433">
            <v>43002</v>
          </cell>
          <cell r="B433">
            <v>1136.75</v>
          </cell>
        </row>
        <row r="434">
          <cell r="A434">
            <v>43009</v>
          </cell>
          <cell r="B434">
            <v>1134.3</v>
          </cell>
        </row>
        <row r="435">
          <cell r="A435">
            <v>43016</v>
          </cell>
          <cell r="B435">
            <v>1156.6400000000001</v>
          </cell>
        </row>
        <row r="436">
          <cell r="A436">
            <v>43023</v>
          </cell>
          <cell r="B436">
            <v>1134.45</v>
          </cell>
        </row>
        <row r="437">
          <cell r="A437">
            <v>43030</v>
          </cell>
          <cell r="B437">
            <v>1118.6199999999999</v>
          </cell>
        </row>
        <row r="438">
          <cell r="A438">
            <v>43037</v>
          </cell>
          <cell r="B438">
            <v>1109.3800000000001</v>
          </cell>
        </row>
        <row r="439">
          <cell r="A439">
            <v>43044</v>
          </cell>
          <cell r="B439">
            <v>1156.74</v>
          </cell>
        </row>
        <row r="440">
          <cell r="A440">
            <v>43051</v>
          </cell>
          <cell r="B440">
            <v>1132.45</v>
          </cell>
        </row>
        <row r="441">
          <cell r="A441">
            <v>43058</v>
          </cell>
          <cell r="B441">
            <v>1166.0899999999999</v>
          </cell>
        </row>
        <row r="442">
          <cell r="A442">
            <v>43065</v>
          </cell>
          <cell r="B442">
            <v>1133.33</v>
          </cell>
        </row>
        <row r="443">
          <cell r="A443">
            <v>43072</v>
          </cell>
          <cell r="B443">
            <v>1119.54</v>
          </cell>
        </row>
        <row r="444">
          <cell r="A444">
            <v>43079</v>
          </cell>
          <cell r="B444">
            <v>1148.27</v>
          </cell>
        </row>
        <row r="445">
          <cell r="A445">
            <v>43086</v>
          </cell>
          <cell r="B445">
            <v>1135.7</v>
          </cell>
        </row>
        <row r="446">
          <cell r="A446">
            <v>43093</v>
          </cell>
          <cell r="B446">
            <v>1154.43</v>
          </cell>
        </row>
        <row r="447">
          <cell r="A447">
            <v>43100</v>
          </cell>
          <cell r="B447">
            <v>1219.8900000000001</v>
          </cell>
        </row>
        <row r="448">
          <cell r="A448">
            <v>43107</v>
          </cell>
          <cell r="B448">
            <v>1261.07</v>
          </cell>
        </row>
        <row r="449">
          <cell r="A449">
            <v>43114</v>
          </cell>
          <cell r="B449">
            <v>1270.92</v>
          </cell>
        </row>
        <row r="450">
          <cell r="A450">
            <v>43121</v>
          </cell>
          <cell r="B450">
            <v>1286.7</v>
          </cell>
        </row>
        <row r="451">
          <cell r="A451">
            <v>43128</v>
          </cell>
          <cell r="B451">
            <v>1272.76</v>
          </cell>
        </row>
        <row r="452">
          <cell r="A452">
            <v>43135</v>
          </cell>
          <cell r="B452">
            <v>1185.79</v>
          </cell>
        </row>
        <row r="453">
          <cell r="A453">
            <v>43142</v>
          </cell>
          <cell r="B453">
            <v>1263.27</v>
          </cell>
        </row>
        <row r="454">
          <cell r="A454">
            <v>43149</v>
          </cell>
          <cell r="B454">
            <v>1301.01</v>
          </cell>
        </row>
        <row r="455">
          <cell r="A455">
            <v>43156</v>
          </cell>
          <cell r="B455">
            <v>1261.6300000000001</v>
          </cell>
        </row>
        <row r="456">
          <cell r="A456">
            <v>43163</v>
          </cell>
          <cell r="B456">
            <v>1285.53</v>
          </cell>
        </row>
        <row r="457">
          <cell r="A457">
            <v>43170</v>
          </cell>
          <cell r="B457">
            <v>1254.29</v>
          </cell>
        </row>
        <row r="458">
          <cell r="A458">
            <v>43177</v>
          </cell>
          <cell r="B458">
            <v>1261.44</v>
          </cell>
        </row>
        <row r="459">
          <cell r="A459">
            <v>43184</v>
          </cell>
          <cell r="B459">
            <v>1249.4100000000001</v>
          </cell>
        </row>
        <row r="460">
          <cell r="A460">
            <v>43191</v>
          </cell>
          <cell r="B460">
            <v>1236.48</v>
          </cell>
        </row>
        <row r="461">
          <cell r="A461">
            <v>43198</v>
          </cell>
          <cell r="B461">
            <v>1104.51</v>
          </cell>
        </row>
        <row r="462">
          <cell r="A462">
            <v>43205</v>
          </cell>
          <cell r="B462">
            <v>1145.8</v>
          </cell>
        </row>
        <row r="463">
          <cell r="A463">
            <v>43212</v>
          </cell>
          <cell r="B463">
            <v>1167.1199999999999</v>
          </cell>
        </row>
        <row r="464">
          <cell r="A464">
            <v>43219</v>
          </cell>
          <cell r="B464">
            <v>1146.6099999999999</v>
          </cell>
        </row>
        <row r="465">
          <cell r="A465">
            <v>43226</v>
          </cell>
          <cell r="B465">
            <v>1193.98</v>
          </cell>
        </row>
        <row r="466">
          <cell r="A466">
            <v>43233</v>
          </cell>
          <cell r="B466">
            <v>1173.1400000000001</v>
          </cell>
        </row>
        <row r="467">
          <cell r="A467">
            <v>43240</v>
          </cell>
          <cell r="B467">
            <v>1169.93</v>
          </cell>
        </row>
        <row r="468">
          <cell r="A468">
            <v>43247</v>
          </cell>
          <cell r="B468">
            <v>1164.3699999999999</v>
          </cell>
        </row>
        <row r="469">
          <cell r="A469">
            <v>43254</v>
          </cell>
          <cell r="B469">
            <v>1142.9000000000001</v>
          </cell>
        </row>
        <row r="470">
          <cell r="A470">
            <v>43261</v>
          </cell>
          <cell r="B470">
            <v>1117.04</v>
          </cell>
        </row>
        <row r="471">
          <cell r="A471">
            <v>43268</v>
          </cell>
          <cell r="B471">
            <v>1125.4100000000001</v>
          </cell>
        </row>
        <row r="472">
          <cell r="A472">
            <v>43275</v>
          </cell>
          <cell r="B472">
            <v>1154.1600000000001</v>
          </cell>
        </row>
        <row r="473">
          <cell r="A473">
            <v>43282</v>
          </cell>
          <cell r="B473">
            <v>1173.47</v>
          </cell>
        </row>
        <row r="474">
          <cell r="A474">
            <v>43289</v>
          </cell>
          <cell r="B474">
            <v>1189.3499999999999</v>
          </cell>
        </row>
        <row r="475">
          <cell r="A475">
            <v>43296</v>
          </cell>
          <cell r="B475">
            <v>1114.5899999999999</v>
          </cell>
        </row>
        <row r="476">
          <cell r="A476">
            <v>43303</v>
          </cell>
          <cell r="B476">
            <v>1151.74</v>
          </cell>
        </row>
        <row r="477">
          <cell r="A477">
            <v>43310</v>
          </cell>
          <cell r="B477">
            <v>1145.08</v>
          </cell>
        </row>
        <row r="478">
          <cell r="A478">
            <v>43317</v>
          </cell>
          <cell r="B478">
            <v>1056.93</v>
          </cell>
        </row>
        <row r="479">
          <cell r="A479">
            <v>43324</v>
          </cell>
          <cell r="B479">
            <v>1052.74</v>
          </cell>
        </row>
        <row r="480">
          <cell r="A480">
            <v>43331</v>
          </cell>
          <cell r="B480">
            <v>1064.46</v>
          </cell>
        </row>
        <row r="481">
          <cell r="A481">
            <v>43338</v>
          </cell>
          <cell r="B481">
            <v>1092.29</v>
          </cell>
        </row>
        <row r="482">
          <cell r="A482">
            <v>43345</v>
          </cell>
          <cell r="B482">
            <v>1050.51</v>
          </cell>
        </row>
        <row r="483">
          <cell r="A483">
            <v>43352</v>
          </cell>
          <cell r="B483">
            <v>1094.73</v>
          </cell>
        </row>
        <row r="484">
          <cell r="A484">
            <v>43359</v>
          </cell>
          <cell r="B484">
            <v>1149.53</v>
          </cell>
        </row>
        <row r="485">
          <cell r="A485">
            <v>43366</v>
          </cell>
          <cell r="B485">
            <v>1192.04</v>
          </cell>
        </row>
        <row r="486">
          <cell r="A486">
            <v>43373</v>
          </cell>
          <cell r="B486">
            <v>1159.33</v>
          </cell>
        </row>
        <row r="487">
          <cell r="A487">
            <v>43380</v>
          </cell>
          <cell r="B487">
            <v>1141.3499999999999</v>
          </cell>
        </row>
        <row r="488">
          <cell r="A488">
            <v>43387</v>
          </cell>
          <cell r="B488">
            <v>1126.97</v>
          </cell>
        </row>
        <row r="489">
          <cell r="A489">
            <v>43394</v>
          </cell>
          <cell r="B489">
            <v>1098.31</v>
          </cell>
        </row>
        <row r="490">
          <cell r="A490">
            <v>43401</v>
          </cell>
          <cell r="B490">
            <v>1134.8</v>
          </cell>
        </row>
        <row r="491">
          <cell r="A491">
            <v>43408</v>
          </cell>
          <cell r="B491">
            <v>1121.3800000000001</v>
          </cell>
        </row>
        <row r="492">
          <cell r="A492">
            <v>43415</v>
          </cell>
          <cell r="B492">
            <v>1134.93</v>
          </cell>
        </row>
        <row r="493">
          <cell r="A493">
            <v>43422</v>
          </cell>
          <cell r="B493">
            <v>1113.52</v>
          </cell>
        </row>
        <row r="494">
          <cell r="A494">
            <v>43429</v>
          </cell>
          <cell r="B494">
            <v>1126.1400000000001</v>
          </cell>
        </row>
        <row r="495">
          <cell r="A495">
            <v>43436</v>
          </cell>
          <cell r="B495">
            <v>1157.94</v>
          </cell>
        </row>
        <row r="496">
          <cell r="A496">
            <v>43443</v>
          </cell>
          <cell r="B496">
            <v>1116.5</v>
          </cell>
        </row>
        <row r="497">
          <cell r="A497">
            <v>43450</v>
          </cell>
          <cell r="B497">
            <v>1077.17</v>
          </cell>
        </row>
        <row r="498">
          <cell r="A498">
            <v>43457</v>
          </cell>
          <cell r="B498">
            <v>1066.1300000000001</v>
          </cell>
        </row>
        <row r="499">
          <cell r="A499">
            <v>43464</v>
          </cell>
          <cell r="B499">
            <v>1118.03</v>
          </cell>
        </row>
        <row r="500">
          <cell r="A500">
            <v>43471</v>
          </cell>
          <cell r="B500">
            <v>1148.75</v>
          </cell>
        </row>
        <row r="501">
          <cell r="A501">
            <v>43478</v>
          </cell>
          <cell r="B501">
            <v>1176.42</v>
          </cell>
        </row>
        <row r="502">
          <cell r="A502">
            <v>43485</v>
          </cell>
          <cell r="B502">
            <v>1192.02</v>
          </cell>
        </row>
        <row r="503">
          <cell r="A503">
            <v>43492</v>
          </cell>
          <cell r="B503">
            <v>1211.23</v>
          </cell>
        </row>
        <row r="504">
          <cell r="A504">
            <v>43499</v>
          </cell>
          <cell r="B504">
            <v>1199.6500000000001</v>
          </cell>
        </row>
        <row r="505">
          <cell r="A505">
            <v>43506</v>
          </cell>
          <cell r="B505">
            <v>1177.5</v>
          </cell>
        </row>
        <row r="506">
          <cell r="A506">
            <v>43513</v>
          </cell>
          <cell r="B506">
            <v>1198.4000000000001</v>
          </cell>
        </row>
        <row r="507">
          <cell r="A507">
            <v>43520</v>
          </cell>
          <cell r="B507">
            <v>1187.3499999999999</v>
          </cell>
        </row>
        <row r="508">
          <cell r="A508">
            <v>43527</v>
          </cell>
          <cell r="B508">
            <v>1179.58</v>
          </cell>
        </row>
        <row r="509">
          <cell r="A509">
            <v>43534</v>
          </cell>
          <cell r="B509">
            <v>1196.75</v>
          </cell>
        </row>
        <row r="510">
          <cell r="A510">
            <v>43541</v>
          </cell>
          <cell r="B510">
            <v>1213.4000000000001</v>
          </cell>
        </row>
        <row r="511">
          <cell r="A511">
            <v>43548</v>
          </cell>
          <cell r="B511">
            <v>1198.1099999999999</v>
          </cell>
        </row>
        <row r="512">
          <cell r="A512">
            <v>43555</v>
          </cell>
          <cell r="B512">
            <v>1225.8399999999999</v>
          </cell>
        </row>
        <row r="513">
          <cell r="A513">
            <v>43562</v>
          </cell>
          <cell r="B513">
            <v>1253.44</v>
          </cell>
        </row>
        <row r="514">
          <cell r="A514">
            <v>43569</v>
          </cell>
          <cell r="B514">
            <v>1260.82</v>
          </cell>
        </row>
        <row r="515">
          <cell r="A515">
            <v>43576</v>
          </cell>
          <cell r="B515">
            <v>1247.01</v>
          </cell>
        </row>
        <row r="516">
          <cell r="A516">
            <v>43583</v>
          </cell>
          <cell r="B516">
            <v>1248.3900000000001</v>
          </cell>
        </row>
        <row r="517">
          <cell r="A517">
            <v>43590</v>
          </cell>
          <cell r="B517">
            <v>1213.79</v>
          </cell>
        </row>
        <row r="518">
          <cell r="A518">
            <v>43597</v>
          </cell>
          <cell r="B518">
            <v>1254.68</v>
          </cell>
        </row>
        <row r="519">
          <cell r="A519">
            <v>43604</v>
          </cell>
          <cell r="B519">
            <v>1279.1099999999999</v>
          </cell>
        </row>
        <row r="520">
          <cell r="A520">
            <v>43611</v>
          </cell>
          <cell r="B520">
            <v>1287.0899999999999</v>
          </cell>
        </row>
        <row r="521">
          <cell r="A521">
            <v>43618</v>
          </cell>
          <cell r="B521">
            <v>1325.95</v>
          </cell>
        </row>
        <row r="522">
          <cell r="A522">
            <v>43625</v>
          </cell>
          <cell r="B522">
            <v>1341.05</v>
          </cell>
        </row>
        <row r="523">
          <cell r="A523">
            <v>43632</v>
          </cell>
          <cell r="B523">
            <v>1375.02</v>
          </cell>
        </row>
        <row r="524">
          <cell r="A524">
            <v>43639</v>
          </cell>
          <cell r="B524">
            <v>1380.52</v>
          </cell>
        </row>
        <row r="525">
          <cell r="A525">
            <v>43646</v>
          </cell>
          <cell r="B525">
            <v>1398.75</v>
          </cell>
        </row>
        <row r="526">
          <cell r="A526">
            <v>43653</v>
          </cell>
          <cell r="B526">
            <v>1387.87</v>
          </cell>
        </row>
        <row r="527">
          <cell r="A527">
            <v>43660</v>
          </cell>
          <cell r="B527">
            <v>1350.69</v>
          </cell>
        </row>
        <row r="528">
          <cell r="A528">
            <v>43667</v>
          </cell>
          <cell r="B528">
            <v>1348.3</v>
          </cell>
        </row>
        <row r="529">
          <cell r="A529">
            <v>43674</v>
          </cell>
          <cell r="B529">
            <v>1293.19</v>
          </cell>
        </row>
        <row r="530">
          <cell r="A530">
            <v>43681</v>
          </cell>
          <cell r="B530">
            <v>1289.47</v>
          </cell>
        </row>
        <row r="531">
          <cell r="A531">
            <v>43688</v>
          </cell>
          <cell r="B531">
            <v>1239.81</v>
          </cell>
        </row>
        <row r="532">
          <cell r="A532">
            <v>43695</v>
          </cell>
          <cell r="B532">
            <v>1268.45</v>
          </cell>
        </row>
        <row r="533">
          <cell r="A533">
            <v>43702</v>
          </cell>
          <cell r="B533">
            <v>1293.32</v>
          </cell>
        </row>
        <row r="534">
          <cell r="A534">
            <v>43709</v>
          </cell>
          <cell r="B534">
            <v>1340.52</v>
          </cell>
        </row>
        <row r="535">
          <cell r="A535">
            <v>43716</v>
          </cell>
          <cell r="B535">
            <v>1368.93</v>
          </cell>
        </row>
        <row r="536">
          <cell r="A536">
            <v>43723</v>
          </cell>
          <cell r="B536">
            <v>1377.38</v>
          </cell>
        </row>
        <row r="537">
          <cell r="A537">
            <v>43730</v>
          </cell>
          <cell r="B537">
            <v>1347.72</v>
          </cell>
        </row>
        <row r="538">
          <cell r="A538">
            <v>43737</v>
          </cell>
          <cell r="B538">
            <v>1311.65</v>
          </cell>
        </row>
        <row r="539">
          <cell r="A539">
            <v>43744</v>
          </cell>
          <cell r="B539">
            <v>1329.63</v>
          </cell>
        </row>
        <row r="540">
          <cell r="A540">
            <v>43751</v>
          </cell>
          <cell r="B540">
            <v>1355.27</v>
          </cell>
        </row>
        <row r="541">
          <cell r="A541">
            <v>43758</v>
          </cell>
          <cell r="B541">
            <v>1421.2</v>
          </cell>
        </row>
        <row r="542">
          <cell r="A542">
            <v>43765</v>
          </cell>
          <cell r="B542">
            <v>1455.44</v>
          </cell>
        </row>
        <row r="543">
          <cell r="A543">
            <v>43772</v>
          </cell>
          <cell r="B543">
            <v>1468.17</v>
          </cell>
        </row>
        <row r="544">
          <cell r="A544">
            <v>43779</v>
          </cell>
          <cell r="B544">
            <v>1449.42</v>
          </cell>
        </row>
        <row r="545">
          <cell r="A545">
            <v>43786</v>
          </cell>
          <cell r="B545">
            <v>1455.42</v>
          </cell>
        </row>
        <row r="546">
          <cell r="A546">
            <v>43793</v>
          </cell>
          <cell r="B546">
            <v>1438.45</v>
          </cell>
        </row>
        <row r="547">
          <cell r="A547">
            <v>43800</v>
          </cell>
          <cell r="B547">
            <v>1448.34</v>
          </cell>
        </row>
        <row r="548">
          <cell r="A548">
            <v>43807</v>
          </cell>
          <cell r="B548">
            <v>1501.42</v>
          </cell>
        </row>
        <row r="549">
          <cell r="A549">
            <v>43814</v>
          </cell>
          <cell r="B549">
            <v>1523.77</v>
          </cell>
        </row>
        <row r="550">
          <cell r="A550">
            <v>43821</v>
          </cell>
          <cell r="B550">
            <v>1549.4</v>
          </cell>
        </row>
        <row r="551">
          <cell r="A551">
            <v>43828</v>
          </cell>
          <cell r="B551">
            <v>1564.18</v>
          </cell>
        </row>
        <row r="552">
          <cell r="A552">
            <v>43835</v>
          </cell>
          <cell r="B552">
            <v>1614.69</v>
          </cell>
        </row>
        <row r="553">
          <cell r="A553">
            <v>43842</v>
          </cell>
          <cell r="B553">
            <v>1637.75</v>
          </cell>
        </row>
        <row r="554">
          <cell r="A554">
            <v>43849</v>
          </cell>
          <cell r="B554">
            <v>1599.82</v>
          </cell>
        </row>
        <row r="555">
          <cell r="A555">
            <v>43856</v>
          </cell>
          <cell r="B555">
            <v>1517.07</v>
          </cell>
        </row>
        <row r="556">
          <cell r="A556">
            <v>43863</v>
          </cell>
          <cell r="B556">
            <v>1518.23</v>
          </cell>
        </row>
        <row r="557">
          <cell r="A557">
            <v>43870</v>
          </cell>
          <cell r="B557">
            <v>1534.89</v>
          </cell>
        </row>
        <row r="558">
          <cell r="A558">
            <v>43877</v>
          </cell>
          <cell r="B558">
            <v>1524.71</v>
          </cell>
        </row>
        <row r="559">
          <cell r="A559">
            <v>43884</v>
          </cell>
          <cell r="B559">
            <v>1299.69</v>
          </cell>
        </row>
        <row r="560">
          <cell r="A560">
            <v>43891</v>
          </cell>
          <cell r="B560">
            <v>1257.96</v>
          </cell>
        </row>
        <row r="561">
          <cell r="A561">
            <v>43898</v>
          </cell>
          <cell r="B561">
            <v>991.69</v>
          </cell>
        </row>
        <row r="562">
          <cell r="A562">
            <v>43905</v>
          </cell>
          <cell r="B562">
            <v>924.22</v>
          </cell>
        </row>
        <row r="563">
          <cell r="A563">
            <v>43912</v>
          </cell>
          <cell r="B563">
            <v>955.34</v>
          </cell>
        </row>
        <row r="564">
          <cell r="A564">
            <v>43919</v>
          </cell>
          <cell r="B564">
            <v>1049.8800000000001</v>
          </cell>
        </row>
        <row r="565">
          <cell r="A565">
            <v>43926</v>
          </cell>
          <cell r="B565">
            <v>1142.07</v>
          </cell>
        </row>
        <row r="566">
          <cell r="A566">
            <v>43933</v>
          </cell>
          <cell r="B566">
            <v>1078.69</v>
          </cell>
        </row>
        <row r="567">
          <cell r="A567">
            <v>43940</v>
          </cell>
          <cell r="B567">
            <v>1081.32</v>
          </cell>
        </row>
        <row r="568">
          <cell r="A568">
            <v>43947</v>
          </cell>
          <cell r="B568">
            <v>1125.03</v>
          </cell>
        </row>
        <row r="569">
          <cell r="A569">
            <v>43954</v>
          </cell>
          <cell r="B569">
            <v>1136.3399999999999</v>
          </cell>
        </row>
        <row r="570">
          <cell r="A570">
            <v>43961</v>
          </cell>
          <cell r="B570">
            <v>1107.49</v>
          </cell>
        </row>
        <row r="571">
          <cell r="A571">
            <v>43968</v>
          </cell>
          <cell r="B571">
            <v>1188.47</v>
          </cell>
        </row>
        <row r="572">
          <cell r="A572">
            <v>43975</v>
          </cell>
          <cell r="B572">
            <v>1219.76</v>
          </cell>
        </row>
        <row r="573">
          <cell r="A573">
            <v>43982</v>
          </cell>
          <cell r="B573">
            <v>1285.78</v>
          </cell>
        </row>
        <row r="574">
          <cell r="A574">
            <v>43989</v>
          </cell>
          <cell r="B574">
            <v>1238.1099999999999</v>
          </cell>
        </row>
        <row r="575">
          <cell r="A575">
            <v>43996</v>
          </cell>
          <cell r="B575">
            <v>1249.67</v>
          </cell>
        </row>
        <row r="576">
          <cell r="A576">
            <v>44003</v>
          </cell>
          <cell r="B576">
            <v>1246.74</v>
          </cell>
        </row>
        <row r="577">
          <cell r="A577">
            <v>44010</v>
          </cell>
          <cell r="B577">
            <v>1235.18</v>
          </cell>
        </row>
        <row r="578">
          <cell r="A578">
            <v>44017</v>
          </cell>
          <cell r="B578">
            <v>1245.6500000000001</v>
          </cell>
        </row>
        <row r="579">
          <cell r="A579">
            <v>44024</v>
          </cell>
          <cell r="B579">
            <v>1216.17</v>
          </cell>
        </row>
        <row r="580">
          <cell r="A580">
            <v>44031</v>
          </cell>
          <cell r="B580">
            <v>1255.98</v>
          </cell>
        </row>
        <row r="581">
          <cell r="A581">
            <v>44038</v>
          </cell>
          <cell r="B581">
            <v>1234.44</v>
          </cell>
        </row>
        <row r="582">
          <cell r="A582">
            <v>44045</v>
          </cell>
          <cell r="B582">
            <v>1271.43</v>
          </cell>
        </row>
        <row r="583">
          <cell r="A583">
            <v>44052</v>
          </cell>
          <cell r="B583">
            <v>1323.8</v>
          </cell>
        </row>
        <row r="584">
          <cell r="A584">
            <v>44059</v>
          </cell>
          <cell r="B584">
            <v>1262.01</v>
          </cell>
        </row>
        <row r="585">
          <cell r="A585">
            <v>44066</v>
          </cell>
          <cell r="B585">
            <v>1265.6199999999999</v>
          </cell>
        </row>
        <row r="586">
          <cell r="A586">
            <v>44073</v>
          </cell>
          <cell r="B586">
            <v>1220.01</v>
          </cell>
        </row>
        <row r="587">
          <cell r="A587">
            <v>44080</v>
          </cell>
          <cell r="B587">
            <v>1223.05</v>
          </cell>
        </row>
        <row r="588">
          <cell r="A588">
            <v>44087</v>
          </cell>
          <cell r="B588">
            <v>1228.6400000000001</v>
          </cell>
        </row>
        <row r="589">
          <cell r="A589">
            <v>44094</v>
          </cell>
          <cell r="B589">
            <v>1164.68</v>
          </cell>
        </row>
        <row r="590">
          <cell r="A590">
            <v>44101</v>
          </cell>
          <cell r="B590">
            <v>1148.07</v>
          </cell>
        </row>
        <row r="591">
          <cell r="A591">
            <v>44108</v>
          </cell>
          <cell r="B591">
            <v>1164.3399999999999</v>
          </cell>
        </row>
        <row r="592">
          <cell r="A592">
            <v>44115</v>
          </cell>
          <cell r="B592">
            <v>1132.8</v>
          </cell>
        </row>
        <row r="593">
          <cell r="A593">
            <v>44122</v>
          </cell>
          <cell r="B593">
            <v>1164.06</v>
          </cell>
        </row>
        <row r="594">
          <cell r="A594">
            <v>44129</v>
          </cell>
          <cell r="B594">
            <v>1066.5999999999999</v>
          </cell>
        </row>
        <row r="595">
          <cell r="A595">
            <v>44136</v>
          </cell>
          <cell r="B595">
            <v>1178.28</v>
          </cell>
        </row>
        <row r="596">
          <cell r="A596">
            <v>44143</v>
          </cell>
          <cell r="B596">
            <v>1227.78</v>
          </cell>
        </row>
        <row r="597">
          <cell r="A597">
            <v>44150</v>
          </cell>
          <cell r="B597">
            <v>1262.69</v>
          </cell>
        </row>
        <row r="598">
          <cell r="A598">
            <v>44157</v>
          </cell>
          <cell r="B598">
            <v>1302.43</v>
          </cell>
        </row>
        <row r="599">
          <cell r="A599">
            <v>44164</v>
          </cell>
          <cell r="B599">
            <v>1357.39</v>
          </cell>
        </row>
        <row r="600">
          <cell r="A600">
            <v>44171</v>
          </cell>
          <cell r="B600">
            <v>1412.88</v>
          </cell>
        </row>
        <row r="601">
          <cell r="A601">
            <v>44178</v>
          </cell>
          <cell r="B601">
            <v>1402.5</v>
          </cell>
        </row>
        <row r="602">
          <cell r="A602">
            <v>44185</v>
          </cell>
          <cell r="B602">
            <v>1378.36</v>
          </cell>
        </row>
        <row r="603">
          <cell r="A603">
            <v>44192</v>
          </cell>
          <cell r="B603">
            <v>1387.46</v>
          </cell>
        </row>
        <row r="604">
          <cell r="A604">
            <v>44199</v>
          </cell>
          <cell r="B604">
            <v>1466.5</v>
          </cell>
        </row>
        <row r="605">
          <cell r="A605">
            <v>44206</v>
          </cell>
          <cell r="B605">
            <v>1474.28</v>
          </cell>
        </row>
        <row r="606">
          <cell r="A606">
            <v>44213</v>
          </cell>
          <cell r="B606">
            <v>1418.29</v>
          </cell>
        </row>
        <row r="607">
          <cell r="A607">
            <v>44220</v>
          </cell>
          <cell r="B607">
            <v>1367.64</v>
          </cell>
        </row>
        <row r="608">
          <cell r="A608">
            <v>44227</v>
          </cell>
          <cell r="B608">
            <v>1431.76</v>
          </cell>
        </row>
        <row r="609">
          <cell r="A609">
            <v>44234</v>
          </cell>
          <cell r="B609">
            <v>1461.99</v>
          </cell>
        </row>
        <row r="610">
          <cell r="A610">
            <v>44241</v>
          </cell>
          <cell r="B610">
            <v>1472.33</v>
          </cell>
        </row>
        <row r="611">
          <cell r="A611">
            <v>44248</v>
          </cell>
          <cell r="B611">
            <v>1411.93</v>
          </cell>
        </row>
        <row r="612">
          <cell r="A612">
            <v>44255</v>
          </cell>
          <cell r="B612">
            <v>1447.46</v>
          </cell>
        </row>
        <row r="613">
          <cell r="A613">
            <v>44262</v>
          </cell>
          <cell r="B613">
            <v>1519.5</v>
          </cell>
        </row>
        <row r="614">
          <cell r="A614">
            <v>44269</v>
          </cell>
          <cell r="B614">
            <v>1474.05</v>
          </cell>
        </row>
        <row r="615">
          <cell r="A615">
            <v>44276</v>
          </cell>
          <cell r="B615">
            <v>1449.85</v>
          </cell>
        </row>
        <row r="616">
          <cell r="A616">
            <v>44283</v>
          </cell>
          <cell r="B616">
            <v>1466.71</v>
          </cell>
        </row>
        <row r="617">
          <cell r="A617">
            <v>44290</v>
          </cell>
          <cell r="B617">
            <v>1417.77</v>
          </cell>
        </row>
        <row r="618">
          <cell r="A618">
            <v>44297</v>
          </cell>
          <cell r="B618">
            <v>1497.05</v>
          </cell>
        </row>
        <row r="619">
          <cell r="A619">
            <v>44304</v>
          </cell>
          <cell r="B619">
            <v>1511.85</v>
          </cell>
        </row>
        <row r="620">
          <cell r="A620">
            <v>44311</v>
          </cell>
          <cell r="B620">
            <v>1485.03</v>
          </cell>
        </row>
        <row r="621">
          <cell r="A621">
            <v>44318</v>
          </cell>
          <cell r="B621">
            <v>1577.51</v>
          </cell>
        </row>
        <row r="622">
          <cell r="A622">
            <v>44325</v>
          </cell>
          <cell r="B622">
            <v>1548.93</v>
          </cell>
        </row>
        <row r="623">
          <cell r="A623">
            <v>44332</v>
          </cell>
          <cell r="B623">
            <v>1569.55</v>
          </cell>
        </row>
        <row r="624">
          <cell r="A624">
            <v>44339</v>
          </cell>
          <cell r="B624">
            <v>1603.79</v>
          </cell>
        </row>
        <row r="625">
          <cell r="A625">
            <v>44346</v>
          </cell>
          <cell r="B625">
            <v>1647.06</v>
          </cell>
        </row>
        <row r="626">
          <cell r="A626">
            <v>44353</v>
          </cell>
          <cell r="B626">
            <v>1678.57</v>
          </cell>
        </row>
        <row r="627">
          <cell r="A627">
            <v>44360</v>
          </cell>
          <cell r="B627">
            <v>1646.72</v>
          </cell>
        </row>
        <row r="628">
          <cell r="A628">
            <v>44367</v>
          </cell>
          <cell r="B628">
            <v>1672.08</v>
          </cell>
        </row>
        <row r="629">
          <cell r="A629">
            <v>44374</v>
          </cell>
          <cell r="B629">
            <v>1659.72</v>
          </cell>
        </row>
        <row r="630">
          <cell r="A630">
            <v>44381</v>
          </cell>
          <cell r="B630">
            <v>1635.04</v>
          </cell>
        </row>
        <row r="631">
          <cell r="A631">
            <v>44388</v>
          </cell>
          <cell r="B631">
            <v>1603.1</v>
          </cell>
        </row>
        <row r="632">
          <cell r="A632">
            <v>44395</v>
          </cell>
          <cell r="B632">
            <v>1595.86</v>
          </cell>
        </row>
        <row r="633">
          <cell r="A633">
            <v>44402</v>
          </cell>
          <cell r="B633">
            <v>1625.76</v>
          </cell>
        </row>
        <row r="634">
          <cell r="A634">
            <v>44409</v>
          </cell>
          <cell r="B634">
            <v>1632.87</v>
          </cell>
        </row>
        <row r="635">
          <cell r="A635">
            <v>44416</v>
          </cell>
          <cell r="B635">
            <v>1666.44</v>
          </cell>
        </row>
        <row r="636">
          <cell r="A636">
            <v>44423</v>
          </cell>
          <cell r="B636">
            <v>1623.5</v>
          </cell>
        </row>
        <row r="637">
          <cell r="A637">
            <v>44430</v>
          </cell>
          <cell r="B637">
            <v>1664.25</v>
          </cell>
        </row>
        <row r="638">
          <cell r="A638">
            <v>44437</v>
          </cell>
          <cell r="B638">
            <v>1734.16</v>
          </cell>
        </row>
        <row r="639">
          <cell r="A639">
            <v>44444</v>
          </cell>
          <cell r="B639">
            <v>1725.25</v>
          </cell>
        </row>
        <row r="640">
          <cell r="A640">
            <v>44451</v>
          </cell>
          <cell r="B640">
            <v>1745.04</v>
          </cell>
        </row>
        <row r="641">
          <cell r="A641">
            <v>44458</v>
          </cell>
          <cell r="B641">
            <v>1747.56</v>
          </cell>
        </row>
        <row r="642">
          <cell r="A642">
            <v>44465</v>
          </cell>
          <cell r="B642">
            <v>1771.5</v>
          </cell>
        </row>
        <row r="643">
          <cell r="A643">
            <v>44472</v>
          </cell>
          <cell r="B643">
            <v>1860.96</v>
          </cell>
        </row>
        <row r="644">
          <cell r="A644">
            <v>44479</v>
          </cell>
          <cell r="B644">
            <v>1891.56</v>
          </cell>
        </row>
        <row r="645">
          <cell r="A645">
            <v>44486</v>
          </cell>
          <cell r="B645">
            <v>1877.99</v>
          </cell>
        </row>
        <row r="646">
          <cell r="A646">
            <v>44493</v>
          </cell>
          <cell r="B646">
            <v>1843.83</v>
          </cell>
        </row>
        <row r="647">
          <cell r="A647">
            <v>44500</v>
          </cell>
          <cell r="B647">
            <v>1848.1</v>
          </cell>
        </row>
        <row r="648">
          <cell r="A648">
            <v>44507</v>
          </cell>
          <cell r="B648">
            <v>1784.28</v>
          </cell>
        </row>
        <row r="649">
          <cell r="A649">
            <v>44514</v>
          </cell>
          <cell r="B649">
            <v>1723.74</v>
          </cell>
        </row>
        <row r="650">
          <cell r="A650">
            <v>44521</v>
          </cell>
          <cell r="B650">
            <v>1589.38</v>
          </cell>
        </row>
        <row r="651">
          <cell r="A651">
            <v>44528</v>
          </cell>
          <cell r="B651">
            <v>1668.26</v>
          </cell>
        </row>
        <row r="652">
          <cell r="A652">
            <v>44535</v>
          </cell>
          <cell r="B652">
            <v>1612.25</v>
          </cell>
        </row>
        <row r="653">
          <cell r="A653">
            <v>44542</v>
          </cell>
          <cell r="B653">
            <v>1583.05</v>
          </cell>
        </row>
        <row r="654">
          <cell r="A654">
            <v>44549</v>
          </cell>
          <cell r="B654">
            <v>1584.15</v>
          </cell>
        </row>
        <row r="655">
          <cell r="A655">
            <v>44556</v>
          </cell>
          <cell r="B655">
            <v>1595.76</v>
          </cell>
        </row>
        <row r="656">
          <cell r="A656">
            <v>44563</v>
          </cell>
          <cell r="B656">
            <v>1545.24</v>
          </cell>
        </row>
        <row r="657">
          <cell r="A657">
            <v>44570</v>
          </cell>
          <cell r="B657">
            <v>1485.86</v>
          </cell>
        </row>
        <row r="658">
          <cell r="A658">
            <v>44577</v>
          </cell>
          <cell r="B658">
            <v>1401.88</v>
          </cell>
        </row>
        <row r="659">
          <cell r="A659">
            <v>44584</v>
          </cell>
          <cell r="B659">
            <v>1407.04</v>
          </cell>
        </row>
        <row r="660">
          <cell r="A660">
            <v>44591</v>
          </cell>
          <cell r="B660">
            <v>1436</v>
          </cell>
        </row>
        <row r="661">
          <cell r="A661">
            <v>44598</v>
          </cell>
          <cell r="B661">
            <v>1470.1</v>
          </cell>
        </row>
        <row r="662">
          <cell r="A662">
            <v>44605</v>
          </cell>
          <cell r="B662">
            <v>1391.31</v>
          </cell>
        </row>
        <row r="663">
          <cell r="A663">
            <v>44612</v>
          </cell>
          <cell r="B663">
            <v>936.94</v>
          </cell>
        </row>
        <row r="664">
          <cell r="A664">
            <v>44640</v>
          </cell>
          <cell r="B664">
            <v>829.62</v>
          </cell>
        </row>
        <row r="665">
          <cell r="A665">
            <v>44647</v>
          </cell>
          <cell r="B665">
            <v>1033.58</v>
          </cell>
        </row>
        <row r="666">
          <cell r="A666">
            <v>44654</v>
          </cell>
          <cell r="B666">
            <v>1079.99</v>
          </cell>
        </row>
        <row r="667">
          <cell r="A667">
            <v>44661</v>
          </cell>
          <cell r="B667">
            <v>955.46</v>
          </cell>
        </row>
        <row r="668">
          <cell r="A668">
            <v>44668</v>
          </cell>
          <cell r="B668">
            <v>928.3</v>
          </cell>
        </row>
        <row r="669">
          <cell r="A669">
            <v>44675</v>
          </cell>
          <cell r="B669">
            <v>1081.52</v>
          </cell>
        </row>
        <row r="670">
          <cell r="A670">
            <v>44682</v>
          </cell>
          <cell r="B670">
            <v>1088.02</v>
          </cell>
        </row>
        <row r="671">
          <cell r="A671">
            <v>44689</v>
          </cell>
          <cell r="B671">
            <v>1132.23</v>
          </cell>
        </row>
        <row r="672">
          <cell r="A672">
            <v>44696</v>
          </cell>
          <cell r="B672">
            <v>1239.83</v>
          </cell>
        </row>
        <row r="673">
          <cell r="A673">
            <v>44703</v>
          </cell>
          <cell r="B673">
            <v>1133.94</v>
          </cell>
        </row>
        <row r="674">
          <cell r="A674">
            <v>44710</v>
          </cell>
          <cell r="B674">
            <v>1199.55</v>
          </cell>
        </row>
        <row r="675">
          <cell r="A675">
            <v>44717</v>
          </cell>
          <cell r="B675">
            <v>1268.83</v>
          </cell>
        </row>
        <row r="676">
          <cell r="A676">
            <v>44724</v>
          </cell>
          <cell r="B676">
            <v>1315.43</v>
          </cell>
        </row>
        <row r="677">
          <cell r="A677">
            <v>44731</v>
          </cell>
          <cell r="B677">
            <v>1414.96</v>
          </cell>
        </row>
        <row r="678">
          <cell r="A678">
            <v>44738</v>
          </cell>
          <cell r="B678">
            <v>1276.55</v>
          </cell>
        </row>
        <row r="679">
          <cell r="A679">
            <v>44745</v>
          </cell>
          <cell r="B679">
            <v>1144.79</v>
          </cell>
        </row>
        <row r="680">
          <cell r="A680">
            <v>44752</v>
          </cell>
          <cell r="B680">
            <v>1161.53</v>
          </cell>
        </row>
        <row r="681">
          <cell r="A681">
            <v>44759</v>
          </cell>
          <cell r="B681">
            <v>1161.47</v>
          </cell>
        </row>
        <row r="682">
          <cell r="A682">
            <v>44766</v>
          </cell>
          <cell r="B682">
            <v>1129.24</v>
          </cell>
        </row>
        <row r="683">
          <cell r="A683">
            <v>44773</v>
          </cell>
          <cell r="B683">
            <v>1072.31</v>
          </cell>
        </row>
        <row r="684">
          <cell r="A684">
            <v>44780</v>
          </cell>
          <cell r="B684">
            <v>1116.32</v>
          </cell>
        </row>
        <row r="685">
          <cell r="A685">
            <v>44787</v>
          </cell>
          <cell r="B685">
            <v>1170.57</v>
          </cell>
        </row>
        <row r="686">
          <cell r="A686">
            <v>44794</v>
          </cell>
          <cell r="B686">
            <v>1183.1199999999999</v>
          </cell>
        </row>
        <row r="687">
          <cell r="A687">
            <v>44801</v>
          </cell>
          <cell r="B687">
            <v>1284.53</v>
          </cell>
        </row>
        <row r="688">
          <cell r="A688">
            <v>44808</v>
          </cell>
          <cell r="B688">
            <v>1262.72</v>
          </cell>
        </row>
        <row r="689">
          <cell r="A689">
            <v>44815</v>
          </cell>
          <cell r="B689">
            <v>1275.03</v>
          </cell>
        </row>
        <row r="690">
          <cell r="A690">
            <v>44822</v>
          </cell>
          <cell r="B690">
            <v>1141.81</v>
          </cell>
        </row>
        <row r="691">
          <cell r="A691">
            <v>44829</v>
          </cell>
          <cell r="B691">
            <v>1055.72</v>
          </cell>
        </row>
        <row r="692">
          <cell r="A692">
            <v>44836</v>
          </cell>
          <cell r="B692">
            <v>1005.04</v>
          </cell>
        </row>
        <row r="693">
          <cell r="A693">
            <v>44843</v>
          </cell>
          <cell r="B693">
            <v>990.66</v>
          </cell>
        </row>
        <row r="694">
          <cell r="A694">
            <v>44850</v>
          </cell>
          <cell r="B694">
            <v>1050.57</v>
          </cell>
        </row>
        <row r="695">
          <cell r="A695">
            <v>44857</v>
          </cell>
          <cell r="B695">
            <v>1113.75</v>
          </cell>
        </row>
        <row r="696">
          <cell r="A696">
            <v>44864</v>
          </cell>
          <cell r="B696">
            <v>1094.3</v>
          </cell>
        </row>
        <row r="697">
          <cell r="A697">
            <v>44871</v>
          </cell>
          <cell r="B697">
            <v>1158.24</v>
          </cell>
        </row>
        <row r="698">
          <cell r="A698">
            <v>44878</v>
          </cell>
          <cell r="B698">
            <v>1147.03</v>
          </cell>
        </row>
        <row r="699">
          <cell r="A699">
            <v>44885</v>
          </cell>
          <cell r="B699">
            <v>1141.07</v>
          </cell>
        </row>
        <row r="700">
          <cell r="A700">
            <v>44892</v>
          </cell>
          <cell r="B700">
            <v>1107.55</v>
          </cell>
        </row>
        <row r="701">
          <cell r="A701">
            <v>44899</v>
          </cell>
          <cell r="B701">
            <v>1099.1199999999999</v>
          </cell>
        </row>
        <row r="702">
          <cell r="A702">
            <v>44906</v>
          </cell>
          <cell r="B702">
            <v>1038.6300000000001</v>
          </cell>
        </row>
        <row r="703">
          <cell r="A703">
            <v>44913</v>
          </cell>
          <cell r="B703">
            <v>963.51</v>
          </cell>
        </row>
        <row r="704">
          <cell r="A704">
            <v>44920</v>
          </cell>
          <cell r="B704">
            <v>970.6</v>
          </cell>
        </row>
        <row r="705">
          <cell r="A705">
            <v>44927</v>
          </cell>
          <cell r="B705">
            <v>942.73</v>
          </cell>
        </row>
        <row r="706">
          <cell r="A706">
            <v>44934</v>
          </cell>
          <cell r="B706">
            <v>1010.4</v>
          </cell>
        </row>
        <row r="707">
          <cell r="A707">
            <v>44941</v>
          </cell>
          <cell r="B707">
            <v>991.88</v>
          </cell>
        </row>
        <row r="708">
          <cell r="A708">
            <v>44948</v>
          </cell>
          <cell r="B708">
            <v>992.37</v>
          </cell>
        </row>
        <row r="709">
          <cell r="A709">
            <v>44955</v>
          </cell>
          <cell r="B709">
            <v>1002.52</v>
          </cell>
        </row>
        <row r="710">
          <cell r="A710">
            <v>44962</v>
          </cell>
          <cell r="B710">
            <v>971.95</v>
          </cell>
        </row>
        <row r="711">
          <cell r="A711">
            <v>44969</v>
          </cell>
          <cell r="B711">
            <v>920.19</v>
          </cell>
        </row>
        <row r="712">
          <cell r="A712">
            <v>44976</v>
          </cell>
          <cell r="B712">
            <v>914.16</v>
          </cell>
        </row>
        <row r="713">
          <cell r="A713">
            <v>44983</v>
          </cell>
          <cell r="B713">
            <v>945.41</v>
          </cell>
        </row>
        <row r="714">
          <cell r="A714">
            <v>44990</v>
          </cell>
          <cell r="B714">
            <v>942.75</v>
          </cell>
        </row>
        <row r="715">
          <cell r="A715">
            <v>44997</v>
          </cell>
          <cell r="B715">
            <v>948.97</v>
          </cell>
        </row>
        <row r="716">
          <cell r="A716">
            <v>45004</v>
          </cell>
          <cell r="B716">
            <v>977.75</v>
          </cell>
        </row>
        <row r="717">
          <cell r="A717">
            <v>45011</v>
          </cell>
          <cell r="B717">
            <v>996.76</v>
          </cell>
        </row>
        <row r="718">
          <cell r="A718">
            <v>45018</v>
          </cell>
          <cell r="B718">
            <v>974.52</v>
          </cell>
        </row>
        <row r="719">
          <cell r="A719">
            <v>45025</v>
          </cell>
          <cell r="B719">
            <v>982.94</v>
          </cell>
        </row>
        <row r="720">
          <cell r="A720">
            <v>45032</v>
          </cell>
          <cell r="B720">
            <v>1019.2</v>
          </cell>
        </row>
        <row r="721">
          <cell r="A721">
            <v>45039</v>
          </cell>
          <cell r="B721">
            <v>1033.57</v>
          </cell>
        </row>
        <row r="722">
          <cell r="A722">
            <v>45046</v>
          </cell>
          <cell r="B722">
            <v>1033.68</v>
          </cell>
        </row>
        <row r="723">
          <cell r="A723">
            <v>45053</v>
          </cell>
          <cell r="B723">
            <v>1038.32</v>
          </cell>
        </row>
        <row r="724">
          <cell r="A724">
            <v>45060</v>
          </cell>
          <cell r="B724">
            <v>1036.5999999999999</v>
          </cell>
        </row>
        <row r="725">
          <cell r="A725">
            <v>45067</v>
          </cell>
          <cell r="B725">
            <v>1055.6300000000001</v>
          </cell>
        </row>
        <row r="726">
          <cell r="A726">
            <v>45074</v>
          </cell>
          <cell r="B726">
            <v>1051.53</v>
          </cell>
        </row>
        <row r="727">
          <cell r="A727">
            <v>45081</v>
          </cell>
          <cell r="B727">
            <v>1032.29</v>
          </cell>
        </row>
        <row r="728">
          <cell r="A728">
            <v>45088</v>
          </cell>
          <cell r="B728">
            <v>1047.47</v>
          </cell>
        </row>
        <row r="729">
          <cell r="A729">
            <v>45095</v>
          </cell>
          <cell r="B729">
            <v>1039.99</v>
          </cell>
        </row>
        <row r="730">
          <cell r="A730">
            <v>45102</v>
          </cell>
          <cell r="B730">
            <v>982.94</v>
          </cell>
        </row>
        <row r="731">
          <cell r="A731">
            <v>45109</v>
          </cell>
          <cell r="B731">
            <v>969.33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韩国KOSPI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1394.71</v>
          </cell>
        </row>
        <row r="3">
          <cell r="A3">
            <v>39971</v>
          </cell>
          <cell r="B3">
            <v>1428.59</v>
          </cell>
        </row>
        <row r="4">
          <cell r="A4">
            <v>39978</v>
          </cell>
          <cell r="B4">
            <v>1383.34</v>
          </cell>
        </row>
        <row r="5">
          <cell r="A5">
            <v>39985</v>
          </cell>
          <cell r="B5">
            <v>1394.53</v>
          </cell>
        </row>
        <row r="6">
          <cell r="A6">
            <v>39992</v>
          </cell>
          <cell r="B6">
            <v>1420.04</v>
          </cell>
        </row>
        <row r="7">
          <cell r="A7">
            <v>39999</v>
          </cell>
          <cell r="B7">
            <v>1428.62</v>
          </cell>
        </row>
        <row r="8">
          <cell r="A8">
            <v>40006</v>
          </cell>
          <cell r="B8">
            <v>1440.1</v>
          </cell>
        </row>
        <row r="9">
          <cell r="A9">
            <v>40013</v>
          </cell>
          <cell r="B9">
            <v>1502.59</v>
          </cell>
        </row>
        <row r="10">
          <cell r="A10">
            <v>40020</v>
          </cell>
          <cell r="B10">
            <v>1557.29</v>
          </cell>
        </row>
        <row r="11">
          <cell r="A11">
            <v>40027</v>
          </cell>
          <cell r="B11">
            <v>1576</v>
          </cell>
        </row>
        <row r="12">
          <cell r="A12">
            <v>40034</v>
          </cell>
          <cell r="B12">
            <v>1591.41</v>
          </cell>
        </row>
        <row r="13">
          <cell r="A13">
            <v>40041</v>
          </cell>
          <cell r="B13">
            <v>1580.98</v>
          </cell>
        </row>
        <row r="14">
          <cell r="A14">
            <v>40048</v>
          </cell>
          <cell r="B14">
            <v>1607.94</v>
          </cell>
        </row>
        <row r="15">
          <cell r="A15">
            <v>40055</v>
          </cell>
          <cell r="B15">
            <v>1608.9</v>
          </cell>
        </row>
        <row r="16">
          <cell r="A16">
            <v>40062</v>
          </cell>
          <cell r="B16">
            <v>1651.7</v>
          </cell>
        </row>
        <row r="17">
          <cell r="A17">
            <v>40069</v>
          </cell>
          <cell r="B17">
            <v>1699.71</v>
          </cell>
        </row>
        <row r="18">
          <cell r="A18">
            <v>40076</v>
          </cell>
          <cell r="B18">
            <v>1691.48</v>
          </cell>
        </row>
        <row r="19">
          <cell r="A19">
            <v>40083</v>
          </cell>
          <cell r="B19">
            <v>1644.63</v>
          </cell>
        </row>
        <row r="20">
          <cell r="A20">
            <v>40090</v>
          </cell>
          <cell r="B20">
            <v>1646.79</v>
          </cell>
        </row>
        <row r="21">
          <cell r="A21">
            <v>40097</v>
          </cell>
          <cell r="B21">
            <v>1640.36</v>
          </cell>
        </row>
        <row r="22">
          <cell r="A22">
            <v>40104</v>
          </cell>
          <cell r="B22">
            <v>1640.17</v>
          </cell>
        </row>
        <row r="23">
          <cell r="A23">
            <v>40111</v>
          </cell>
          <cell r="B23">
            <v>1580.69</v>
          </cell>
        </row>
        <row r="24">
          <cell r="A24">
            <v>40118</v>
          </cell>
          <cell r="B24">
            <v>1572.46</v>
          </cell>
        </row>
        <row r="25">
          <cell r="A25">
            <v>40125</v>
          </cell>
          <cell r="B25">
            <v>1571.99</v>
          </cell>
        </row>
        <row r="26">
          <cell r="A26">
            <v>40132</v>
          </cell>
          <cell r="B26">
            <v>1620.6</v>
          </cell>
        </row>
        <row r="27">
          <cell r="A27">
            <v>40139</v>
          </cell>
          <cell r="B27">
            <v>1524.5</v>
          </cell>
        </row>
        <row r="28">
          <cell r="A28">
            <v>40146</v>
          </cell>
          <cell r="B28">
            <v>1624.76</v>
          </cell>
        </row>
        <row r="29">
          <cell r="A29">
            <v>40153</v>
          </cell>
          <cell r="B29">
            <v>1656.9</v>
          </cell>
        </row>
        <row r="30">
          <cell r="A30">
            <v>40160</v>
          </cell>
          <cell r="B30">
            <v>1647.04</v>
          </cell>
        </row>
        <row r="31">
          <cell r="A31">
            <v>40167</v>
          </cell>
          <cell r="B31">
            <v>1682.34</v>
          </cell>
        </row>
        <row r="32">
          <cell r="A32">
            <v>40174</v>
          </cell>
          <cell r="B32">
            <v>1682.77</v>
          </cell>
        </row>
        <row r="33">
          <cell r="A33">
            <v>40181</v>
          </cell>
          <cell r="B33">
            <v>1695.26</v>
          </cell>
        </row>
        <row r="34">
          <cell r="A34">
            <v>40188</v>
          </cell>
          <cell r="B34">
            <v>1701.8</v>
          </cell>
        </row>
        <row r="35">
          <cell r="A35">
            <v>40195</v>
          </cell>
          <cell r="B35">
            <v>1684.35</v>
          </cell>
        </row>
        <row r="36">
          <cell r="A36">
            <v>40202</v>
          </cell>
          <cell r="B36">
            <v>1602.43</v>
          </cell>
        </row>
        <row r="37">
          <cell r="A37">
            <v>40209</v>
          </cell>
          <cell r="B37">
            <v>1567.12</v>
          </cell>
        </row>
        <row r="38">
          <cell r="A38">
            <v>40216</v>
          </cell>
          <cell r="B38">
            <v>1593.66</v>
          </cell>
        </row>
        <row r="39">
          <cell r="A39">
            <v>40223</v>
          </cell>
          <cell r="B39">
            <v>1593.9</v>
          </cell>
        </row>
        <row r="40">
          <cell r="A40">
            <v>40230</v>
          </cell>
          <cell r="B40">
            <v>1594.58</v>
          </cell>
        </row>
        <row r="41">
          <cell r="A41">
            <v>40237</v>
          </cell>
          <cell r="B41">
            <v>1634.57</v>
          </cell>
        </row>
        <row r="42">
          <cell r="A42">
            <v>40244</v>
          </cell>
          <cell r="B42">
            <v>1662.74</v>
          </cell>
        </row>
        <row r="43">
          <cell r="A43">
            <v>40251</v>
          </cell>
          <cell r="B43">
            <v>1686.11</v>
          </cell>
        </row>
        <row r="44">
          <cell r="A44">
            <v>40258</v>
          </cell>
          <cell r="B44">
            <v>1697.72</v>
          </cell>
        </row>
        <row r="45">
          <cell r="A45">
            <v>40265</v>
          </cell>
          <cell r="B45">
            <v>1723.49</v>
          </cell>
        </row>
        <row r="46">
          <cell r="A46">
            <v>40272</v>
          </cell>
          <cell r="B46">
            <v>1724.47</v>
          </cell>
        </row>
        <row r="47">
          <cell r="A47">
            <v>40279</v>
          </cell>
          <cell r="B47">
            <v>1734.49</v>
          </cell>
        </row>
        <row r="48">
          <cell r="A48">
            <v>40286</v>
          </cell>
          <cell r="B48">
            <v>1737.03</v>
          </cell>
        </row>
        <row r="49">
          <cell r="A49">
            <v>40293</v>
          </cell>
          <cell r="B49">
            <v>1741.56</v>
          </cell>
        </row>
        <row r="50">
          <cell r="A50">
            <v>40300</v>
          </cell>
          <cell r="B50">
            <v>1647.5</v>
          </cell>
        </row>
        <row r="51">
          <cell r="A51">
            <v>40307</v>
          </cell>
          <cell r="B51">
            <v>1695.63</v>
          </cell>
        </row>
        <row r="52">
          <cell r="A52">
            <v>40314</v>
          </cell>
          <cell r="B52">
            <v>1600.18</v>
          </cell>
        </row>
        <row r="53">
          <cell r="A53">
            <v>40321</v>
          </cell>
          <cell r="B53">
            <v>1622.78</v>
          </cell>
        </row>
        <row r="54">
          <cell r="A54">
            <v>40328</v>
          </cell>
          <cell r="B54">
            <v>1664.13</v>
          </cell>
        </row>
        <row r="55">
          <cell r="A55">
            <v>40335</v>
          </cell>
          <cell r="B55">
            <v>1675.34</v>
          </cell>
        </row>
        <row r="56">
          <cell r="A56">
            <v>40342</v>
          </cell>
          <cell r="B56">
            <v>1711.95</v>
          </cell>
        </row>
        <row r="57">
          <cell r="A57">
            <v>40349</v>
          </cell>
          <cell r="B57">
            <v>1729.84</v>
          </cell>
        </row>
        <row r="58">
          <cell r="A58">
            <v>40356</v>
          </cell>
          <cell r="B58">
            <v>1671.82</v>
          </cell>
        </row>
        <row r="59">
          <cell r="A59">
            <v>40363</v>
          </cell>
          <cell r="B59">
            <v>1723.01</v>
          </cell>
        </row>
        <row r="60">
          <cell r="A60">
            <v>40370</v>
          </cell>
          <cell r="B60">
            <v>1738.45</v>
          </cell>
        </row>
        <row r="61">
          <cell r="A61">
            <v>40377</v>
          </cell>
          <cell r="B61">
            <v>1758.06</v>
          </cell>
        </row>
        <row r="62">
          <cell r="A62">
            <v>40384</v>
          </cell>
          <cell r="B62">
            <v>1759.33</v>
          </cell>
        </row>
        <row r="63">
          <cell r="A63">
            <v>40391</v>
          </cell>
          <cell r="B63">
            <v>1783.83</v>
          </cell>
        </row>
        <row r="64">
          <cell r="A64">
            <v>40398</v>
          </cell>
          <cell r="B64">
            <v>1746.24</v>
          </cell>
        </row>
        <row r="65">
          <cell r="A65">
            <v>40405</v>
          </cell>
          <cell r="B65">
            <v>1775.54</v>
          </cell>
        </row>
        <row r="66">
          <cell r="A66">
            <v>40412</v>
          </cell>
          <cell r="B66">
            <v>1729.56</v>
          </cell>
        </row>
        <row r="67">
          <cell r="A67">
            <v>40419</v>
          </cell>
          <cell r="B67">
            <v>1780.02</v>
          </cell>
        </row>
        <row r="68">
          <cell r="A68">
            <v>40426</v>
          </cell>
          <cell r="B68">
            <v>1802.58</v>
          </cell>
        </row>
        <row r="69">
          <cell r="A69">
            <v>40433</v>
          </cell>
          <cell r="B69">
            <v>1827.35</v>
          </cell>
        </row>
        <row r="70">
          <cell r="A70">
            <v>40440</v>
          </cell>
          <cell r="B70">
            <v>1846.6</v>
          </cell>
        </row>
        <row r="71">
          <cell r="A71">
            <v>40447</v>
          </cell>
          <cell r="B71">
            <v>1876.73</v>
          </cell>
        </row>
        <row r="72">
          <cell r="A72">
            <v>40454</v>
          </cell>
          <cell r="B72">
            <v>1897.07</v>
          </cell>
        </row>
        <row r="73">
          <cell r="A73">
            <v>40461</v>
          </cell>
          <cell r="B73">
            <v>1902.29</v>
          </cell>
        </row>
        <row r="74">
          <cell r="A74">
            <v>40468</v>
          </cell>
          <cell r="B74">
            <v>1897.31</v>
          </cell>
        </row>
        <row r="75">
          <cell r="A75">
            <v>40475</v>
          </cell>
          <cell r="B75">
            <v>1882.95</v>
          </cell>
        </row>
        <row r="76">
          <cell r="A76">
            <v>40482</v>
          </cell>
          <cell r="B76">
            <v>1938.96</v>
          </cell>
        </row>
        <row r="77">
          <cell r="A77">
            <v>40489</v>
          </cell>
          <cell r="B77">
            <v>1913.12</v>
          </cell>
        </row>
        <row r="78">
          <cell r="A78">
            <v>40496</v>
          </cell>
          <cell r="B78">
            <v>1940.96</v>
          </cell>
        </row>
        <row r="79">
          <cell r="A79">
            <v>40503</v>
          </cell>
          <cell r="B79">
            <v>1901.8</v>
          </cell>
        </row>
        <row r="80">
          <cell r="A80">
            <v>40510</v>
          </cell>
          <cell r="B80">
            <v>1957.26</v>
          </cell>
        </row>
        <row r="81">
          <cell r="A81">
            <v>40517</v>
          </cell>
          <cell r="B81">
            <v>1986.14</v>
          </cell>
        </row>
        <row r="82">
          <cell r="A82">
            <v>40524</v>
          </cell>
          <cell r="B82">
            <v>2026.3</v>
          </cell>
        </row>
        <row r="83">
          <cell r="A83">
            <v>40531</v>
          </cell>
          <cell r="B83">
            <v>2029.6</v>
          </cell>
        </row>
        <row r="84">
          <cell r="A84">
            <v>40538</v>
          </cell>
          <cell r="B84">
            <v>2051</v>
          </cell>
        </row>
        <row r="85">
          <cell r="A85">
            <v>40545</v>
          </cell>
          <cell r="B85">
            <v>2086.1999999999998</v>
          </cell>
        </row>
        <row r="86">
          <cell r="A86">
            <v>40552</v>
          </cell>
          <cell r="B86">
            <v>2108.17</v>
          </cell>
        </row>
        <row r="87">
          <cell r="A87">
            <v>40559</v>
          </cell>
          <cell r="B87">
            <v>2069.92</v>
          </cell>
        </row>
        <row r="88">
          <cell r="A88">
            <v>40566</v>
          </cell>
          <cell r="B88">
            <v>2107.87</v>
          </cell>
        </row>
        <row r="89">
          <cell r="A89">
            <v>40573</v>
          </cell>
          <cell r="B89">
            <v>2072.0300000000002</v>
          </cell>
        </row>
        <row r="90">
          <cell r="A90">
            <v>40580</v>
          </cell>
          <cell r="B90">
            <v>1977.19</v>
          </cell>
        </row>
        <row r="91">
          <cell r="A91">
            <v>40587</v>
          </cell>
          <cell r="B91">
            <v>2013.14</v>
          </cell>
        </row>
        <row r="92">
          <cell r="A92">
            <v>40594</v>
          </cell>
          <cell r="B92">
            <v>1963.43</v>
          </cell>
        </row>
        <row r="93">
          <cell r="A93">
            <v>40601</v>
          </cell>
          <cell r="B93">
            <v>2004.68</v>
          </cell>
        </row>
        <row r="94">
          <cell r="A94">
            <v>40608</v>
          </cell>
          <cell r="B94">
            <v>1955.54</v>
          </cell>
        </row>
        <row r="95">
          <cell r="A95">
            <v>40615</v>
          </cell>
          <cell r="B95">
            <v>1981.13</v>
          </cell>
        </row>
        <row r="96">
          <cell r="A96">
            <v>40622</v>
          </cell>
          <cell r="B96">
            <v>2054.04</v>
          </cell>
        </row>
        <row r="97">
          <cell r="A97">
            <v>40629</v>
          </cell>
          <cell r="B97">
            <v>2121.0100000000002</v>
          </cell>
        </row>
        <row r="98">
          <cell r="A98">
            <v>40636</v>
          </cell>
          <cell r="B98">
            <v>2127.9699999999998</v>
          </cell>
        </row>
        <row r="99">
          <cell r="A99">
            <v>40643</v>
          </cell>
          <cell r="B99">
            <v>2140.5</v>
          </cell>
        </row>
        <row r="100">
          <cell r="A100">
            <v>40650</v>
          </cell>
          <cell r="B100">
            <v>2197.8200000000002</v>
          </cell>
        </row>
        <row r="101">
          <cell r="A101">
            <v>40657</v>
          </cell>
          <cell r="B101">
            <v>2192.36</v>
          </cell>
        </row>
        <row r="102">
          <cell r="A102">
            <v>40664</v>
          </cell>
          <cell r="B102">
            <v>2147.4499999999998</v>
          </cell>
        </row>
        <row r="103">
          <cell r="A103">
            <v>40671</v>
          </cell>
          <cell r="B103">
            <v>2120.08</v>
          </cell>
        </row>
        <row r="104">
          <cell r="A104">
            <v>40678</v>
          </cell>
          <cell r="B104">
            <v>2111.5</v>
          </cell>
        </row>
        <row r="105">
          <cell r="A105">
            <v>40685</v>
          </cell>
          <cell r="B105">
            <v>2100.2399999999998</v>
          </cell>
        </row>
        <row r="106">
          <cell r="A106">
            <v>40692</v>
          </cell>
          <cell r="B106">
            <v>2113.4699999999998</v>
          </cell>
        </row>
        <row r="107">
          <cell r="A107">
            <v>40699</v>
          </cell>
          <cell r="B107">
            <v>2046.67</v>
          </cell>
        </row>
        <row r="108">
          <cell r="A108">
            <v>40706</v>
          </cell>
          <cell r="B108">
            <v>2031.93</v>
          </cell>
        </row>
        <row r="109">
          <cell r="A109">
            <v>40713</v>
          </cell>
          <cell r="B109">
            <v>2090.81</v>
          </cell>
        </row>
        <row r="110">
          <cell r="A110">
            <v>40720</v>
          </cell>
          <cell r="B110">
            <v>2125.7399999999998</v>
          </cell>
        </row>
        <row r="111">
          <cell r="A111">
            <v>40727</v>
          </cell>
          <cell r="B111">
            <v>2180.35</v>
          </cell>
        </row>
        <row r="112">
          <cell r="A112">
            <v>40734</v>
          </cell>
          <cell r="B112">
            <v>2145.1999999999998</v>
          </cell>
        </row>
        <row r="113">
          <cell r="A113">
            <v>40741</v>
          </cell>
          <cell r="B113">
            <v>2171.23</v>
          </cell>
        </row>
        <row r="114">
          <cell r="A114">
            <v>40748</v>
          </cell>
          <cell r="B114">
            <v>2133.21</v>
          </cell>
        </row>
        <row r="115">
          <cell r="A115">
            <v>40755</v>
          </cell>
          <cell r="B115">
            <v>1943.75</v>
          </cell>
        </row>
        <row r="116">
          <cell r="A116">
            <v>40762</v>
          </cell>
          <cell r="B116">
            <v>1793.31</v>
          </cell>
        </row>
        <row r="117">
          <cell r="A117">
            <v>40769</v>
          </cell>
          <cell r="B117">
            <v>1744.88</v>
          </cell>
        </row>
        <row r="118">
          <cell r="A118">
            <v>40776</v>
          </cell>
          <cell r="B118">
            <v>1778.95</v>
          </cell>
        </row>
        <row r="119">
          <cell r="A119">
            <v>40783</v>
          </cell>
          <cell r="B119">
            <v>1867.75</v>
          </cell>
        </row>
        <row r="120">
          <cell r="A120">
            <v>40790</v>
          </cell>
          <cell r="B120">
            <v>1812.93</v>
          </cell>
        </row>
        <row r="121">
          <cell r="A121">
            <v>40797</v>
          </cell>
          <cell r="B121">
            <v>1840.1</v>
          </cell>
        </row>
        <row r="122">
          <cell r="A122">
            <v>40804</v>
          </cell>
          <cell r="B122">
            <v>1697.44</v>
          </cell>
        </row>
        <row r="123">
          <cell r="A123">
            <v>40811</v>
          </cell>
          <cell r="B123">
            <v>1769.65</v>
          </cell>
        </row>
        <row r="124">
          <cell r="A124">
            <v>40818</v>
          </cell>
          <cell r="B124">
            <v>1759.77</v>
          </cell>
        </row>
        <row r="125">
          <cell r="A125">
            <v>40825</v>
          </cell>
          <cell r="B125">
            <v>1835.4</v>
          </cell>
        </row>
        <row r="126">
          <cell r="A126">
            <v>40832</v>
          </cell>
          <cell r="B126">
            <v>1838.38</v>
          </cell>
        </row>
        <row r="127">
          <cell r="A127">
            <v>40839</v>
          </cell>
          <cell r="B127">
            <v>1929.48</v>
          </cell>
        </row>
        <row r="128">
          <cell r="A128">
            <v>40846</v>
          </cell>
          <cell r="B128">
            <v>1928.41</v>
          </cell>
        </row>
        <row r="129">
          <cell r="A129">
            <v>40853</v>
          </cell>
          <cell r="B129">
            <v>1863.45</v>
          </cell>
        </row>
        <row r="130">
          <cell r="A130">
            <v>40860</v>
          </cell>
          <cell r="B130">
            <v>1839.17</v>
          </cell>
        </row>
        <row r="131">
          <cell r="A131">
            <v>40867</v>
          </cell>
          <cell r="B131">
            <v>1776.4</v>
          </cell>
        </row>
        <row r="132">
          <cell r="A132">
            <v>40874</v>
          </cell>
          <cell r="B132">
            <v>1916.04</v>
          </cell>
        </row>
        <row r="133">
          <cell r="A133">
            <v>40881</v>
          </cell>
          <cell r="B133">
            <v>1874.75</v>
          </cell>
        </row>
        <row r="134">
          <cell r="A134">
            <v>40888</v>
          </cell>
          <cell r="B134">
            <v>1839.96</v>
          </cell>
        </row>
        <row r="135">
          <cell r="A135">
            <v>40895</v>
          </cell>
          <cell r="B135">
            <v>1867.22</v>
          </cell>
        </row>
        <row r="136">
          <cell r="A136">
            <v>40902</v>
          </cell>
          <cell r="B136">
            <v>1825.74</v>
          </cell>
        </row>
        <row r="137">
          <cell r="A137">
            <v>40909</v>
          </cell>
          <cell r="B137">
            <v>1843.14</v>
          </cell>
        </row>
        <row r="138">
          <cell r="A138">
            <v>40916</v>
          </cell>
          <cell r="B138">
            <v>1875.68</v>
          </cell>
        </row>
        <row r="139">
          <cell r="A139">
            <v>40923</v>
          </cell>
          <cell r="B139">
            <v>1949.89</v>
          </cell>
        </row>
        <row r="140">
          <cell r="A140">
            <v>40930</v>
          </cell>
          <cell r="B140">
            <v>1964.83</v>
          </cell>
        </row>
        <row r="141">
          <cell r="A141">
            <v>40937</v>
          </cell>
          <cell r="B141">
            <v>1972.34</v>
          </cell>
        </row>
        <row r="142">
          <cell r="A142">
            <v>40944</v>
          </cell>
          <cell r="B142">
            <v>1993.71</v>
          </cell>
        </row>
        <row r="143">
          <cell r="A143">
            <v>40951</v>
          </cell>
          <cell r="B143">
            <v>2023.47</v>
          </cell>
        </row>
        <row r="144">
          <cell r="A144">
            <v>40958</v>
          </cell>
          <cell r="B144">
            <v>2019.89</v>
          </cell>
        </row>
        <row r="145">
          <cell r="A145">
            <v>40965</v>
          </cell>
          <cell r="B145">
            <v>2034.63</v>
          </cell>
        </row>
        <row r="146">
          <cell r="A146">
            <v>40972</v>
          </cell>
          <cell r="B146">
            <v>2018.3</v>
          </cell>
        </row>
        <row r="147">
          <cell r="A147">
            <v>40979</v>
          </cell>
          <cell r="B147">
            <v>2034.44</v>
          </cell>
        </row>
        <row r="148">
          <cell r="A148">
            <v>40986</v>
          </cell>
          <cell r="B148">
            <v>2026.83</v>
          </cell>
        </row>
        <row r="149">
          <cell r="A149">
            <v>40993</v>
          </cell>
          <cell r="B149">
            <v>2014.04</v>
          </cell>
        </row>
        <row r="150">
          <cell r="A150">
            <v>41000</v>
          </cell>
          <cell r="B150">
            <v>2029.03</v>
          </cell>
        </row>
        <row r="151">
          <cell r="A151">
            <v>41007</v>
          </cell>
          <cell r="B151">
            <v>2008.91</v>
          </cell>
        </row>
        <row r="152">
          <cell r="A152">
            <v>41014</v>
          </cell>
          <cell r="B152">
            <v>1974.65</v>
          </cell>
        </row>
        <row r="153">
          <cell r="A153">
            <v>41021</v>
          </cell>
          <cell r="B153">
            <v>1975.35</v>
          </cell>
        </row>
        <row r="154">
          <cell r="A154">
            <v>41028</v>
          </cell>
          <cell r="B154">
            <v>1989.15</v>
          </cell>
        </row>
        <row r="155">
          <cell r="A155">
            <v>41035</v>
          </cell>
          <cell r="B155">
            <v>1917.13</v>
          </cell>
        </row>
        <row r="156">
          <cell r="A156">
            <v>41042</v>
          </cell>
          <cell r="B156">
            <v>1782.46</v>
          </cell>
        </row>
        <row r="157">
          <cell r="A157">
            <v>41049</v>
          </cell>
          <cell r="B157">
            <v>1824.17</v>
          </cell>
        </row>
        <row r="158">
          <cell r="A158">
            <v>41056</v>
          </cell>
          <cell r="B158">
            <v>1834.51</v>
          </cell>
        </row>
        <row r="159">
          <cell r="A159">
            <v>41063</v>
          </cell>
          <cell r="B159">
            <v>1835.64</v>
          </cell>
        </row>
        <row r="160">
          <cell r="A160">
            <v>41070</v>
          </cell>
          <cell r="B160">
            <v>1858.16</v>
          </cell>
        </row>
        <row r="161">
          <cell r="A161">
            <v>41077</v>
          </cell>
          <cell r="B161">
            <v>1847.39</v>
          </cell>
        </row>
        <row r="162">
          <cell r="A162">
            <v>41084</v>
          </cell>
          <cell r="B162">
            <v>1854.01</v>
          </cell>
        </row>
        <row r="163">
          <cell r="A163">
            <v>41091</v>
          </cell>
          <cell r="B163">
            <v>1858.2</v>
          </cell>
        </row>
        <row r="164">
          <cell r="A164">
            <v>41098</v>
          </cell>
          <cell r="B164">
            <v>1812.89</v>
          </cell>
        </row>
        <row r="165">
          <cell r="A165">
            <v>41105</v>
          </cell>
          <cell r="B165">
            <v>1822.93</v>
          </cell>
        </row>
        <row r="166">
          <cell r="A166">
            <v>41112</v>
          </cell>
          <cell r="B166">
            <v>1829.16</v>
          </cell>
        </row>
        <row r="167">
          <cell r="A167">
            <v>41119</v>
          </cell>
          <cell r="B167">
            <v>1848.68</v>
          </cell>
        </row>
        <row r="168">
          <cell r="A168">
            <v>41126</v>
          </cell>
          <cell r="B168">
            <v>1946.4</v>
          </cell>
        </row>
        <row r="169">
          <cell r="A169">
            <v>41133</v>
          </cell>
          <cell r="B169">
            <v>1946.54</v>
          </cell>
        </row>
        <row r="170">
          <cell r="A170">
            <v>41140</v>
          </cell>
          <cell r="B170">
            <v>1919.81</v>
          </cell>
        </row>
        <row r="171">
          <cell r="A171">
            <v>41147</v>
          </cell>
          <cell r="B171">
            <v>1905.12</v>
          </cell>
        </row>
        <row r="172">
          <cell r="A172">
            <v>41154</v>
          </cell>
          <cell r="B172">
            <v>1929.58</v>
          </cell>
        </row>
        <row r="173">
          <cell r="A173">
            <v>41161</v>
          </cell>
          <cell r="B173">
            <v>2007.58</v>
          </cell>
        </row>
        <row r="174">
          <cell r="A174">
            <v>41168</v>
          </cell>
          <cell r="B174">
            <v>2002.37</v>
          </cell>
        </row>
        <row r="175">
          <cell r="A175">
            <v>41175</v>
          </cell>
          <cell r="B175">
            <v>1996.21</v>
          </cell>
        </row>
        <row r="176">
          <cell r="A176">
            <v>41182</v>
          </cell>
          <cell r="B176">
            <v>1995.17</v>
          </cell>
        </row>
        <row r="177">
          <cell r="A177">
            <v>41189</v>
          </cell>
          <cell r="B177">
            <v>1933.26</v>
          </cell>
        </row>
        <row r="178">
          <cell r="A178">
            <v>41196</v>
          </cell>
          <cell r="B178">
            <v>1943.84</v>
          </cell>
        </row>
        <row r="179">
          <cell r="A179">
            <v>41203</v>
          </cell>
          <cell r="B179">
            <v>1891.43</v>
          </cell>
        </row>
        <row r="180">
          <cell r="A180">
            <v>41210</v>
          </cell>
          <cell r="B180">
            <v>1918.72</v>
          </cell>
        </row>
        <row r="181">
          <cell r="A181">
            <v>41217</v>
          </cell>
          <cell r="B181">
            <v>1904.41</v>
          </cell>
        </row>
        <row r="182">
          <cell r="A182">
            <v>41224</v>
          </cell>
          <cell r="B182">
            <v>1860.83</v>
          </cell>
        </row>
        <row r="183">
          <cell r="A183">
            <v>41231</v>
          </cell>
          <cell r="B183">
            <v>1911.33</v>
          </cell>
        </row>
        <row r="184">
          <cell r="A184">
            <v>41238</v>
          </cell>
          <cell r="B184">
            <v>1932.9</v>
          </cell>
        </row>
        <row r="185">
          <cell r="A185">
            <v>41245</v>
          </cell>
          <cell r="B185">
            <v>1957.45</v>
          </cell>
        </row>
        <row r="186">
          <cell r="A186">
            <v>41252</v>
          </cell>
          <cell r="B186">
            <v>1995.04</v>
          </cell>
        </row>
        <row r="187">
          <cell r="A187">
            <v>41259</v>
          </cell>
          <cell r="B187">
            <v>1980.42</v>
          </cell>
        </row>
        <row r="188">
          <cell r="A188">
            <v>41266</v>
          </cell>
          <cell r="B188">
            <v>1997.05</v>
          </cell>
        </row>
        <row r="189">
          <cell r="A189">
            <v>41273</v>
          </cell>
          <cell r="B189">
            <v>2011.94</v>
          </cell>
        </row>
        <row r="190">
          <cell r="A190">
            <v>41280</v>
          </cell>
          <cell r="B190">
            <v>1996.67</v>
          </cell>
        </row>
        <row r="191">
          <cell r="A191">
            <v>41287</v>
          </cell>
          <cell r="B191">
            <v>1987.85</v>
          </cell>
        </row>
        <row r="192">
          <cell r="A192">
            <v>41294</v>
          </cell>
          <cell r="B192">
            <v>1946.69</v>
          </cell>
        </row>
        <row r="193">
          <cell r="A193">
            <v>41301</v>
          </cell>
          <cell r="B193">
            <v>1957.79</v>
          </cell>
        </row>
        <row r="194">
          <cell r="A194">
            <v>41308</v>
          </cell>
          <cell r="B194">
            <v>1950.9</v>
          </cell>
        </row>
        <row r="195">
          <cell r="A195">
            <v>41315</v>
          </cell>
          <cell r="B195">
            <v>1981.18</v>
          </cell>
        </row>
        <row r="196">
          <cell r="A196">
            <v>41322</v>
          </cell>
          <cell r="B196">
            <v>2018.89</v>
          </cell>
        </row>
        <row r="197">
          <cell r="A197">
            <v>41329</v>
          </cell>
          <cell r="B197">
            <v>2026.49</v>
          </cell>
        </row>
        <row r="198">
          <cell r="A198">
            <v>41336</v>
          </cell>
          <cell r="B198">
            <v>2006.01</v>
          </cell>
        </row>
        <row r="199">
          <cell r="A199">
            <v>41343</v>
          </cell>
          <cell r="B199">
            <v>1986.5</v>
          </cell>
        </row>
        <row r="200">
          <cell r="A200">
            <v>41350</v>
          </cell>
          <cell r="B200">
            <v>1948.71</v>
          </cell>
        </row>
        <row r="201">
          <cell r="A201">
            <v>41357</v>
          </cell>
          <cell r="B201">
            <v>2004.89</v>
          </cell>
        </row>
        <row r="202">
          <cell r="A202">
            <v>41364</v>
          </cell>
          <cell r="B202">
            <v>1927.23</v>
          </cell>
        </row>
        <row r="203">
          <cell r="A203">
            <v>41371</v>
          </cell>
          <cell r="B203">
            <v>1924.23</v>
          </cell>
        </row>
        <row r="204">
          <cell r="A204">
            <v>41378</v>
          </cell>
          <cell r="B204">
            <v>1906.75</v>
          </cell>
        </row>
        <row r="205">
          <cell r="A205">
            <v>41385</v>
          </cell>
          <cell r="B205">
            <v>1944.56</v>
          </cell>
        </row>
        <row r="206">
          <cell r="A206">
            <v>41392</v>
          </cell>
          <cell r="B206">
            <v>1965.71</v>
          </cell>
        </row>
        <row r="207">
          <cell r="A207">
            <v>41399</v>
          </cell>
          <cell r="B207">
            <v>1944.75</v>
          </cell>
        </row>
        <row r="208">
          <cell r="A208">
            <v>41406</v>
          </cell>
          <cell r="B208">
            <v>1986.81</v>
          </cell>
        </row>
        <row r="209">
          <cell r="A209">
            <v>41413</v>
          </cell>
          <cell r="B209">
            <v>1973.45</v>
          </cell>
        </row>
        <row r="210">
          <cell r="A210">
            <v>41420</v>
          </cell>
          <cell r="B210">
            <v>2001.05</v>
          </cell>
        </row>
        <row r="211">
          <cell r="A211">
            <v>41427</v>
          </cell>
          <cell r="B211">
            <v>1923.85</v>
          </cell>
        </row>
        <row r="212">
          <cell r="A212">
            <v>41434</v>
          </cell>
          <cell r="B212">
            <v>1889.24</v>
          </cell>
        </row>
        <row r="213">
          <cell r="A213">
            <v>41441</v>
          </cell>
          <cell r="B213">
            <v>1822.83</v>
          </cell>
        </row>
        <row r="214">
          <cell r="A214">
            <v>41448</v>
          </cell>
          <cell r="B214">
            <v>1863.32</v>
          </cell>
        </row>
        <row r="215">
          <cell r="A215">
            <v>41455</v>
          </cell>
          <cell r="B215">
            <v>1833.31</v>
          </cell>
        </row>
        <row r="216">
          <cell r="A216">
            <v>41462</v>
          </cell>
          <cell r="B216">
            <v>1869.98</v>
          </cell>
        </row>
        <row r="217">
          <cell r="A217">
            <v>41469</v>
          </cell>
          <cell r="B217">
            <v>1871.41</v>
          </cell>
        </row>
        <row r="218">
          <cell r="A218">
            <v>41476</v>
          </cell>
          <cell r="B218">
            <v>1910.81</v>
          </cell>
        </row>
        <row r="219">
          <cell r="A219">
            <v>41483</v>
          </cell>
          <cell r="B219">
            <v>1923.38</v>
          </cell>
        </row>
        <row r="220">
          <cell r="A220">
            <v>41490</v>
          </cell>
          <cell r="B220">
            <v>1880.71</v>
          </cell>
        </row>
        <row r="221">
          <cell r="A221">
            <v>41497</v>
          </cell>
          <cell r="B221">
            <v>1920.11</v>
          </cell>
        </row>
        <row r="222">
          <cell r="A222">
            <v>41504</v>
          </cell>
          <cell r="B222">
            <v>1870.16</v>
          </cell>
        </row>
        <row r="223">
          <cell r="A223">
            <v>41511</v>
          </cell>
          <cell r="B223">
            <v>1926.36</v>
          </cell>
        </row>
        <row r="224">
          <cell r="A224">
            <v>41518</v>
          </cell>
          <cell r="B224">
            <v>1955.31</v>
          </cell>
        </row>
        <row r="225">
          <cell r="A225">
            <v>41525</v>
          </cell>
          <cell r="B225">
            <v>1994.32</v>
          </cell>
        </row>
        <row r="226">
          <cell r="A226">
            <v>41532</v>
          </cell>
          <cell r="B226">
            <v>2005.58</v>
          </cell>
        </row>
        <row r="227">
          <cell r="A227">
            <v>41539</v>
          </cell>
          <cell r="B227">
            <v>2011.8</v>
          </cell>
        </row>
        <row r="228">
          <cell r="A228">
            <v>41546</v>
          </cell>
          <cell r="B228">
            <v>1996.98</v>
          </cell>
        </row>
        <row r="229">
          <cell r="A229">
            <v>41553</v>
          </cell>
          <cell r="B229">
            <v>2024.9</v>
          </cell>
        </row>
        <row r="230">
          <cell r="A230">
            <v>41560</v>
          </cell>
          <cell r="B230">
            <v>2052.4</v>
          </cell>
        </row>
        <row r="231">
          <cell r="A231">
            <v>41567</v>
          </cell>
          <cell r="B231">
            <v>2034.39</v>
          </cell>
        </row>
        <row r="232">
          <cell r="A232">
            <v>41574</v>
          </cell>
          <cell r="B232">
            <v>2039.42</v>
          </cell>
        </row>
        <row r="233">
          <cell r="A233">
            <v>41581</v>
          </cell>
          <cell r="B233">
            <v>1984.87</v>
          </cell>
        </row>
        <row r="234">
          <cell r="A234">
            <v>41588</v>
          </cell>
          <cell r="B234">
            <v>2005.64</v>
          </cell>
        </row>
        <row r="235">
          <cell r="A235">
            <v>41595</v>
          </cell>
          <cell r="B235">
            <v>2006.23</v>
          </cell>
        </row>
        <row r="236">
          <cell r="A236">
            <v>41602</v>
          </cell>
          <cell r="B236">
            <v>2044.87</v>
          </cell>
        </row>
        <row r="237">
          <cell r="A237">
            <v>41609</v>
          </cell>
          <cell r="B237">
            <v>1980.41</v>
          </cell>
        </row>
        <row r="238">
          <cell r="A238">
            <v>41616</v>
          </cell>
          <cell r="B238">
            <v>1962.91</v>
          </cell>
        </row>
        <row r="239">
          <cell r="A239">
            <v>41623</v>
          </cell>
          <cell r="B239">
            <v>1983.35</v>
          </cell>
        </row>
        <row r="240">
          <cell r="A240">
            <v>41630</v>
          </cell>
          <cell r="B240">
            <v>2002.28</v>
          </cell>
        </row>
        <row r="241">
          <cell r="A241">
            <v>41637</v>
          </cell>
          <cell r="B241">
            <v>1946.14</v>
          </cell>
        </row>
        <row r="242">
          <cell r="A242">
            <v>41644</v>
          </cell>
          <cell r="B242">
            <v>1938.54</v>
          </cell>
        </row>
        <row r="243">
          <cell r="A243">
            <v>41651</v>
          </cell>
          <cell r="B243">
            <v>1944.48</v>
          </cell>
        </row>
        <row r="244">
          <cell r="A244">
            <v>41658</v>
          </cell>
          <cell r="B244">
            <v>1940.56</v>
          </cell>
        </row>
        <row r="245">
          <cell r="A245">
            <v>41665</v>
          </cell>
          <cell r="B245">
            <v>1941.15</v>
          </cell>
        </row>
        <row r="246">
          <cell r="A246">
            <v>41672</v>
          </cell>
          <cell r="B246">
            <v>1922.5</v>
          </cell>
        </row>
        <row r="247">
          <cell r="A247">
            <v>41679</v>
          </cell>
          <cell r="B247">
            <v>1940.28</v>
          </cell>
        </row>
        <row r="248">
          <cell r="A248">
            <v>41686</v>
          </cell>
          <cell r="B248">
            <v>1957.83</v>
          </cell>
        </row>
        <row r="249">
          <cell r="A249">
            <v>41693</v>
          </cell>
          <cell r="B249">
            <v>1979.99</v>
          </cell>
        </row>
        <row r="250">
          <cell r="A250">
            <v>41700</v>
          </cell>
          <cell r="B250">
            <v>1974.68</v>
          </cell>
        </row>
        <row r="251">
          <cell r="A251">
            <v>41707</v>
          </cell>
          <cell r="B251">
            <v>1919.9</v>
          </cell>
        </row>
        <row r="252">
          <cell r="A252">
            <v>41714</v>
          </cell>
          <cell r="B252">
            <v>1934.94</v>
          </cell>
        </row>
        <row r="253">
          <cell r="A253">
            <v>41721</v>
          </cell>
          <cell r="B253">
            <v>1981</v>
          </cell>
        </row>
        <row r="254">
          <cell r="A254">
            <v>41728</v>
          </cell>
          <cell r="B254">
            <v>1988.09</v>
          </cell>
        </row>
        <row r="255">
          <cell r="A255">
            <v>41735</v>
          </cell>
          <cell r="B255">
            <v>1997.44</v>
          </cell>
        </row>
        <row r="256">
          <cell r="A256">
            <v>41742</v>
          </cell>
          <cell r="B256">
            <v>2004.28</v>
          </cell>
        </row>
        <row r="257">
          <cell r="A257">
            <v>41749</v>
          </cell>
          <cell r="B257">
            <v>1971.66</v>
          </cell>
        </row>
        <row r="258">
          <cell r="A258">
            <v>41756</v>
          </cell>
          <cell r="B258">
            <v>1959.44</v>
          </cell>
        </row>
        <row r="259">
          <cell r="A259">
            <v>41763</v>
          </cell>
          <cell r="B259">
            <v>1956.55</v>
          </cell>
        </row>
        <row r="260">
          <cell r="A260">
            <v>41770</v>
          </cell>
          <cell r="B260">
            <v>2013.44</v>
          </cell>
        </row>
        <row r="261">
          <cell r="A261">
            <v>41777</v>
          </cell>
          <cell r="B261">
            <v>2017.17</v>
          </cell>
        </row>
        <row r="262">
          <cell r="A262">
            <v>41784</v>
          </cell>
          <cell r="B262">
            <v>1994.96</v>
          </cell>
        </row>
        <row r="263">
          <cell r="A263">
            <v>41791</v>
          </cell>
          <cell r="B263">
            <v>1995.48</v>
          </cell>
        </row>
        <row r="264">
          <cell r="A264">
            <v>41798</v>
          </cell>
          <cell r="B264">
            <v>1990.85</v>
          </cell>
        </row>
        <row r="265">
          <cell r="A265">
            <v>41805</v>
          </cell>
          <cell r="B265">
            <v>1968.07</v>
          </cell>
        </row>
        <row r="266">
          <cell r="A266">
            <v>41812</v>
          </cell>
          <cell r="B266">
            <v>1988.51</v>
          </cell>
        </row>
        <row r="267">
          <cell r="A267">
            <v>41819</v>
          </cell>
          <cell r="B267">
            <v>2009.66</v>
          </cell>
        </row>
        <row r="268">
          <cell r="A268">
            <v>41826</v>
          </cell>
          <cell r="B268">
            <v>1988.74</v>
          </cell>
        </row>
        <row r="269">
          <cell r="A269">
            <v>41833</v>
          </cell>
          <cell r="B269">
            <v>2019.42</v>
          </cell>
        </row>
        <row r="270">
          <cell r="A270">
            <v>41840</v>
          </cell>
          <cell r="B270">
            <v>2033.85</v>
          </cell>
        </row>
        <row r="271">
          <cell r="A271">
            <v>41847</v>
          </cell>
          <cell r="B271">
            <v>2073.1</v>
          </cell>
        </row>
        <row r="272">
          <cell r="A272">
            <v>41854</v>
          </cell>
          <cell r="B272">
            <v>2031.1</v>
          </cell>
        </row>
        <row r="273">
          <cell r="A273">
            <v>41861</v>
          </cell>
          <cell r="B273">
            <v>2063.2199999999998</v>
          </cell>
        </row>
        <row r="274">
          <cell r="A274">
            <v>41868</v>
          </cell>
          <cell r="B274">
            <v>2056.6999999999998</v>
          </cell>
        </row>
        <row r="275">
          <cell r="A275">
            <v>41875</v>
          </cell>
          <cell r="B275">
            <v>2068.54</v>
          </cell>
        </row>
        <row r="276">
          <cell r="A276">
            <v>41882</v>
          </cell>
          <cell r="B276">
            <v>2049.41</v>
          </cell>
        </row>
        <row r="277">
          <cell r="A277">
            <v>41889</v>
          </cell>
          <cell r="B277">
            <v>2041.86</v>
          </cell>
        </row>
        <row r="278">
          <cell r="A278">
            <v>41896</v>
          </cell>
          <cell r="B278">
            <v>2053.8200000000002</v>
          </cell>
        </row>
        <row r="279">
          <cell r="A279">
            <v>41903</v>
          </cell>
          <cell r="B279">
            <v>2031.64</v>
          </cell>
        </row>
        <row r="280">
          <cell r="A280">
            <v>41910</v>
          </cell>
          <cell r="B280">
            <v>1976.16</v>
          </cell>
        </row>
        <row r="281">
          <cell r="A281">
            <v>41917</v>
          </cell>
          <cell r="B281">
            <v>1940.92</v>
          </cell>
        </row>
        <row r="282">
          <cell r="A282">
            <v>41924</v>
          </cell>
          <cell r="B282">
            <v>1900.66</v>
          </cell>
        </row>
        <row r="283">
          <cell r="A283">
            <v>41931</v>
          </cell>
          <cell r="B283">
            <v>1925.69</v>
          </cell>
        </row>
        <row r="284">
          <cell r="A284">
            <v>41938</v>
          </cell>
          <cell r="B284">
            <v>1964.43</v>
          </cell>
        </row>
        <row r="285">
          <cell r="A285">
            <v>41945</v>
          </cell>
          <cell r="B285">
            <v>1939.87</v>
          </cell>
        </row>
        <row r="286">
          <cell r="A286">
            <v>41952</v>
          </cell>
          <cell r="B286">
            <v>1945.14</v>
          </cell>
        </row>
        <row r="287">
          <cell r="A287">
            <v>41959</v>
          </cell>
          <cell r="B287">
            <v>1964.84</v>
          </cell>
        </row>
        <row r="288">
          <cell r="A288">
            <v>41966</v>
          </cell>
          <cell r="B288">
            <v>1980.78</v>
          </cell>
        </row>
        <row r="289">
          <cell r="A289">
            <v>41973</v>
          </cell>
          <cell r="B289">
            <v>1986.62</v>
          </cell>
        </row>
        <row r="290">
          <cell r="A290">
            <v>41980</v>
          </cell>
          <cell r="B290">
            <v>1921.71</v>
          </cell>
        </row>
        <row r="291">
          <cell r="A291">
            <v>41987</v>
          </cell>
          <cell r="B291">
            <v>1929.98</v>
          </cell>
        </row>
        <row r="292">
          <cell r="A292">
            <v>41994</v>
          </cell>
          <cell r="B292">
            <v>1948.16</v>
          </cell>
        </row>
        <row r="293">
          <cell r="A293">
            <v>42001</v>
          </cell>
          <cell r="B293">
            <v>1926.44</v>
          </cell>
        </row>
        <row r="294">
          <cell r="A294">
            <v>42008</v>
          </cell>
          <cell r="B294">
            <v>1924.7</v>
          </cell>
        </row>
        <row r="295">
          <cell r="A295">
            <v>42015</v>
          </cell>
          <cell r="B295">
            <v>1888.13</v>
          </cell>
        </row>
        <row r="296">
          <cell r="A296">
            <v>42022</v>
          </cell>
          <cell r="B296">
            <v>1936.09</v>
          </cell>
        </row>
        <row r="297">
          <cell r="A297">
            <v>42029</v>
          </cell>
          <cell r="B297">
            <v>1949.26</v>
          </cell>
        </row>
        <row r="298">
          <cell r="A298">
            <v>42036</v>
          </cell>
          <cell r="B298">
            <v>1955.52</v>
          </cell>
        </row>
        <row r="299">
          <cell r="A299">
            <v>42043</v>
          </cell>
          <cell r="B299">
            <v>1957.5</v>
          </cell>
        </row>
        <row r="300">
          <cell r="A300">
            <v>42050</v>
          </cell>
          <cell r="B300">
            <v>1961.45</v>
          </cell>
        </row>
        <row r="301">
          <cell r="A301">
            <v>42057</v>
          </cell>
          <cell r="B301">
            <v>1985.8</v>
          </cell>
        </row>
        <row r="302">
          <cell r="A302">
            <v>42064</v>
          </cell>
          <cell r="B302">
            <v>2012.94</v>
          </cell>
        </row>
        <row r="303">
          <cell r="A303">
            <v>42071</v>
          </cell>
          <cell r="B303">
            <v>1985.79</v>
          </cell>
        </row>
        <row r="304">
          <cell r="A304">
            <v>42078</v>
          </cell>
          <cell r="B304">
            <v>2037.24</v>
          </cell>
        </row>
        <row r="305">
          <cell r="A305">
            <v>42085</v>
          </cell>
          <cell r="B305">
            <v>2019.8</v>
          </cell>
        </row>
        <row r="306">
          <cell r="A306">
            <v>42092</v>
          </cell>
          <cell r="B306">
            <v>2045.42</v>
          </cell>
        </row>
        <row r="307">
          <cell r="A307">
            <v>42099</v>
          </cell>
          <cell r="B307">
            <v>2087.7600000000002</v>
          </cell>
        </row>
        <row r="308">
          <cell r="A308">
            <v>42106</v>
          </cell>
          <cell r="B308">
            <v>2143.5</v>
          </cell>
        </row>
        <row r="309">
          <cell r="A309">
            <v>42113</v>
          </cell>
          <cell r="B309">
            <v>2159.8000000000002</v>
          </cell>
        </row>
        <row r="310">
          <cell r="A310">
            <v>42120</v>
          </cell>
          <cell r="B310">
            <v>2127.17</v>
          </cell>
        </row>
        <row r="311">
          <cell r="A311">
            <v>42127</v>
          </cell>
          <cell r="B311">
            <v>2085.52</v>
          </cell>
        </row>
        <row r="312">
          <cell r="A312">
            <v>42134</v>
          </cell>
          <cell r="B312">
            <v>2106.5</v>
          </cell>
        </row>
        <row r="313">
          <cell r="A313">
            <v>42141</v>
          </cell>
          <cell r="B313">
            <v>2146.1</v>
          </cell>
        </row>
        <row r="314">
          <cell r="A314">
            <v>42148</v>
          </cell>
          <cell r="B314">
            <v>2114.8000000000002</v>
          </cell>
        </row>
        <row r="315">
          <cell r="A315">
            <v>42155</v>
          </cell>
          <cell r="B315">
            <v>2068.1</v>
          </cell>
        </row>
        <row r="316">
          <cell r="A316">
            <v>42162</v>
          </cell>
          <cell r="B316">
            <v>2052.17</v>
          </cell>
        </row>
        <row r="317">
          <cell r="A317">
            <v>42169</v>
          </cell>
          <cell r="B317">
            <v>2046.96</v>
          </cell>
        </row>
        <row r="318">
          <cell r="A318">
            <v>42176</v>
          </cell>
          <cell r="B318">
            <v>2090.2600000000002</v>
          </cell>
        </row>
        <row r="319">
          <cell r="A319">
            <v>42183</v>
          </cell>
          <cell r="B319">
            <v>2104.41</v>
          </cell>
        </row>
        <row r="320">
          <cell r="A320">
            <v>42190</v>
          </cell>
          <cell r="B320">
            <v>2031.17</v>
          </cell>
        </row>
        <row r="321">
          <cell r="A321">
            <v>42197</v>
          </cell>
          <cell r="B321">
            <v>2076.79</v>
          </cell>
        </row>
        <row r="322">
          <cell r="A322">
            <v>42204</v>
          </cell>
          <cell r="B322">
            <v>2045.96</v>
          </cell>
        </row>
        <row r="323">
          <cell r="A323">
            <v>42211</v>
          </cell>
          <cell r="B323">
            <v>2030.16</v>
          </cell>
        </row>
        <row r="324">
          <cell r="A324">
            <v>42218</v>
          </cell>
          <cell r="B324">
            <v>2010.23</v>
          </cell>
        </row>
        <row r="325">
          <cell r="A325">
            <v>42225</v>
          </cell>
          <cell r="B325">
            <v>1983.46</v>
          </cell>
        </row>
        <row r="326">
          <cell r="A326">
            <v>42232</v>
          </cell>
          <cell r="B326">
            <v>1876.07</v>
          </cell>
        </row>
        <row r="327">
          <cell r="A327">
            <v>42239</v>
          </cell>
          <cell r="B327">
            <v>1937.67</v>
          </cell>
        </row>
        <row r="328">
          <cell r="A328">
            <v>42246</v>
          </cell>
          <cell r="B328">
            <v>1886.04</v>
          </cell>
        </row>
        <row r="329">
          <cell r="A329">
            <v>42253</v>
          </cell>
          <cell r="B329">
            <v>1941.37</v>
          </cell>
        </row>
        <row r="330">
          <cell r="A330">
            <v>42260</v>
          </cell>
          <cell r="B330">
            <v>1995.95</v>
          </cell>
        </row>
        <row r="331">
          <cell r="A331">
            <v>42267</v>
          </cell>
          <cell r="B331">
            <v>1942.85</v>
          </cell>
        </row>
        <row r="332">
          <cell r="A332">
            <v>42274</v>
          </cell>
          <cell r="B332">
            <v>1969.68</v>
          </cell>
        </row>
        <row r="333">
          <cell r="A333">
            <v>42281</v>
          </cell>
          <cell r="B333">
            <v>2019.53</v>
          </cell>
        </row>
        <row r="334">
          <cell r="A334">
            <v>42288</v>
          </cell>
          <cell r="B334">
            <v>2030.26</v>
          </cell>
        </row>
        <row r="335">
          <cell r="A335">
            <v>42295</v>
          </cell>
          <cell r="B335">
            <v>2040.4</v>
          </cell>
        </row>
        <row r="336">
          <cell r="A336">
            <v>42302</v>
          </cell>
          <cell r="B336">
            <v>2029.47</v>
          </cell>
        </row>
        <row r="337">
          <cell r="A337">
            <v>42309</v>
          </cell>
          <cell r="B337">
            <v>2041.07</v>
          </cell>
        </row>
        <row r="338">
          <cell r="A338">
            <v>42316</v>
          </cell>
          <cell r="B338">
            <v>1973.29</v>
          </cell>
        </row>
        <row r="339">
          <cell r="A339">
            <v>42323</v>
          </cell>
          <cell r="B339">
            <v>1989.86</v>
          </cell>
        </row>
        <row r="340">
          <cell r="A340">
            <v>42330</v>
          </cell>
          <cell r="B340">
            <v>2028.99</v>
          </cell>
        </row>
        <row r="341">
          <cell r="A341">
            <v>42337</v>
          </cell>
          <cell r="B341">
            <v>1974.4</v>
          </cell>
        </row>
        <row r="342">
          <cell r="A342">
            <v>42344</v>
          </cell>
          <cell r="B342">
            <v>1948.62</v>
          </cell>
        </row>
        <row r="343">
          <cell r="A343">
            <v>42351</v>
          </cell>
          <cell r="B343">
            <v>1975.32</v>
          </cell>
        </row>
        <row r="344">
          <cell r="A344">
            <v>42358</v>
          </cell>
          <cell r="B344">
            <v>1990.65</v>
          </cell>
        </row>
        <row r="345">
          <cell r="A345">
            <v>42365</v>
          </cell>
          <cell r="B345">
            <v>1961.31</v>
          </cell>
        </row>
        <row r="346">
          <cell r="A346">
            <v>42372</v>
          </cell>
          <cell r="B346">
            <v>1917.62</v>
          </cell>
        </row>
        <row r="347">
          <cell r="A347">
            <v>42379</v>
          </cell>
          <cell r="B347">
            <v>1878.87</v>
          </cell>
        </row>
        <row r="348">
          <cell r="A348">
            <v>42386</v>
          </cell>
          <cell r="B348">
            <v>1879.43</v>
          </cell>
        </row>
        <row r="349">
          <cell r="A349">
            <v>42393</v>
          </cell>
          <cell r="B349">
            <v>1912.06</v>
          </cell>
        </row>
        <row r="350">
          <cell r="A350">
            <v>42400</v>
          </cell>
          <cell r="B350">
            <v>1917.79</v>
          </cell>
        </row>
        <row r="351">
          <cell r="A351">
            <v>42407</v>
          </cell>
          <cell r="B351">
            <v>1835.28</v>
          </cell>
        </row>
        <row r="352">
          <cell r="A352">
            <v>42414</v>
          </cell>
          <cell r="B352">
            <v>1916.24</v>
          </cell>
        </row>
        <row r="353">
          <cell r="A353">
            <v>42421</v>
          </cell>
          <cell r="B353">
            <v>1920.16</v>
          </cell>
        </row>
        <row r="354">
          <cell r="A354">
            <v>42428</v>
          </cell>
          <cell r="B354">
            <v>1955.63</v>
          </cell>
        </row>
        <row r="355">
          <cell r="A355">
            <v>42435</v>
          </cell>
          <cell r="B355">
            <v>1971.41</v>
          </cell>
        </row>
        <row r="356">
          <cell r="A356">
            <v>42442</v>
          </cell>
          <cell r="B356">
            <v>1992.12</v>
          </cell>
        </row>
        <row r="357">
          <cell r="A357">
            <v>42449</v>
          </cell>
          <cell r="B357">
            <v>1983.81</v>
          </cell>
        </row>
        <row r="358">
          <cell r="A358">
            <v>42456</v>
          </cell>
          <cell r="B358">
            <v>1973.57</v>
          </cell>
        </row>
        <row r="359">
          <cell r="A359">
            <v>42463</v>
          </cell>
          <cell r="B359">
            <v>1972.05</v>
          </cell>
        </row>
        <row r="360">
          <cell r="A360">
            <v>42470</v>
          </cell>
          <cell r="B360">
            <v>2014.71</v>
          </cell>
        </row>
        <row r="361">
          <cell r="A361">
            <v>42477</v>
          </cell>
          <cell r="B361">
            <v>2015.49</v>
          </cell>
        </row>
        <row r="362">
          <cell r="A362">
            <v>42484</v>
          </cell>
          <cell r="B362">
            <v>1994.15</v>
          </cell>
        </row>
        <row r="363">
          <cell r="A363">
            <v>42491</v>
          </cell>
          <cell r="B363">
            <v>1976.71</v>
          </cell>
        </row>
        <row r="364">
          <cell r="A364">
            <v>42498</v>
          </cell>
          <cell r="B364">
            <v>1966.99</v>
          </cell>
        </row>
        <row r="365">
          <cell r="A365">
            <v>42505</v>
          </cell>
          <cell r="B365">
            <v>1947.67</v>
          </cell>
        </row>
        <row r="366">
          <cell r="A366">
            <v>42512</v>
          </cell>
          <cell r="B366">
            <v>1969.17</v>
          </cell>
        </row>
        <row r="367">
          <cell r="A367">
            <v>42519</v>
          </cell>
          <cell r="B367">
            <v>1985.84</v>
          </cell>
        </row>
        <row r="368">
          <cell r="A368">
            <v>42526</v>
          </cell>
          <cell r="B368">
            <v>2017.63</v>
          </cell>
        </row>
        <row r="369">
          <cell r="A369">
            <v>42533</v>
          </cell>
          <cell r="B369">
            <v>1953.4</v>
          </cell>
        </row>
        <row r="370">
          <cell r="A370">
            <v>42540</v>
          </cell>
          <cell r="B370">
            <v>1925.24</v>
          </cell>
        </row>
        <row r="371">
          <cell r="A371">
            <v>42547</v>
          </cell>
          <cell r="B371">
            <v>1987.32</v>
          </cell>
        </row>
        <row r="372">
          <cell r="A372">
            <v>42554</v>
          </cell>
          <cell r="B372">
            <v>1963.1</v>
          </cell>
        </row>
        <row r="373">
          <cell r="A373">
            <v>42561</v>
          </cell>
          <cell r="B373">
            <v>2017.26</v>
          </cell>
        </row>
        <row r="374">
          <cell r="A374">
            <v>42568</v>
          </cell>
          <cell r="B374">
            <v>2010.34</v>
          </cell>
        </row>
        <row r="375">
          <cell r="A375">
            <v>42575</v>
          </cell>
          <cell r="B375">
            <v>2016.19</v>
          </cell>
        </row>
        <row r="376">
          <cell r="A376">
            <v>42582</v>
          </cell>
          <cell r="B376">
            <v>2017.94</v>
          </cell>
        </row>
        <row r="377">
          <cell r="A377">
            <v>42589</v>
          </cell>
          <cell r="B377">
            <v>2050.4699999999998</v>
          </cell>
        </row>
        <row r="378">
          <cell r="A378">
            <v>42596</v>
          </cell>
          <cell r="B378">
            <v>2056.2399999999998</v>
          </cell>
        </row>
        <row r="379">
          <cell r="A379">
            <v>42603</v>
          </cell>
          <cell r="B379">
            <v>2037.5</v>
          </cell>
        </row>
        <row r="380">
          <cell r="A380">
            <v>42610</v>
          </cell>
          <cell r="B380">
            <v>2038.31</v>
          </cell>
        </row>
        <row r="381">
          <cell r="A381">
            <v>42617</v>
          </cell>
          <cell r="B381">
            <v>2037.87</v>
          </cell>
        </row>
        <row r="382">
          <cell r="A382">
            <v>42624</v>
          </cell>
          <cell r="B382">
            <v>1999.36</v>
          </cell>
        </row>
        <row r="383">
          <cell r="A383">
            <v>42631</v>
          </cell>
          <cell r="B383">
            <v>2054.0700000000002</v>
          </cell>
        </row>
        <row r="384">
          <cell r="A384">
            <v>42638</v>
          </cell>
          <cell r="B384">
            <v>2043.63</v>
          </cell>
        </row>
        <row r="385">
          <cell r="A385">
            <v>42645</v>
          </cell>
          <cell r="B385">
            <v>2053.8000000000002</v>
          </cell>
        </row>
        <row r="386">
          <cell r="A386">
            <v>42652</v>
          </cell>
          <cell r="B386">
            <v>2022.66</v>
          </cell>
        </row>
        <row r="387">
          <cell r="A387">
            <v>42659</v>
          </cell>
          <cell r="B387">
            <v>2033</v>
          </cell>
        </row>
        <row r="388">
          <cell r="A388">
            <v>42666</v>
          </cell>
          <cell r="B388">
            <v>2019.42</v>
          </cell>
        </row>
        <row r="389">
          <cell r="A389">
            <v>42673</v>
          </cell>
          <cell r="B389">
            <v>1982.02</v>
          </cell>
        </row>
        <row r="390">
          <cell r="A390">
            <v>42680</v>
          </cell>
          <cell r="B390">
            <v>1984.43</v>
          </cell>
        </row>
        <row r="391">
          <cell r="A391">
            <v>42687</v>
          </cell>
          <cell r="B391">
            <v>1974.58</v>
          </cell>
        </row>
        <row r="392">
          <cell r="A392">
            <v>42694</v>
          </cell>
          <cell r="B392">
            <v>1974.46</v>
          </cell>
        </row>
        <row r="393">
          <cell r="A393">
            <v>42701</v>
          </cell>
          <cell r="B393">
            <v>1970.61</v>
          </cell>
        </row>
        <row r="394">
          <cell r="A394">
            <v>42708</v>
          </cell>
          <cell r="B394">
            <v>2024.69</v>
          </cell>
        </row>
        <row r="395">
          <cell r="A395">
            <v>42715</v>
          </cell>
          <cell r="B395">
            <v>2042.24</v>
          </cell>
        </row>
        <row r="396">
          <cell r="A396">
            <v>42722</v>
          </cell>
          <cell r="B396">
            <v>2035.9</v>
          </cell>
        </row>
        <row r="397">
          <cell r="A397">
            <v>42729</v>
          </cell>
          <cell r="B397">
            <v>2026.46</v>
          </cell>
        </row>
        <row r="398">
          <cell r="A398">
            <v>42736</v>
          </cell>
          <cell r="B398">
            <v>2049.12</v>
          </cell>
        </row>
        <row r="399">
          <cell r="A399">
            <v>42743</v>
          </cell>
          <cell r="B399">
            <v>2076.79</v>
          </cell>
        </row>
        <row r="400">
          <cell r="A400">
            <v>42750</v>
          </cell>
          <cell r="B400">
            <v>2065.61</v>
          </cell>
        </row>
        <row r="401">
          <cell r="A401">
            <v>42757</v>
          </cell>
          <cell r="B401">
            <v>2083.59</v>
          </cell>
        </row>
        <row r="402">
          <cell r="A402">
            <v>42764</v>
          </cell>
          <cell r="B402">
            <v>2073.16</v>
          </cell>
        </row>
        <row r="403">
          <cell r="A403">
            <v>42771</v>
          </cell>
          <cell r="B403">
            <v>2075.08</v>
          </cell>
        </row>
        <row r="404">
          <cell r="A404">
            <v>42778</v>
          </cell>
          <cell r="B404">
            <v>2080.58</v>
          </cell>
        </row>
        <row r="405">
          <cell r="A405">
            <v>42785</v>
          </cell>
          <cell r="B405">
            <v>2094.12</v>
          </cell>
        </row>
        <row r="406">
          <cell r="A406">
            <v>42792</v>
          </cell>
          <cell r="B406">
            <v>2078.75</v>
          </cell>
        </row>
        <row r="407">
          <cell r="A407">
            <v>42799</v>
          </cell>
          <cell r="B407">
            <v>2097.35</v>
          </cell>
        </row>
        <row r="408">
          <cell r="A408">
            <v>42806</v>
          </cell>
          <cell r="B408">
            <v>2164.58</v>
          </cell>
        </row>
        <row r="409">
          <cell r="A409">
            <v>42813</v>
          </cell>
          <cell r="B409">
            <v>2168.9499999999998</v>
          </cell>
        </row>
        <row r="410">
          <cell r="A410">
            <v>42820</v>
          </cell>
          <cell r="B410">
            <v>2160.23</v>
          </cell>
        </row>
        <row r="411">
          <cell r="A411">
            <v>42827</v>
          </cell>
          <cell r="B411">
            <v>2151.73</v>
          </cell>
        </row>
        <row r="412">
          <cell r="A412">
            <v>42834</v>
          </cell>
          <cell r="B412">
            <v>2134.88</v>
          </cell>
        </row>
        <row r="413">
          <cell r="A413">
            <v>42841</v>
          </cell>
          <cell r="B413">
            <v>2165.04</v>
          </cell>
        </row>
        <row r="414">
          <cell r="A414">
            <v>42848</v>
          </cell>
          <cell r="B414">
            <v>2205.44</v>
          </cell>
        </row>
        <row r="415">
          <cell r="A415">
            <v>42855</v>
          </cell>
          <cell r="B415">
            <v>2241.2399999999998</v>
          </cell>
        </row>
        <row r="416">
          <cell r="A416">
            <v>42862</v>
          </cell>
          <cell r="B416">
            <v>2286.02</v>
          </cell>
        </row>
        <row r="417">
          <cell r="A417">
            <v>42869</v>
          </cell>
          <cell r="B417">
            <v>2288.48</v>
          </cell>
        </row>
        <row r="418">
          <cell r="A418">
            <v>42876</v>
          </cell>
          <cell r="B418">
            <v>2355.3000000000002</v>
          </cell>
        </row>
        <row r="419">
          <cell r="A419">
            <v>42883</v>
          </cell>
          <cell r="B419">
            <v>2371.7199999999998</v>
          </cell>
        </row>
        <row r="420">
          <cell r="A420">
            <v>42890</v>
          </cell>
          <cell r="B420">
            <v>2381.69</v>
          </cell>
        </row>
        <row r="421">
          <cell r="A421">
            <v>42897</v>
          </cell>
          <cell r="B421">
            <v>2361.83</v>
          </cell>
        </row>
        <row r="422">
          <cell r="A422">
            <v>42904</v>
          </cell>
          <cell r="B422">
            <v>2378.6</v>
          </cell>
        </row>
        <row r="423">
          <cell r="A423">
            <v>42911</v>
          </cell>
          <cell r="B423">
            <v>2391.79</v>
          </cell>
        </row>
        <row r="424">
          <cell r="A424">
            <v>42918</v>
          </cell>
          <cell r="B424">
            <v>2379.87</v>
          </cell>
        </row>
        <row r="425">
          <cell r="A425">
            <v>42925</v>
          </cell>
          <cell r="B425">
            <v>2414.63</v>
          </cell>
        </row>
        <row r="426">
          <cell r="A426">
            <v>42932</v>
          </cell>
          <cell r="B426">
            <v>2450.06</v>
          </cell>
        </row>
        <row r="427">
          <cell r="A427">
            <v>42939</v>
          </cell>
          <cell r="B427">
            <v>2400.9899999999998</v>
          </cell>
        </row>
        <row r="428">
          <cell r="A428">
            <v>42946</v>
          </cell>
          <cell r="B428">
            <v>2395.4499999999998</v>
          </cell>
        </row>
        <row r="429">
          <cell r="A429">
            <v>42953</v>
          </cell>
          <cell r="B429">
            <v>2319.71</v>
          </cell>
        </row>
        <row r="430">
          <cell r="A430">
            <v>42960</v>
          </cell>
          <cell r="B430">
            <v>2358.37</v>
          </cell>
        </row>
        <row r="431">
          <cell r="A431">
            <v>42967</v>
          </cell>
          <cell r="B431">
            <v>2378.5100000000002</v>
          </cell>
        </row>
        <row r="432">
          <cell r="A432">
            <v>42974</v>
          </cell>
          <cell r="B432">
            <v>2357.69</v>
          </cell>
        </row>
        <row r="433">
          <cell r="A433">
            <v>42981</v>
          </cell>
          <cell r="B433">
            <v>2343.7199999999998</v>
          </cell>
        </row>
        <row r="434">
          <cell r="A434">
            <v>42988</v>
          </cell>
          <cell r="B434">
            <v>2386.0700000000002</v>
          </cell>
        </row>
        <row r="435">
          <cell r="A435">
            <v>42995</v>
          </cell>
          <cell r="B435">
            <v>2388.71</v>
          </cell>
        </row>
        <row r="436">
          <cell r="A436">
            <v>43002</v>
          </cell>
          <cell r="B436">
            <v>2394.4699999999998</v>
          </cell>
        </row>
        <row r="437">
          <cell r="A437">
            <v>43016</v>
          </cell>
          <cell r="B437">
            <v>2473.62</v>
          </cell>
        </row>
        <row r="438">
          <cell r="A438">
            <v>43023</v>
          </cell>
          <cell r="B438">
            <v>2489.54</v>
          </cell>
        </row>
        <row r="439">
          <cell r="A439">
            <v>43030</v>
          </cell>
          <cell r="B439">
            <v>2496.63</v>
          </cell>
        </row>
        <row r="440">
          <cell r="A440">
            <v>43037</v>
          </cell>
          <cell r="B440">
            <v>2557.9699999999998</v>
          </cell>
        </row>
        <row r="441">
          <cell r="A441">
            <v>43044</v>
          </cell>
          <cell r="B441">
            <v>2542.9499999999998</v>
          </cell>
        </row>
        <row r="442">
          <cell r="A442">
            <v>43051</v>
          </cell>
          <cell r="B442">
            <v>2533.9899999999998</v>
          </cell>
        </row>
        <row r="443">
          <cell r="A443">
            <v>43058</v>
          </cell>
          <cell r="B443">
            <v>2544.33</v>
          </cell>
        </row>
        <row r="444">
          <cell r="A444">
            <v>43065</v>
          </cell>
          <cell r="B444">
            <v>2475.41</v>
          </cell>
        </row>
        <row r="445">
          <cell r="A445">
            <v>43072</v>
          </cell>
          <cell r="B445">
            <v>2464</v>
          </cell>
        </row>
        <row r="446">
          <cell r="A446">
            <v>43079</v>
          </cell>
          <cell r="B446">
            <v>2482.0700000000002</v>
          </cell>
        </row>
        <row r="447">
          <cell r="A447">
            <v>43086</v>
          </cell>
          <cell r="B447">
            <v>2440.54</v>
          </cell>
        </row>
        <row r="448">
          <cell r="A448">
            <v>43093</v>
          </cell>
          <cell r="B448">
            <v>2467.4899999999998</v>
          </cell>
        </row>
        <row r="449">
          <cell r="A449">
            <v>43100</v>
          </cell>
          <cell r="B449">
            <v>2497.52</v>
          </cell>
        </row>
        <row r="450">
          <cell r="A450">
            <v>43107</v>
          </cell>
          <cell r="B450">
            <v>2496.42</v>
          </cell>
        </row>
        <row r="451">
          <cell r="A451">
            <v>43114</v>
          </cell>
          <cell r="B451">
            <v>2520.2600000000002</v>
          </cell>
        </row>
        <row r="452">
          <cell r="A452">
            <v>43121</v>
          </cell>
          <cell r="B452">
            <v>2574.7600000000002</v>
          </cell>
        </row>
        <row r="453">
          <cell r="A453">
            <v>43128</v>
          </cell>
          <cell r="B453">
            <v>2525.39</v>
          </cell>
        </row>
        <row r="454">
          <cell r="A454">
            <v>43135</v>
          </cell>
          <cell r="B454">
            <v>2363.77</v>
          </cell>
        </row>
        <row r="455">
          <cell r="A455">
            <v>43142</v>
          </cell>
          <cell r="B455">
            <v>2421.83</v>
          </cell>
        </row>
        <row r="456">
          <cell r="A456">
            <v>43149</v>
          </cell>
          <cell r="B456">
            <v>2451.52</v>
          </cell>
        </row>
        <row r="457">
          <cell r="A457">
            <v>43156</v>
          </cell>
          <cell r="B457">
            <v>2402.16</v>
          </cell>
        </row>
        <row r="458">
          <cell r="A458">
            <v>43163</v>
          </cell>
          <cell r="B458">
            <v>2459.4499999999998</v>
          </cell>
        </row>
        <row r="459">
          <cell r="A459">
            <v>43170</v>
          </cell>
          <cell r="B459">
            <v>2493.9699999999998</v>
          </cell>
        </row>
        <row r="460">
          <cell r="A460">
            <v>43177</v>
          </cell>
          <cell r="B460">
            <v>2416.7600000000002</v>
          </cell>
        </row>
        <row r="461">
          <cell r="A461">
            <v>43184</v>
          </cell>
          <cell r="B461">
            <v>2445.85</v>
          </cell>
        </row>
        <row r="462">
          <cell r="A462">
            <v>43191</v>
          </cell>
          <cell r="B462">
            <v>2429.58</v>
          </cell>
        </row>
        <row r="463">
          <cell r="A463">
            <v>43198</v>
          </cell>
          <cell r="B463">
            <v>2455.0700000000002</v>
          </cell>
        </row>
        <row r="464">
          <cell r="A464">
            <v>43205</v>
          </cell>
          <cell r="B464">
            <v>2476.33</v>
          </cell>
        </row>
        <row r="465">
          <cell r="A465">
            <v>43212</v>
          </cell>
          <cell r="B465">
            <v>2492.4</v>
          </cell>
        </row>
        <row r="466">
          <cell r="A466">
            <v>43219</v>
          </cell>
          <cell r="B466">
            <v>2461.38</v>
          </cell>
        </row>
        <row r="467">
          <cell r="A467">
            <v>43226</v>
          </cell>
          <cell r="B467">
            <v>2477.71</v>
          </cell>
        </row>
        <row r="468">
          <cell r="A468">
            <v>43233</v>
          </cell>
          <cell r="B468">
            <v>2460.65</v>
          </cell>
        </row>
        <row r="469">
          <cell r="A469">
            <v>43240</v>
          </cell>
          <cell r="B469">
            <v>2460.8000000000002</v>
          </cell>
        </row>
        <row r="470">
          <cell r="A470">
            <v>43247</v>
          </cell>
          <cell r="B470">
            <v>2438.96</v>
          </cell>
        </row>
        <row r="471">
          <cell r="A471">
            <v>43254</v>
          </cell>
          <cell r="B471">
            <v>2451.58</v>
          </cell>
        </row>
        <row r="472">
          <cell r="A472">
            <v>43261</v>
          </cell>
          <cell r="B472">
            <v>2404.04</v>
          </cell>
        </row>
        <row r="473">
          <cell r="A473">
            <v>43268</v>
          </cell>
          <cell r="B473">
            <v>2357.2199999999998</v>
          </cell>
        </row>
        <row r="474">
          <cell r="A474">
            <v>43275</v>
          </cell>
          <cell r="B474">
            <v>2326.13</v>
          </cell>
        </row>
        <row r="475">
          <cell r="A475">
            <v>43282</v>
          </cell>
          <cell r="B475">
            <v>2272.87</v>
          </cell>
        </row>
        <row r="476">
          <cell r="A476">
            <v>43289</v>
          </cell>
          <cell r="B476">
            <v>2310.9</v>
          </cell>
        </row>
        <row r="477">
          <cell r="A477">
            <v>43296</v>
          </cell>
          <cell r="B477">
            <v>2289.19</v>
          </cell>
        </row>
        <row r="478">
          <cell r="A478">
            <v>43303</v>
          </cell>
          <cell r="B478">
            <v>2294.9899999999998</v>
          </cell>
        </row>
        <row r="479">
          <cell r="A479">
            <v>43310</v>
          </cell>
          <cell r="B479">
            <v>2287.6799999999998</v>
          </cell>
        </row>
        <row r="480">
          <cell r="A480">
            <v>43317</v>
          </cell>
          <cell r="B480">
            <v>2282.79</v>
          </cell>
        </row>
        <row r="481">
          <cell r="A481">
            <v>43324</v>
          </cell>
          <cell r="B481">
            <v>2247.0500000000002</v>
          </cell>
        </row>
        <row r="482">
          <cell r="A482">
            <v>43331</v>
          </cell>
          <cell r="B482">
            <v>2293.21</v>
          </cell>
        </row>
        <row r="483">
          <cell r="A483">
            <v>43338</v>
          </cell>
          <cell r="B483">
            <v>2322.88</v>
          </cell>
        </row>
        <row r="484">
          <cell r="A484">
            <v>43345</v>
          </cell>
          <cell r="B484">
            <v>2281.58</v>
          </cell>
        </row>
        <row r="485">
          <cell r="A485">
            <v>43352</v>
          </cell>
          <cell r="B485">
            <v>2318.25</v>
          </cell>
        </row>
        <row r="486">
          <cell r="A486">
            <v>43359</v>
          </cell>
          <cell r="B486">
            <v>2339.17</v>
          </cell>
        </row>
        <row r="487">
          <cell r="A487">
            <v>43366</v>
          </cell>
          <cell r="B487">
            <v>2343.0700000000002</v>
          </cell>
        </row>
        <row r="488">
          <cell r="A488">
            <v>43373</v>
          </cell>
          <cell r="B488">
            <v>2267.52</v>
          </cell>
        </row>
        <row r="489">
          <cell r="A489">
            <v>43380</v>
          </cell>
          <cell r="B489">
            <v>2161.85</v>
          </cell>
        </row>
        <row r="490">
          <cell r="A490">
            <v>43387</v>
          </cell>
          <cell r="B490">
            <v>2156.2600000000002</v>
          </cell>
        </row>
        <row r="491">
          <cell r="A491">
            <v>43394</v>
          </cell>
          <cell r="B491">
            <v>2027.15</v>
          </cell>
        </row>
        <row r="492">
          <cell r="A492">
            <v>43401</v>
          </cell>
          <cell r="B492">
            <v>2096</v>
          </cell>
        </row>
        <row r="493">
          <cell r="A493">
            <v>43408</v>
          </cell>
          <cell r="B493">
            <v>2086.09</v>
          </cell>
        </row>
        <row r="494">
          <cell r="A494">
            <v>43415</v>
          </cell>
          <cell r="B494">
            <v>2092.4</v>
          </cell>
        </row>
        <row r="495">
          <cell r="A495">
            <v>43422</v>
          </cell>
          <cell r="B495">
            <v>2057.48</v>
          </cell>
        </row>
        <row r="496">
          <cell r="A496">
            <v>43429</v>
          </cell>
          <cell r="B496">
            <v>2096.86</v>
          </cell>
        </row>
        <row r="497">
          <cell r="A497">
            <v>43436</v>
          </cell>
          <cell r="B497">
            <v>2075.7600000000002</v>
          </cell>
        </row>
        <row r="498">
          <cell r="A498">
            <v>43443</v>
          </cell>
          <cell r="B498">
            <v>2069.38</v>
          </cell>
        </row>
        <row r="499">
          <cell r="A499">
            <v>43450</v>
          </cell>
          <cell r="B499">
            <v>2061.4899999999998</v>
          </cell>
        </row>
        <row r="500">
          <cell r="A500">
            <v>43457</v>
          </cell>
          <cell r="B500">
            <v>2041.04</v>
          </cell>
        </row>
        <row r="501">
          <cell r="A501">
            <v>43464</v>
          </cell>
          <cell r="B501">
            <v>2010.25</v>
          </cell>
        </row>
        <row r="502">
          <cell r="A502">
            <v>43471</v>
          </cell>
          <cell r="B502">
            <v>2075.5700000000002</v>
          </cell>
        </row>
        <row r="503">
          <cell r="A503">
            <v>43478</v>
          </cell>
          <cell r="B503">
            <v>2124.2800000000002</v>
          </cell>
        </row>
        <row r="504">
          <cell r="A504">
            <v>43485</v>
          </cell>
          <cell r="B504">
            <v>2177.73</v>
          </cell>
        </row>
        <row r="505">
          <cell r="A505">
            <v>43492</v>
          </cell>
          <cell r="B505">
            <v>2203.46</v>
          </cell>
        </row>
        <row r="506">
          <cell r="A506">
            <v>43499</v>
          </cell>
          <cell r="B506">
            <v>2177.0500000000002</v>
          </cell>
        </row>
        <row r="507">
          <cell r="A507">
            <v>43506</v>
          </cell>
          <cell r="B507">
            <v>2196.09</v>
          </cell>
        </row>
        <row r="508">
          <cell r="A508">
            <v>43513</v>
          </cell>
          <cell r="B508">
            <v>2230.5</v>
          </cell>
        </row>
        <row r="509">
          <cell r="A509">
            <v>43520</v>
          </cell>
          <cell r="B509">
            <v>2195.44</v>
          </cell>
        </row>
        <row r="510">
          <cell r="A510">
            <v>43527</v>
          </cell>
          <cell r="B510">
            <v>2137.44</v>
          </cell>
        </row>
        <row r="511">
          <cell r="A511">
            <v>43534</v>
          </cell>
          <cell r="B511">
            <v>2176.11</v>
          </cell>
        </row>
        <row r="512">
          <cell r="A512">
            <v>43541</v>
          </cell>
          <cell r="B512">
            <v>2186.9499999999998</v>
          </cell>
        </row>
        <row r="513">
          <cell r="A513">
            <v>43548</v>
          </cell>
          <cell r="B513">
            <v>2140.67</v>
          </cell>
        </row>
        <row r="514">
          <cell r="A514">
            <v>43555</v>
          </cell>
          <cell r="B514">
            <v>2209.61</v>
          </cell>
        </row>
        <row r="515">
          <cell r="A515">
            <v>43562</v>
          </cell>
          <cell r="B515">
            <v>2233.4499999999998</v>
          </cell>
        </row>
        <row r="516">
          <cell r="A516">
            <v>43569</v>
          </cell>
          <cell r="B516">
            <v>2216.15</v>
          </cell>
        </row>
        <row r="517">
          <cell r="A517">
            <v>43576</v>
          </cell>
          <cell r="B517">
            <v>2179.31</v>
          </cell>
        </row>
        <row r="518">
          <cell r="A518">
            <v>43583</v>
          </cell>
          <cell r="B518">
            <v>2196.3200000000002</v>
          </cell>
        </row>
        <row r="519">
          <cell r="A519">
            <v>43590</v>
          </cell>
          <cell r="B519">
            <v>2108.04</v>
          </cell>
        </row>
        <row r="520">
          <cell r="A520">
            <v>43597</v>
          </cell>
          <cell r="B520">
            <v>2055.8000000000002</v>
          </cell>
        </row>
        <row r="521">
          <cell r="A521">
            <v>43604</v>
          </cell>
          <cell r="B521">
            <v>2045.31</v>
          </cell>
        </row>
        <row r="522">
          <cell r="A522">
            <v>43611</v>
          </cell>
          <cell r="B522">
            <v>2041.74</v>
          </cell>
        </row>
        <row r="523">
          <cell r="A523">
            <v>43618</v>
          </cell>
          <cell r="B523">
            <v>2072.33</v>
          </cell>
        </row>
        <row r="524">
          <cell r="A524">
            <v>43625</v>
          </cell>
          <cell r="B524">
            <v>2095.41</v>
          </cell>
        </row>
        <row r="525">
          <cell r="A525">
            <v>43632</v>
          </cell>
          <cell r="B525">
            <v>2125.62</v>
          </cell>
        </row>
        <row r="526">
          <cell r="A526">
            <v>43639</v>
          </cell>
          <cell r="B526">
            <v>2130.62</v>
          </cell>
        </row>
        <row r="527">
          <cell r="A527">
            <v>43646</v>
          </cell>
          <cell r="B527">
            <v>2110.59</v>
          </cell>
        </row>
        <row r="528">
          <cell r="A528">
            <v>43653</v>
          </cell>
          <cell r="B528">
            <v>2086.66</v>
          </cell>
        </row>
        <row r="529">
          <cell r="A529">
            <v>43660</v>
          </cell>
          <cell r="B529">
            <v>2094.36</v>
          </cell>
        </row>
        <row r="530">
          <cell r="A530">
            <v>43667</v>
          </cell>
          <cell r="B530">
            <v>2066.2600000000002</v>
          </cell>
        </row>
        <row r="531">
          <cell r="A531">
            <v>43674</v>
          </cell>
          <cell r="B531">
            <v>1998.13</v>
          </cell>
        </row>
        <row r="532">
          <cell r="A532">
            <v>43681</v>
          </cell>
          <cell r="B532">
            <v>1937.75</v>
          </cell>
        </row>
        <row r="533">
          <cell r="A533">
            <v>43688</v>
          </cell>
          <cell r="B533">
            <v>1927.17</v>
          </cell>
        </row>
        <row r="534">
          <cell r="A534">
            <v>43695</v>
          </cell>
          <cell r="B534">
            <v>1948.3</v>
          </cell>
        </row>
        <row r="535">
          <cell r="A535">
            <v>43702</v>
          </cell>
          <cell r="B535">
            <v>1967.79</v>
          </cell>
        </row>
        <row r="536">
          <cell r="A536">
            <v>43709</v>
          </cell>
          <cell r="B536">
            <v>2009.13</v>
          </cell>
        </row>
        <row r="537">
          <cell r="A537">
            <v>43716</v>
          </cell>
          <cell r="B537">
            <v>2049.1999999999998</v>
          </cell>
        </row>
        <row r="538">
          <cell r="A538">
            <v>43723</v>
          </cell>
          <cell r="B538">
            <v>2091.52</v>
          </cell>
        </row>
        <row r="539">
          <cell r="A539">
            <v>43730</v>
          </cell>
          <cell r="B539">
            <v>2049.9299999999998</v>
          </cell>
        </row>
        <row r="540">
          <cell r="A540">
            <v>43737</v>
          </cell>
          <cell r="B540">
            <v>2020.69</v>
          </cell>
        </row>
        <row r="541">
          <cell r="A541">
            <v>43744</v>
          </cell>
          <cell r="B541">
            <v>2044.61</v>
          </cell>
        </row>
        <row r="542">
          <cell r="A542">
            <v>43751</v>
          </cell>
          <cell r="B542">
            <v>2060.69</v>
          </cell>
        </row>
        <row r="543">
          <cell r="A543">
            <v>43758</v>
          </cell>
          <cell r="B543">
            <v>2087.89</v>
          </cell>
        </row>
        <row r="544">
          <cell r="A544">
            <v>43765</v>
          </cell>
          <cell r="B544">
            <v>2100.1999999999998</v>
          </cell>
        </row>
        <row r="545">
          <cell r="A545">
            <v>43772</v>
          </cell>
          <cell r="B545">
            <v>2137.23</v>
          </cell>
        </row>
        <row r="546">
          <cell r="A546">
            <v>43779</v>
          </cell>
          <cell r="B546">
            <v>2162.1799999999998</v>
          </cell>
        </row>
        <row r="547">
          <cell r="A547">
            <v>43786</v>
          </cell>
          <cell r="B547">
            <v>2101.96</v>
          </cell>
        </row>
        <row r="548">
          <cell r="A548">
            <v>43793</v>
          </cell>
          <cell r="B548">
            <v>2087.96</v>
          </cell>
        </row>
        <row r="549">
          <cell r="A549">
            <v>43800</v>
          </cell>
          <cell r="B549">
            <v>2081.85</v>
          </cell>
        </row>
        <row r="550">
          <cell r="A550">
            <v>43807</v>
          </cell>
          <cell r="B550">
            <v>2170.25</v>
          </cell>
        </row>
        <row r="551">
          <cell r="A551">
            <v>43814</v>
          </cell>
          <cell r="B551">
            <v>2204.1799999999998</v>
          </cell>
        </row>
        <row r="552">
          <cell r="A552">
            <v>43821</v>
          </cell>
          <cell r="B552">
            <v>2204.21</v>
          </cell>
        </row>
        <row r="553">
          <cell r="A553">
            <v>43828</v>
          </cell>
          <cell r="B553">
            <v>2176.46</v>
          </cell>
        </row>
        <row r="554">
          <cell r="A554">
            <v>43835</v>
          </cell>
          <cell r="B554">
            <v>2206.39</v>
          </cell>
        </row>
        <row r="555">
          <cell r="A555">
            <v>43842</v>
          </cell>
          <cell r="B555">
            <v>2250.5700000000002</v>
          </cell>
        </row>
        <row r="556">
          <cell r="A556">
            <v>43849</v>
          </cell>
          <cell r="B556">
            <v>2246.13</v>
          </cell>
        </row>
        <row r="557">
          <cell r="A557">
            <v>43856</v>
          </cell>
          <cell r="B557">
            <v>2119.0100000000002</v>
          </cell>
        </row>
        <row r="558">
          <cell r="A558">
            <v>43863</v>
          </cell>
          <cell r="B558">
            <v>2211.9499999999998</v>
          </cell>
        </row>
        <row r="559">
          <cell r="A559">
            <v>43870</v>
          </cell>
          <cell r="B559">
            <v>2243.59</v>
          </cell>
        </row>
        <row r="560">
          <cell r="A560">
            <v>43877</v>
          </cell>
          <cell r="B560">
            <v>2162.84</v>
          </cell>
        </row>
        <row r="561">
          <cell r="A561">
            <v>43884</v>
          </cell>
          <cell r="B561">
            <v>1987.01</v>
          </cell>
        </row>
        <row r="562">
          <cell r="A562">
            <v>43891</v>
          </cell>
          <cell r="B562">
            <v>2040.22</v>
          </cell>
        </row>
        <row r="563">
          <cell r="A563">
            <v>43898</v>
          </cell>
          <cell r="B563">
            <v>1771.44</v>
          </cell>
        </row>
        <row r="564">
          <cell r="A564">
            <v>43905</v>
          </cell>
          <cell r="B564">
            <v>1566.15</v>
          </cell>
        </row>
        <row r="565">
          <cell r="A565">
            <v>43912</v>
          </cell>
          <cell r="B565">
            <v>1717.73</v>
          </cell>
        </row>
        <row r="566">
          <cell r="A566">
            <v>43919</v>
          </cell>
          <cell r="B566">
            <v>1725.44</v>
          </cell>
        </row>
        <row r="567">
          <cell r="A567">
            <v>43926</v>
          </cell>
          <cell r="B567">
            <v>1860.7</v>
          </cell>
        </row>
        <row r="568">
          <cell r="A568">
            <v>43933</v>
          </cell>
          <cell r="B568">
            <v>1914.53</v>
          </cell>
        </row>
        <row r="569">
          <cell r="A569">
            <v>43940</v>
          </cell>
          <cell r="B569">
            <v>1889.01</v>
          </cell>
        </row>
        <row r="570">
          <cell r="A570">
            <v>43947</v>
          </cell>
          <cell r="B570">
            <v>1947.56</v>
          </cell>
        </row>
        <row r="571">
          <cell r="A571">
            <v>43954</v>
          </cell>
          <cell r="B571">
            <v>1945.82</v>
          </cell>
        </row>
        <row r="572">
          <cell r="A572">
            <v>43961</v>
          </cell>
          <cell r="B572">
            <v>1927.28</v>
          </cell>
        </row>
        <row r="573">
          <cell r="A573">
            <v>43968</v>
          </cell>
          <cell r="B573">
            <v>1970.13</v>
          </cell>
        </row>
        <row r="574">
          <cell r="A574">
            <v>43975</v>
          </cell>
          <cell r="B574">
            <v>2029.6</v>
          </cell>
        </row>
        <row r="575">
          <cell r="A575">
            <v>43982</v>
          </cell>
          <cell r="B575">
            <v>2181.87</v>
          </cell>
        </row>
        <row r="576">
          <cell r="A576">
            <v>43989</v>
          </cell>
          <cell r="B576">
            <v>2132.3000000000002</v>
          </cell>
        </row>
        <row r="577">
          <cell r="A577">
            <v>43996</v>
          </cell>
          <cell r="B577">
            <v>2141.3200000000002</v>
          </cell>
        </row>
        <row r="578">
          <cell r="A578">
            <v>44003</v>
          </cell>
          <cell r="B578">
            <v>2134.65</v>
          </cell>
        </row>
        <row r="579">
          <cell r="A579">
            <v>44010</v>
          </cell>
          <cell r="B579">
            <v>2152.41</v>
          </cell>
        </row>
        <row r="580">
          <cell r="A580">
            <v>44017</v>
          </cell>
          <cell r="B580">
            <v>2150.25</v>
          </cell>
        </row>
        <row r="581">
          <cell r="A581">
            <v>44024</v>
          </cell>
          <cell r="B581">
            <v>2201.19</v>
          </cell>
        </row>
        <row r="582">
          <cell r="A582">
            <v>44031</v>
          </cell>
          <cell r="B582">
            <v>2200.44</v>
          </cell>
        </row>
        <row r="583">
          <cell r="A583">
            <v>44038</v>
          </cell>
          <cell r="B583">
            <v>2249.37</v>
          </cell>
        </row>
        <row r="584">
          <cell r="A584">
            <v>44045</v>
          </cell>
          <cell r="B584">
            <v>2351.67</v>
          </cell>
        </row>
        <row r="585">
          <cell r="A585">
            <v>44052</v>
          </cell>
          <cell r="B585">
            <v>2407.4899999999998</v>
          </cell>
        </row>
        <row r="586">
          <cell r="A586">
            <v>44059</v>
          </cell>
          <cell r="B586">
            <v>2304.59</v>
          </cell>
        </row>
        <row r="587">
          <cell r="A587">
            <v>44066</v>
          </cell>
          <cell r="B587">
            <v>2353.8000000000002</v>
          </cell>
        </row>
        <row r="588">
          <cell r="A588">
            <v>44073</v>
          </cell>
          <cell r="B588">
            <v>2368.25</v>
          </cell>
        </row>
        <row r="589">
          <cell r="A589">
            <v>44080</v>
          </cell>
          <cell r="B589">
            <v>2396.69</v>
          </cell>
        </row>
        <row r="590">
          <cell r="A590">
            <v>44087</v>
          </cell>
          <cell r="B590">
            <v>2412.4</v>
          </cell>
        </row>
        <row r="591">
          <cell r="A591">
            <v>44094</v>
          </cell>
          <cell r="B591">
            <v>2278.79</v>
          </cell>
        </row>
        <row r="592">
          <cell r="A592">
            <v>44101</v>
          </cell>
          <cell r="B592">
            <v>2327.89</v>
          </cell>
        </row>
        <row r="593">
          <cell r="A593">
            <v>44108</v>
          </cell>
          <cell r="B593">
            <v>2391.96</v>
          </cell>
        </row>
        <row r="594">
          <cell r="A594">
            <v>44115</v>
          </cell>
          <cell r="B594">
            <v>2341.5300000000002</v>
          </cell>
        </row>
        <row r="595">
          <cell r="A595">
            <v>44122</v>
          </cell>
          <cell r="B595">
            <v>2360.81</v>
          </cell>
        </row>
        <row r="596">
          <cell r="A596">
            <v>44129</v>
          </cell>
          <cell r="B596">
            <v>2267.15</v>
          </cell>
        </row>
        <row r="597">
          <cell r="A597">
            <v>44136</v>
          </cell>
          <cell r="B597">
            <v>2416.5</v>
          </cell>
        </row>
        <row r="598">
          <cell r="A598">
            <v>44143</v>
          </cell>
          <cell r="B598">
            <v>2493.87</v>
          </cell>
        </row>
        <row r="599">
          <cell r="A599">
            <v>44150</v>
          </cell>
          <cell r="B599">
            <v>2553.5</v>
          </cell>
        </row>
        <row r="600">
          <cell r="A600">
            <v>44157</v>
          </cell>
          <cell r="B600">
            <v>2633.45</v>
          </cell>
        </row>
        <row r="601">
          <cell r="A601">
            <v>44164</v>
          </cell>
          <cell r="B601">
            <v>2731.45</v>
          </cell>
        </row>
        <row r="602">
          <cell r="A602">
            <v>44171</v>
          </cell>
          <cell r="B602">
            <v>2770.06</v>
          </cell>
        </row>
        <row r="603">
          <cell r="A603">
            <v>44178</v>
          </cell>
          <cell r="B603">
            <v>2772.18</v>
          </cell>
        </row>
        <row r="604">
          <cell r="A604">
            <v>44185</v>
          </cell>
          <cell r="B604">
            <v>2806.86</v>
          </cell>
        </row>
        <row r="605">
          <cell r="A605">
            <v>44192</v>
          </cell>
          <cell r="B605">
            <v>2873.47</v>
          </cell>
        </row>
        <row r="606">
          <cell r="A606">
            <v>44199</v>
          </cell>
          <cell r="B606">
            <v>3152.18</v>
          </cell>
        </row>
        <row r="607">
          <cell r="A607">
            <v>44206</v>
          </cell>
          <cell r="B607">
            <v>3085.9</v>
          </cell>
        </row>
        <row r="608">
          <cell r="A608">
            <v>44213</v>
          </cell>
          <cell r="B608">
            <v>3140.63</v>
          </cell>
        </row>
        <row r="609">
          <cell r="A609">
            <v>44220</v>
          </cell>
          <cell r="B609">
            <v>2976.21</v>
          </cell>
        </row>
        <row r="610">
          <cell r="A610">
            <v>44227</v>
          </cell>
          <cell r="B610">
            <v>3120.63</v>
          </cell>
        </row>
        <row r="611">
          <cell r="A611">
            <v>44234</v>
          </cell>
          <cell r="B611">
            <v>3100.58</v>
          </cell>
        </row>
        <row r="612">
          <cell r="A612">
            <v>44241</v>
          </cell>
          <cell r="B612">
            <v>3107.62</v>
          </cell>
        </row>
        <row r="613">
          <cell r="A613">
            <v>44248</v>
          </cell>
          <cell r="B613">
            <v>3012.95</v>
          </cell>
        </row>
        <row r="614">
          <cell r="A614">
            <v>44255</v>
          </cell>
          <cell r="B614">
            <v>3026.26</v>
          </cell>
        </row>
        <row r="615">
          <cell r="A615">
            <v>44262</v>
          </cell>
          <cell r="B615">
            <v>3054.39</v>
          </cell>
        </row>
        <row r="616">
          <cell r="A616">
            <v>44269</v>
          </cell>
          <cell r="B616">
            <v>3039.53</v>
          </cell>
        </row>
        <row r="617">
          <cell r="A617">
            <v>44276</v>
          </cell>
          <cell r="B617">
            <v>3041.01</v>
          </cell>
        </row>
        <row r="618">
          <cell r="A618">
            <v>44283</v>
          </cell>
          <cell r="B618">
            <v>3112.8</v>
          </cell>
        </row>
        <row r="619">
          <cell r="A619">
            <v>44290</v>
          </cell>
          <cell r="B619">
            <v>3131.88</v>
          </cell>
        </row>
        <row r="620">
          <cell r="A620">
            <v>44297</v>
          </cell>
          <cell r="B620">
            <v>3198.62</v>
          </cell>
        </row>
        <row r="621">
          <cell r="A621">
            <v>44304</v>
          </cell>
          <cell r="B621">
            <v>3186.1</v>
          </cell>
        </row>
        <row r="622">
          <cell r="A622">
            <v>44311</v>
          </cell>
          <cell r="B622">
            <v>3147.86</v>
          </cell>
        </row>
        <row r="623">
          <cell r="A623">
            <v>44318</v>
          </cell>
          <cell r="B623">
            <v>3197.2</v>
          </cell>
        </row>
        <row r="624">
          <cell r="A624">
            <v>44325</v>
          </cell>
          <cell r="B624">
            <v>3153.32</v>
          </cell>
        </row>
        <row r="625">
          <cell r="A625">
            <v>44332</v>
          </cell>
          <cell r="B625">
            <v>3156.42</v>
          </cell>
        </row>
        <row r="626">
          <cell r="A626">
            <v>44339</v>
          </cell>
          <cell r="B626">
            <v>3188.73</v>
          </cell>
        </row>
        <row r="627">
          <cell r="A627">
            <v>44346</v>
          </cell>
          <cell r="B627">
            <v>3240.08</v>
          </cell>
        </row>
        <row r="628">
          <cell r="A628">
            <v>44353</v>
          </cell>
          <cell r="B628">
            <v>3249.32</v>
          </cell>
        </row>
        <row r="629">
          <cell r="A629">
            <v>44360</v>
          </cell>
          <cell r="B629">
            <v>3267.93</v>
          </cell>
        </row>
        <row r="630">
          <cell r="A630">
            <v>44367</v>
          </cell>
          <cell r="B630">
            <v>3302.84</v>
          </cell>
        </row>
        <row r="631">
          <cell r="A631">
            <v>44374</v>
          </cell>
          <cell r="B631">
            <v>3281.78</v>
          </cell>
        </row>
        <row r="632">
          <cell r="A632">
            <v>44381</v>
          </cell>
          <cell r="B632">
            <v>3217.95</v>
          </cell>
        </row>
        <row r="633">
          <cell r="A633">
            <v>44388</v>
          </cell>
          <cell r="B633">
            <v>3276.91</v>
          </cell>
        </row>
        <row r="634">
          <cell r="A634">
            <v>44395</v>
          </cell>
          <cell r="B634">
            <v>3254.42</v>
          </cell>
        </row>
        <row r="635">
          <cell r="A635">
            <v>44402</v>
          </cell>
          <cell r="B635">
            <v>3202.32</v>
          </cell>
        </row>
        <row r="636">
          <cell r="A636">
            <v>44409</v>
          </cell>
          <cell r="B636">
            <v>3270.36</v>
          </cell>
        </row>
        <row r="637">
          <cell r="A637">
            <v>44416</v>
          </cell>
          <cell r="B637">
            <v>3171.29</v>
          </cell>
        </row>
        <row r="638">
          <cell r="A638">
            <v>44423</v>
          </cell>
          <cell r="B638">
            <v>3060.51</v>
          </cell>
        </row>
        <row r="639">
          <cell r="A639">
            <v>44430</v>
          </cell>
          <cell r="B639">
            <v>3133.9</v>
          </cell>
        </row>
        <row r="640">
          <cell r="A640">
            <v>44437</v>
          </cell>
          <cell r="B640">
            <v>3201.06</v>
          </cell>
        </row>
        <row r="641">
          <cell r="A641">
            <v>44444</v>
          </cell>
          <cell r="B641">
            <v>3125.76</v>
          </cell>
        </row>
        <row r="642">
          <cell r="A642">
            <v>44451</v>
          </cell>
          <cell r="B642">
            <v>3140.51</v>
          </cell>
        </row>
        <row r="643">
          <cell r="A643">
            <v>44458</v>
          </cell>
          <cell r="B643">
            <v>3125.24</v>
          </cell>
        </row>
        <row r="644">
          <cell r="A644">
            <v>44465</v>
          </cell>
          <cell r="B644">
            <v>3019.18</v>
          </cell>
        </row>
        <row r="645">
          <cell r="A645">
            <v>44472</v>
          </cell>
          <cell r="B645">
            <v>2956.3</v>
          </cell>
        </row>
        <row r="646">
          <cell r="A646">
            <v>44479</v>
          </cell>
          <cell r="B646">
            <v>3015.06</v>
          </cell>
        </row>
        <row r="647">
          <cell r="A647">
            <v>44486</v>
          </cell>
          <cell r="B647">
            <v>3006.16</v>
          </cell>
        </row>
        <row r="648">
          <cell r="A648">
            <v>44493</v>
          </cell>
          <cell r="B648">
            <v>2970.68</v>
          </cell>
        </row>
        <row r="649">
          <cell r="A649">
            <v>44500</v>
          </cell>
          <cell r="B649">
            <v>2969.27</v>
          </cell>
        </row>
        <row r="650">
          <cell r="A650">
            <v>44507</v>
          </cell>
          <cell r="B650">
            <v>2968.8</v>
          </cell>
        </row>
        <row r="651">
          <cell r="A651">
            <v>44514</v>
          </cell>
          <cell r="B651">
            <v>2971.02</v>
          </cell>
        </row>
        <row r="652">
          <cell r="A652">
            <v>44521</v>
          </cell>
          <cell r="B652">
            <v>2936.44</v>
          </cell>
        </row>
        <row r="653">
          <cell r="A653">
            <v>44528</v>
          </cell>
          <cell r="B653">
            <v>2968.33</v>
          </cell>
        </row>
        <row r="654">
          <cell r="A654">
            <v>44535</v>
          </cell>
          <cell r="B654">
            <v>3010.23</v>
          </cell>
        </row>
        <row r="655">
          <cell r="A655">
            <v>44542</v>
          </cell>
          <cell r="B655">
            <v>3017.73</v>
          </cell>
        </row>
        <row r="656">
          <cell r="A656">
            <v>44549</v>
          </cell>
          <cell r="B656">
            <v>3012.43</v>
          </cell>
        </row>
        <row r="657">
          <cell r="A657">
            <v>44556</v>
          </cell>
          <cell r="B657">
            <v>2977.65</v>
          </cell>
        </row>
        <row r="658">
          <cell r="A658">
            <v>44563</v>
          </cell>
          <cell r="B658">
            <v>2954.89</v>
          </cell>
        </row>
        <row r="659">
          <cell r="A659">
            <v>44570</v>
          </cell>
          <cell r="B659">
            <v>2921.92</v>
          </cell>
        </row>
        <row r="660">
          <cell r="A660">
            <v>44577</v>
          </cell>
          <cell r="B660">
            <v>2834.29</v>
          </cell>
        </row>
        <row r="661">
          <cell r="A661">
            <v>44584</v>
          </cell>
          <cell r="B661">
            <v>2663.34</v>
          </cell>
        </row>
        <row r="662">
          <cell r="A662">
            <v>44591</v>
          </cell>
          <cell r="B662">
            <v>2750.26</v>
          </cell>
        </row>
        <row r="663">
          <cell r="A663">
            <v>44598</v>
          </cell>
          <cell r="B663">
            <v>2747.71</v>
          </cell>
        </row>
        <row r="664">
          <cell r="A664">
            <v>44605</v>
          </cell>
          <cell r="B664">
            <v>2744.52</v>
          </cell>
        </row>
        <row r="665">
          <cell r="A665">
            <v>44612</v>
          </cell>
          <cell r="B665">
            <v>2676.76</v>
          </cell>
        </row>
        <row r="666">
          <cell r="A666">
            <v>44619</v>
          </cell>
          <cell r="B666">
            <v>2713.43</v>
          </cell>
        </row>
        <row r="667">
          <cell r="A667">
            <v>44626</v>
          </cell>
          <cell r="B667">
            <v>2661.28</v>
          </cell>
        </row>
        <row r="668">
          <cell r="A668">
            <v>44633</v>
          </cell>
          <cell r="B668">
            <v>2707.02</v>
          </cell>
        </row>
        <row r="669">
          <cell r="A669">
            <v>44640</v>
          </cell>
          <cell r="B669">
            <v>2729.98</v>
          </cell>
        </row>
        <row r="670">
          <cell r="A670">
            <v>44647</v>
          </cell>
          <cell r="B670">
            <v>2739.85</v>
          </cell>
        </row>
        <row r="671">
          <cell r="A671">
            <v>44654</v>
          </cell>
          <cell r="B671">
            <v>2700.39</v>
          </cell>
        </row>
        <row r="672">
          <cell r="A672">
            <v>44661</v>
          </cell>
          <cell r="B672">
            <v>2696.06</v>
          </cell>
        </row>
        <row r="673">
          <cell r="A673">
            <v>44668</v>
          </cell>
          <cell r="B673">
            <v>2704.71</v>
          </cell>
        </row>
        <row r="674">
          <cell r="A674">
            <v>44675</v>
          </cell>
          <cell r="B674">
            <v>2695.05</v>
          </cell>
        </row>
        <row r="675">
          <cell r="A675">
            <v>44682</v>
          </cell>
          <cell r="B675">
            <v>2644.51</v>
          </cell>
        </row>
        <row r="676">
          <cell r="A676">
            <v>44689</v>
          </cell>
          <cell r="B676">
            <v>2604.2399999999998</v>
          </cell>
        </row>
        <row r="677">
          <cell r="A677">
            <v>44696</v>
          </cell>
          <cell r="B677">
            <v>2639.29</v>
          </cell>
        </row>
        <row r="678">
          <cell r="A678">
            <v>44703</v>
          </cell>
          <cell r="B678">
            <v>2638.05</v>
          </cell>
        </row>
        <row r="679">
          <cell r="A679">
            <v>44710</v>
          </cell>
          <cell r="B679">
            <v>2670.65</v>
          </cell>
        </row>
        <row r="680">
          <cell r="A680">
            <v>44717</v>
          </cell>
          <cell r="B680">
            <v>2595.87</v>
          </cell>
        </row>
        <row r="681">
          <cell r="A681">
            <v>44724</v>
          </cell>
          <cell r="B681">
            <v>2440.9299999999998</v>
          </cell>
        </row>
        <row r="682">
          <cell r="A682">
            <v>44731</v>
          </cell>
          <cell r="B682">
            <v>2366.6</v>
          </cell>
        </row>
        <row r="683">
          <cell r="A683">
            <v>44738</v>
          </cell>
          <cell r="B683">
            <v>2305.42</v>
          </cell>
        </row>
        <row r="684">
          <cell r="A684">
            <v>44745</v>
          </cell>
          <cell r="B684">
            <v>2350.61</v>
          </cell>
        </row>
        <row r="685">
          <cell r="A685">
            <v>44752</v>
          </cell>
          <cell r="B685">
            <v>2330.98</v>
          </cell>
        </row>
        <row r="686">
          <cell r="A686">
            <v>44759</v>
          </cell>
          <cell r="B686">
            <v>2393.14</v>
          </cell>
        </row>
        <row r="687">
          <cell r="A687">
            <v>44766</v>
          </cell>
          <cell r="B687">
            <v>2451.5</v>
          </cell>
        </row>
        <row r="688">
          <cell r="A688">
            <v>44773</v>
          </cell>
          <cell r="B688">
            <v>2490.8000000000002</v>
          </cell>
        </row>
        <row r="689">
          <cell r="A689">
            <v>44780</v>
          </cell>
          <cell r="B689">
            <v>2527.94</v>
          </cell>
        </row>
        <row r="690">
          <cell r="A690">
            <v>44787</v>
          </cell>
          <cell r="B690">
            <v>2492.69</v>
          </cell>
        </row>
        <row r="691">
          <cell r="A691">
            <v>44794</v>
          </cell>
          <cell r="B691">
            <v>2481.0300000000002</v>
          </cell>
        </row>
        <row r="692">
          <cell r="A692">
            <v>44801</v>
          </cell>
          <cell r="B692">
            <v>2409.41</v>
          </cell>
        </row>
        <row r="693">
          <cell r="A693">
            <v>44808</v>
          </cell>
          <cell r="B693">
            <v>2384.2800000000002</v>
          </cell>
        </row>
        <row r="694">
          <cell r="A694">
            <v>44815</v>
          </cell>
          <cell r="B694">
            <v>2382.7800000000002</v>
          </cell>
        </row>
        <row r="695">
          <cell r="A695">
            <v>44822</v>
          </cell>
          <cell r="B695">
            <v>2290</v>
          </cell>
        </row>
        <row r="696">
          <cell r="A696">
            <v>44829</v>
          </cell>
          <cell r="B696">
            <v>2155.4899999999998</v>
          </cell>
        </row>
        <row r="697">
          <cell r="A697">
            <v>44836</v>
          </cell>
          <cell r="B697">
            <v>2232.84</v>
          </cell>
        </row>
        <row r="698">
          <cell r="A698">
            <v>44843</v>
          </cell>
          <cell r="B698">
            <v>2212.5500000000002</v>
          </cell>
        </row>
        <row r="699">
          <cell r="A699">
            <v>44850</v>
          </cell>
          <cell r="B699">
            <v>2213.12</v>
          </cell>
        </row>
        <row r="700">
          <cell r="A700">
            <v>44857</v>
          </cell>
          <cell r="B700">
            <v>2268.4</v>
          </cell>
        </row>
        <row r="701">
          <cell r="A701">
            <v>44864</v>
          </cell>
          <cell r="B701">
            <v>2348.4299999999998</v>
          </cell>
        </row>
        <row r="702">
          <cell r="A702">
            <v>44871</v>
          </cell>
          <cell r="B702">
            <v>2483.16</v>
          </cell>
        </row>
        <row r="703">
          <cell r="A703">
            <v>44878</v>
          </cell>
          <cell r="B703">
            <v>2444.48</v>
          </cell>
        </row>
        <row r="704">
          <cell r="A704">
            <v>44885</v>
          </cell>
          <cell r="B704">
            <v>2437.86</v>
          </cell>
        </row>
        <row r="705">
          <cell r="A705">
            <v>44892</v>
          </cell>
          <cell r="B705">
            <v>2434.33</v>
          </cell>
        </row>
        <row r="706">
          <cell r="A706">
            <v>44899</v>
          </cell>
          <cell r="B706">
            <v>2389.04</v>
          </cell>
        </row>
        <row r="707">
          <cell r="A707">
            <v>44906</v>
          </cell>
          <cell r="B707">
            <v>2360.02</v>
          </cell>
        </row>
        <row r="708">
          <cell r="A708">
            <v>44913</v>
          </cell>
          <cell r="B708">
            <v>2313.69</v>
          </cell>
        </row>
        <row r="709">
          <cell r="A709">
            <v>44920</v>
          </cell>
          <cell r="B709">
            <v>2236.4</v>
          </cell>
        </row>
        <row r="710">
          <cell r="A710">
            <v>44927</v>
          </cell>
          <cell r="B710">
            <v>2289.9699999999998</v>
          </cell>
        </row>
        <row r="711">
          <cell r="A711">
            <v>44934</v>
          </cell>
          <cell r="B711">
            <v>2386.09</v>
          </cell>
        </row>
        <row r="712">
          <cell r="A712">
            <v>44941</v>
          </cell>
          <cell r="B712">
            <v>2395.2600000000002</v>
          </cell>
        </row>
        <row r="713">
          <cell r="A713">
            <v>44948</v>
          </cell>
          <cell r="B713">
            <v>2484.02</v>
          </cell>
        </row>
        <row r="714">
          <cell r="A714">
            <v>44955</v>
          </cell>
          <cell r="B714">
            <v>2480.4</v>
          </cell>
        </row>
        <row r="715">
          <cell r="A715">
            <v>44962</v>
          </cell>
          <cell r="B715">
            <v>2469.73</v>
          </cell>
        </row>
        <row r="716">
          <cell r="A716">
            <v>44969</v>
          </cell>
          <cell r="B716">
            <v>2451.21</v>
          </cell>
        </row>
        <row r="717">
          <cell r="A717">
            <v>44976</v>
          </cell>
          <cell r="B717">
            <v>2423.61</v>
          </cell>
        </row>
        <row r="718">
          <cell r="A718">
            <v>44983</v>
          </cell>
          <cell r="B718">
            <v>2432.0700000000002</v>
          </cell>
        </row>
        <row r="719">
          <cell r="A719">
            <v>44990</v>
          </cell>
          <cell r="B719">
            <v>2394.59</v>
          </cell>
        </row>
        <row r="720">
          <cell r="A720">
            <v>44997</v>
          </cell>
          <cell r="B720">
            <v>2395.69</v>
          </cell>
        </row>
        <row r="721">
          <cell r="A721">
            <v>45004</v>
          </cell>
          <cell r="B721">
            <v>2414.96</v>
          </cell>
        </row>
        <row r="722">
          <cell r="A722">
            <v>45011</v>
          </cell>
          <cell r="B722">
            <v>2476.86</v>
          </cell>
        </row>
        <row r="723">
          <cell r="A723">
            <v>45018</v>
          </cell>
          <cell r="B723">
            <v>2490.41</v>
          </cell>
        </row>
        <row r="724">
          <cell r="A724">
            <v>45025</v>
          </cell>
          <cell r="B724">
            <v>2571.4899999999998</v>
          </cell>
        </row>
        <row r="725">
          <cell r="A725">
            <v>45032</v>
          </cell>
          <cell r="B725">
            <v>2544.4</v>
          </cell>
        </row>
        <row r="726">
          <cell r="A726">
            <v>45039</v>
          </cell>
          <cell r="B726">
            <v>2501.5300000000002</v>
          </cell>
        </row>
        <row r="727">
          <cell r="A727">
            <v>45046</v>
          </cell>
          <cell r="B727">
            <v>2500.94</v>
          </cell>
        </row>
        <row r="728">
          <cell r="A728">
            <v>45053</v>
          </cell>
          <cell r="B728">
            <v>2475.42</v>
          </cell>
        </row>
        <row r="729">
          <cell r="A729">
            <v>45060</v>
          </cell>
          <cell r="B729">
            <v>2537.79</v>
          </cell>
        </row>
        <row r="730">
          <cell r="A730">
            <v>45067</v>
          </cell>
          <cell r="B730">
            <v>2558.81</v>
          </cell>
        </row>
        <row r="731">
          <cell r="A731">
            <v>45074</v>
          </cell>
          <cell r="B731">
            <v>2601.36</v>
          </cell>
        </row>
        <row r="732">
          <cell r="A732">
            <v>45081</v>
          </cell>
          <cell r="B732">
            <v>2641.16</v>
          </cell>
        </row>
        <row r="733">
          <cell r="A733">
            <v>45088</v>
          </cell>
          <cell r="B733">
            <v>2625.79</v>
          </cell>
        </row>
        <row r="734">
          <cell r="A734">
            <v>45095</v>
          </cell>
          <cell r="B734">
            <v>2570.1</v>
          </cell>
        </row>
        <row r="735">
          <cell r="A735">
            <v>45102</v>
          </cell>
          <cell r="B735">
            <v>2564.2800000000002</v>
          </cell>
        </row>
        <row r="736">
          <cell r="A736">
            <v>45109</v>
          </cell>
          <cell r="B736">
            <v>2558.42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经225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9768.01</v>
          </cell>
        </row>
        <row r="3">
          <cell r="A3">
            <v>39971</v>
          </cell>
          <cell r="B3">
            <v>10135.82</v>
          </cell>
        </row>
        <row r="4">
          <cell r="A4">
            <v>39978</v>
          </cell>
          <cell r="B4">
            <v>9786.26</v>
          </cell>
        </row>
        <row r="5">
          <cell r="A5">
            <v>39985</v>
          </cell>
          <cell r="B5">
            <v>9877.39</v>
          </cell>
        </row>
        <row r="6">
          <cell r="A6">
            <v>39992</v>
          </cell>
          <cell r="B6">
            <v>9816.07</v>
          </cell>
        </row>
        <row r="7">
          <cell r="A7">
            <v>39999</v>
          </cell>
          <cell r="B7">
            <v>9287.2800000000007</v>
          </cell>
        </row>
        <row r="8">
          <cell r="A8">
            <v>40006</v>
          </cell>
          <cell r="B8">
            <v>9395.32</v>
          </cell>
        </row>
        <row r="9">
          <cell r="A9">
            <v>40013</v>
          </cell>
          <cell r="B9">
            <v>9944.5499999999993</v>
          </cell>
        </row>
        <row r="10">
          <cell r="A10">
            <v>40020</v>
          </cell>
          <cell r="B10">
            <v>10356.83</v>
          </cell>
        </row>
        <row r="11">
          <cell r="A11">
            <v>40027</v>
          </cell>
          <cell r="B11">
            <v>10412.09</v>
          </cell>
        </row>
        <row r="12">
          <cell r="A12">
            <v>40034</v>
          </cell>
          <cell r="B12">
            <v>10597.33</v>
          </cell>
        </row>
        <row r="13">
          <cell r="A13">
            <v>40041</v>
          </cell>
          <cell r="B13">
            <v>10238.200000000001</v>
          </cell>
        </row>
        <row r="14">
          <cell r="A14">
            <v>40048</v>
          </cell>
          <cell r="B14">
            <v>10534.14</v>
          </cell>
        </row>
        <row r="15">
          <cell r="A15">
            <v>40055</v>
          </cell>
          <cell r="B15">
            <v>10187.11</v>
          </cell>
        </row>
        <row r="16">
          <cell r="A16">
            <v>40062</v>
          </cell>
          <cell r="B16">
            <v>10444.33</v>
          </cell>
        </row>
        <row r="17">
          <cell r="A17">
            <v>40069</v>
          </cell>
          <cell r="B17">
            <v>10370.540000000001</v>
          </cell>
        </row>
        <row r="18">
          <cell r="A18">
            <v>40076</v>
          </cell>
          <cell r="B18">
            <v>10265.98</v>
          </cell>
        </row>
        <row r="19">
          <cell r="A19">
            <v>40083</v>
          </cell>
          <cell r="B19">
            <v>9731.8700000000008</v>
          </cell>
        </row>
        <row r="20">
          <cell r="A20">
            <v>40090</v>
          </cell>
          <cell r="B20">
            <v>10016.39</v>
          </cell>
        </row>
        <row r="21">
          <cell r="A21">
            <v>40097</v>
          </cell>
          <cell r="B21">
            <v>10257.56</v>
          </cell>
        </row>
        <row r="22">
          <cell r="A22">
            <v>40104</v>
          </cell>
          <cell r="B22">
            <v>10282.99</v>
          </cell>
        </row>
        <row r="23">
          <cell r="A23">
            <v>40111</v>
          </cell>
          <cell r="B23">
            <v>10034.74</v>
          </cell>
        </row>
        <row r="24">
          <cell r="A24">
            <v>40118</v>
          </cell>
          <cell r="B24">
            <v>9789.35</v>
          </cell>
        </row>
        <row r="25">
          <cell r="A25">
            <v>40125</v>
          </cell>
          <cell r="B25">
            <v>9770.31</v>
          </cell>
        </row>
        <row r="26">
          <cell r="A26">
            <v>40132</v>
          </cell>
          <cell r="B26">
            <v>9497.68</v>
          </cell>
        </row>
        <row r="27">
          <cell r="A27">
            <v>40139</v>
          </cell>
          <cell r="B27">
            <v>9081.52</v>
          </cell>
        </row>
        <row r="28">
          <cell r="A28">
            <v>40146</v>
          </cell>
          <cell r="B28">
            <v>10022.59</v>
          </cell>
        </row>
        <row r="29">
          <cell r="A29">
            <v>40153</v>
          </cell>
          <cell r="B29">
            <v>10107.870000000001</v>
          </cell>
        </row>
        <row r="30">
          <cell r="A30">
            <v>40160</v>
          </cell>
          <cell r="B30">
            <v>10142.049999999999</v>
          </cell>
        </row>
        <row r="31">
          <cell r="A31">
            <v>40167</v>
          </cell>
          <cell r="B31">
            <v>10494.71</v>
          </cell>
        </row>
        <row r="32">
          <cell r="A32">
            <v>40174</v>
          </cell>
          <cell r="B32">
            <v>10546.44</v>
          </cell>
        </row>
        <row r="33">
          <cell r="A33">
            <v>40181</v>
          </cell>
          <cell r="B33">
            <v>10798.32</v>
          </cell>
        </row>
        <row r="34">
          <cell r="A34">
            <v>40188</v>
          </cell>
          <cell r="B34">
            <v>10982.1</v>
          </cell>
        </row>
        <row r="35">
          <cell r="A35">
            <v>40195</v>
          </cell>
          <cell r="B35">
            <v>10590.55</v>
          </cell>
        </row>
        <row r="36">
          <cell r="A36">
            <v>40202</v>
          </cell>
          <cell r="B36">
            <v>10198.040000000001</v>
          </cell>
        </row>
        <row r="37">
          <cell r="A37">
            <v>40209</v>
          </cell>
          <cell r="B37">
            <v>10057.09</v>
          </cell>
        </row>
        <row r="38">
          <cell r="A38">
            <v>40216</v>
          </cell>
          <cell r="B38">
            <v>10092.19</v>
          </cell>
        </row>
        <row r="39">
          <cell r="A39">
            <v>40223</v>
          </cell>
          <cell r="B39">
            <v>10123.58</v>
          </cell>
        </row>
        <row r="40">
          <cell r="A40">
            <v>40230</v>
          </cell>
          <cell r="B40">
            <v>10126.030000000001</v>
          </cell>
        </row>
        <row r="41">
          <cell r="A41">
            <v>40237</v>
          </cell>
          <cell r="B41">
            <v>10368.959999999999</v>
          </cell>
        </row>
        <row r="42">
          <cell r="A42">
            <v>40244</v>
          </cell>
          <cell r="B42">
            <v>10751.26</v>
          </cell>
        </row>
        <row r="43">
          <cell r="A43">
            <v>40251</v>
          </cell>
          <cell r="B43">
            <v>10824.72</v>
          </cell>
        </row>
        <row r="44">
          <cell r="A44">
            <v>40258</v>
          </cell>
          <cell r="B44">
            <v>10996.37</v>
          </cell>
        </row>
        <row r="45">
          <cell r="A45">
            <v>40265</v>
          </cell>
          <cell r="B45">
            <v>11286.09</v>
          </cell>
        </row>
        <row r="46">
          <cell r="A46">
            <v>40272</v>
          </cell>
          <cell r="B46">
            <v>11204.34</v>
          </cell>
        </row>
        <row r="47">
          <cell r="A47">
            <v>40279</v>
          </cell>
          <cell r="B47">
            <v>11102.18</v>
          </cell>
        </row>
        <row r="48">
          <cell r="A48">
            <v>40286</v>
          </cell>
          <cell r="B48">
            <v>10914.46</v>
          </cell>
        </row>
        <row r="49">
          <cell r="A49">
            <v>40293</v>
          </cell>
          <cell r="B49">
            <v>11057.4</v>
          </cell>
        </row>
        <row r="50">
          <cell r="A50">
            <v>40300</v>
          </cell>
          <cell r="B50">
            <v>10364.59</v>
          </cell>
        </row>
        <row r="51">
          <cell r="A51">
            <v>40307</v>
          </cell>
          <cell r="B51">
            <v>10462.51</v>
          </cell>
        </row>
        <row r="52">
          <cell r="A52">
            <v>40314</v>
          </cell>
          <cell r="B52">
            <v>9784.5400000000009</v>
          </cell>
        </row>
        <row r="53">
          <cell r="A53">
            <v>40321</v>
          </cell>
          <cell r="B53">
            <v>9762.98</v>
          </cell>
        </row>
        <row r="54">
          <cell r="A54">
            <v>40328</v>
          </cell>
          <cell r="B54">
            <v>9901.19</v>
          </cell>
        </row>
        <row r="55">
          <cell r="A55">
            <v>40335</v>
          </cell>
          <cell r="B55">
            <v>9705.25</v>
          </cell>
        </row>
        <row r="56">
          <cell r="A56">
            <v>40342</v>
          </cell>
          <cell r="B56">
            <v>9995.02</v>
          </cell>
        </row>
        <row r="57">
          <cell r="A57">
            <v>40349</v>
          </cell>
          <cell r="B57">
            <v>9737.48</v>
          </cell>
        </row>
        <row r="58">
          <cell r="A58">
            <v>40356</v>
          </cell>
          <cell r="B58">
            <v>9203.7099999999991</v>
          </cell>
        </row>
        <row r="59">
          <cell r="A59">
            <v>40363</v>
          </cell>
          <cell r="B59">
            <v>9585.32</v>
          </cell>
        </row>
        <row r="60">
          <cell r="A60">
            <v>40370</v>
          </cell>
          <cell r="B60">
            <v>9408.36</v>
          </cell>
        </row>
        <row r="61">
          <cell r="A61">
            <v>40377</v>
          </cell>
          <cell r="B61">
            <v>9430.9599999999991</v>
          </cell>
        </row>
        <row r="62">
          <cell r="A62">
            <v>40384</v>
          </cell>
          <cell r="B62">
            <v>9537.2999999999993</v>
          </cell>
        </row>
        <row r="63">
          <cell r="A63">
            <v>40391</v>
          </cell>
          <cell r="B63">
            <v>9642.1200000000008</v>
          </cell>
        </row>
        <row r="64">
          <cell r="A64">
            <v>40398</v>
          </cell>
          <cell r="B64">
            <v>9253.4599999999991</v>
          </cell>
        </row>
        <row r="65">
          <cell r="A65">
            <v>40405</v>
          </cell>
          <cell r="B65">
            <v>9179.3799999999992</v>
          </cell>
        </row>
        <row r="66">
          <cell r="A66">
            <v>40412</v>
          </cell>
          <cell r="B66">
            <v>8991.06</v>
          </cell>
        </row>
        <row r="67">
          <cell r="A67">
            <v>40419</v>
          </cell>
          <cell r="B67">
            <v>9114.1299999999992</v>
          </cell>
        </row>
        <row r="68">
          <cell r="A68">
            <v>40426</v>
          </cell>
          <cell r="B68">
            <v>9239.17</v>
          </cell>
        </row>
        <row r="69">
          <cell r="A69">
            <v>40433</v>
          </cell>
          <cell r="B69">
            <v>9626.09</v>
          </cell>
        </row>
        <row r="70">
          <cell r="A70">
            <v>40440</v>
          </cell>
          <cell r="B70">
            <v>9471.67</v>
          </cell>
        </row>
        <row r="71">
          <cell r="A71">
            <v>40447</v>
          </cell>
          <cell r="B71">
            <v>9404.23</v>
          </cell>
        </row>
        <row r="72">
          <cell r="A72">
            <v>40454</v>
          </cell>
          <cell r="B72">
            <v>9588.8799999999992</v>
          </cell>
        </row>
        <row r="73">
          <cell r="A73">
            <v>40461</v>
          </cell>
          <cell r="B73">
            <v>9500.25</v>
          </cell>
        </row>
        <row r="74">
          <cell r="A74">
            <v>40468</v>
          </cell>
          <cell r="B74">
            <v>9426.7099999999991</v>
          </cell>
        </row>
        <row r="75">
          <cell r="A75">
            <v>40475</v>
          </cell>
          <cell r="B75">
            <v>9202.4500000000007</v>
          </cell>
        </row>
        <row r="76">
          <cell r="A76">
            <v>40482</v>
          </cell>
          <cell r="B76">
            <v>9625.99</v>
          </cell>
        </row>
        <row r="77">
          <cell r="A77">
            <v>40489</v>
          </cell>
          <cell r="B77">
            <v>9724.81</v>
          </cell>
        </row>
        <row r="78">
          <cell r="A78">
            <v>40496</v>
          </cell>
          <cell r="B78">
            <v>10022.39</v>
          </cell>
        </row>
        <row r="79">
          <cell r="A79">
            <v>40503</v>
          </cell>
          <cell r="B79">
            <v>10039.56</v>
          </cell>
        </row>
        <row r="80">
          <cell r="A80">
            <v>40510</v>
          </cell>
          <cell r="B80">
            <v>10178.32</v>
          </cell>
        </row>
        <row r="81">
          <cell r="A81">
            <v>40517</v>
          </cell>
          <cell r="B81">
            <v>10211.950000000001</v>
          </cell>
        </row>
        <row r="82">
          <cell r="A82">
            <v>40524</v>
          </cell>
          <cell r="B82">
            <v>10303.83</v>
          </cell>
        </row>
        <row r="83">
          <cell r="A83">
            <v>40531</v>
          </cell>
          <cell r="B83">
            <v>10279.19</v>
          </cell>
        </row>
        <row r="84">
          <cell r="A84">
            <v>40538</v>
          </cell>
          <cell r="B84">
            <v>10228.92</v>
          </cell>
        </row>
        <row r="85">
          <cell r="A85">
            <v>40545</v>
          </cell>
          <cell r="B85">
            <v>10541.04</v>
          </cell>
        </row>
        <row r="86">
          <cell r="A86">
            <v>40552</v>
          </cell>
          <cell r="B86">
            <v>10499.04</v>
          </cell>
        </row>
        <row r="87">
          <cell r="A87">
            <v>40559</v>
          </cell>
          <cell r="B87">
            <v>10274.52</v>
          </cell>
        </row>
        <row r="88">
          <cell r="A88">
            <v>40566</v>
          </cell>
          <cell r="B88">
            <v>10360.34</v>
          </cell>
        </row>
        <row r="89">
          <cell r="A89">
            <v>40573</v>
          </cell>
          <cell r="B89">
            <v>10543.52</v>
          </cell>
        </row>
        <row r="90">
          <cell r="A90">
            <v>40580</v>
          </cell>
          <cell r="B90">
            <v>10605.65</v>
          </cell>
        </row>
        <row r="91">
          <cell r="A91">
            <v>40587</v>
          </cell>
          <cell r="B91">
            <v>10842.8</v>
          </cell>
        </row>
        <row r="92">
          <cell r="A92">
            <v>40594</v>
          </cell>
          <cell r="B92">
            <v>10526.76</v>
          </cell>
        </row>
        <row r="93">
          <cell r="A93">
            <v>40601</v>
          </cell>
          <cell r="B93">
            <v>10693.66</v>
          </cell>
        </row>
        <row r="94">
          <cell r="A94">
            <v>40608</v>
          </cell>
          <cell r="B94">
            <v>10254.43</v>
          </cell>
        </row>
        <row r="95">
          <cell r="A95">
            <v>40615</v>
          </cell>
          <cell r="B95">
            <v>9206.75</v>
          </cell>
        </row>
        <row r="96">
          <cell r="A96">
            <v>40622</v>
          </cell>
          <cell r="B96">
            <v>9536.1299999999992</v>
          </cell>
        </row>
        <row r="97">
          <cell r="A97">
            <v>40629</v>
          </cell>
          <cell r="B97">
            <v>9708.39</v>
          </cell>
        </row>
        <row r="98">
          <cell r="A98">
            <v>40636</v>
          </cell>
          <cell r="B98">
            <v>9768.08</v>
          </cell>
        </row>
        <row r="99">
          <cell r="A99">
            <v>40643</v>
          </cell>
          <cell r="B99">
            <v>9591.52</v>
          </cell>
        </row>
        <row r="100">
          <cell r="A100">
            <v>40650</v>
          </cell>
          <cell r="B100">
            <v>9682.2099999999991</v>
          </cell>
        </row>
        <row r="101">
          <cell r="A101">
            <v>40657</v>
          </cell>
          <cell r="B101">
            <v>9849.74</v>
          </cell>
        </row>
        <row r="102">
          <cell r="A102">
            <v>40664</v>
          </cell>
          <cell r="B102">
            <v>9859.2000000000007</v>
          </cell>
        </row>
        <row r="103">
          <cell r="A103">
            <v>40671</v>
          </cell>
          <cell r="B103">
            <v>9648.77</v>
          </cell>
        </row>
        <row r="104">
          <cell r="A104">
            <v>40678</v>
          </cell>
          <cell r="B104">
            <v>9607.08</v>
          </cell>
        </row>
        <row r="105">
          <cell r="A105">
            <v>40685</v>
          </cell>
          <cell r="B105">
            <v>9521.94</v>
          </cell>
        </row>
        <row r="106">
          <cell r="A106">
            <v>40692</v>
          </cell>
          <cell r="B106">
            <v>9492.2099999999991</v>
          </cell>
        </row>
        <row r="107">
          <cell r="A107">
            <v>40699</v>
          </cell>
          <cell r="B107">
            <v>9514.44</v>
          </cell>
        </row>
        <row r="108">
          <cell r="A108">
            <v>40706</v>
          </cell>
          <cell r="B108">
            <v>9351.4</v>
          </cell>
        </row>
        <row r="109">
          <cell r="A109">
            <v>40713</v>
          </cell>
          <cell r="B109">
            <v>9678.7099999999991</v>
          </cell>
        </row>
        <row r="110">
          <cell r="A110">
            <v>40720</v>
          </cell>
          <cell r="B110">
            <v>9868.07</v>
          </cell>
        </row>
        <row r="111">
          <cell r="A111">
            <v>40727</v>
          </cell>
          <cell r="B111">
            <v>10137.73</v>
          </cell>
        </row>
        <row r="112">
          <cell r="A112">
            <v>40734</v>
          </cell>
          <cell r="B112">
            <v>9974.4699999999993</v>
          </cell>
        </row>
        <row r="113">
          <cell r="A113">
            <v>40741</v>
          </cell>
          <cell r="B113">
            <v>10132.11</v>
          </cell>
        </row>
        <row r="114">
          <cell r="A114">
            <v>40748</v>
          </cell>
          <cell r="B114">
            <v>9833.0300000000007</v>
          </cell>
        </row>
        <row r="115">
          <cell r="A115">
            <v>40755</v>
          </cell>
          <cell r="B115">
            <v>9299.8799999999992</v>
          </cell>
        </row>
        <row r="116">
          <cell r="A116">
            <v>40762</v>
          </cell>
          <cell r="B116">
            <v>8963.7199999999993</v>
          </cell>
        </row>
        <row r="117">
          <cell r="A117">
            <v>40769</v>
          </cell>
          <cell r="B117">
            <v>8719.24</v>
          </cell>
        </row>
        <row r="118">
          <cell r="A118">
            <v>40776</v>
          </cell>
          <cell r="B118">
            <v>8797.7800000000007</v>
          </cell>
        </row>
        <row r="119">
          <cell r="A119">
            <v>40783</v>
          </cell>
          <cell r="B119">
            <v>8950.74</v>
          </cell>
        </row>
        <row r="120">
          <cell r="A120">
            <v>40790</v>
          </cell>
          <cell r="B120">
            <v>8737.66</v>
          </cell>
        </row>
        <row r="121">
          <cell r="A121">
            <v>40797</v>
          </cell>
          <cell r="B121">
            <v>8864.16</v>
          </cell>
        </row>
        <row r="122">
          <cell r="A122">
            <v>40804</v>
          </cell>
          <cell r="B122">
            <v>8560.26</v>
          </cell>
        </row>
        <row r="123">
          <cell r="A123">
            <v>40811</v>
          </cell>
          <cell r="B123">
            <v>8700.2900000000009</v>
          </cell>
        </row>
        <row r="124">
          <cell r="A124">
            <v>40818</v>
          </cell>
          <cell r="B124">
            <v>8605.6200000000008</v>
          </cell>
        </row>
        <row r="125">
          <cell r="A125">
            <v>40825</v>
          </cell>
          <cell r="B125">
            <v>8747.9599999999991</v>
          </cell>
        </row>
        <row r="126">
          <cell r="A126">
            <v>40832</v>
          </cell>
          <cell r="B126">
            <v>8678.89</v>
          </cell>
        </row>
        <row r="127">
          <cell r="A127">
            <v>40839</v>
          </cell>
          <cell r="B127">
            <v>9050.4699999999993</v>
          </cell>
        </row>
        <row r="128">
          <cell r="A128">
            <v>40846</v>
          </cell>
          <cell r="B128">
            <v>8801.4</v>
          </cell>
        </row>
        <row r="129">
          <cell r="A129">
            <v>40853</v>
          </cell>
          <cell r="B129">
            <v>8514.4699999999993</v>
          </cell>
        </row>
        <row r="130">
          <cell r="A130">
            <v>40860</v>
          </cell>
          <cell r="B130">
            <v>8374.91</v>
          </cell>
        </row>
        <row r="131">
          <cell r="A131">
            <v>40867</v>
          </cell>
          <cell r="B131">
            <v>8160.01</v>
          </cell>
        </row>
        <row r="132">
          <cell r="A132">
            <v>40874</v>
          </cell>
          <cell r="B132">
            <v>8643.75</v>
          </cell>
        </row>
        <row r="133">
          <cell r="A133">
            <v>40881</v>
          </cell>
          <cell r="B133">
            <v>8536.4599999999991</v>
          </cell>
        </row>
        <row r="134">
          <cell r="A134">
            <v>40888</v>
          </cell>
          <cell r="B134">
            <v>8401.7199999999993</v>
          </cell>
        </row>
        <row r="135">
          <cell r="A135">
            <v>40895</v>
          </cell>
          <cell r="B135">
            <v>8395.16</v>
          </cell>
        </row>
        <row r="136">
          <cell r="A136">
            <v>40902</v>
          </cell>
          <cell r="B136">
            <v>8455.35</v>
          </cell>
        </row>
        <row r="137">
          <cell r="A137">
            <v>40909</v>
          </cell>
          <cell r="B137">
            <v>8390.35</v>
          </cell>
        </row>
        <row r="138">
          <cell r="A138">
            <v>40916</v>
          </cell>
          <cell r="B138">
            <v>8500.02</v>
          </cell>
        </row>
        <row r="139">
          <cell r="A139">
            <v>40923</v>
          </cell>
          <cell r="B139">
            <v>8766.36</v>
          </cell>
        </row>
        <row r="140">
          <cell r="A140">
            <v>40930</v>
          </cell>
          <cell r="B140">
            <v>8841.2199999999993</v>
          </cell>
        </row>
        <row r="141">
          <cell r="A141">
            <v>40937</v>
          </cell>
          <cell r="B141">
            <v>8831.93</v>
          </cell>
        </row>
        <row r="142">
          <cell r="A142">
            <v>40944</v>
          </cell>
          <cell r="B142">
            <v>8947.17</v>
          </cell>
        </row>
        <row r="143">
          <cell r="A143">
            <v>40951</v>
          </cell>
          <cell r="B143">
            <v>9384.17</v>
          </cell>
        </row>
        <row r="144">
          <cell r="A144">
            <v>40958</v>
          </cell>
          <cell r="B144">
            <v>9647.3799999999992</v>
          </cell>
        </row>
        <row r="145">
          <cell r="A145">
            <v>40965</v>
          </cell>
          <cell r="B145">
            <v>9777.0300000000007</v>
          </cell>
        </row>
        <row r="146">
          <cell r="A146">
            <v>40972</v>
          </cell>
          <cell r="B146">
            <v>9929.74</v>
          </cell>
        </row>
        <row r="147">
          <cell r="A147">
            <v>40979</v>
          </cell>
          <cell r="B147">
            <v>10129.83</v>
          </cell>
        </row>
        <row r="148">
          <cell r="A148">
            <v>40986</v>
          </cell>
          <cell r="B148">
            <v>10011.469999999999</v>
          </cell>
        </row>
        <row r="149">
          <cell r="A149">
            <v>40993</v>
          </cell>
          <cell r="B149">
            <v>10083.56</v>
          </cell>
        </row>
        <row r="150">
          <cell r="A150">
            <v>41000</v>
          </cell>
          <cell r="B150">
            <v>9688.4500000000007</v>
          </cell>
        </row>
        <row r="151">
          <cell r="A151">
            <v>41007</v>
          </cell>
          <cell r="B151">
            <v>9637.99</v>
          </cell>
        </row>
        <row r="152">
          <cell r="A152">
            <v>41014</v>
          </cell>
          <cell r="B152">
            <v>9561.36</v>
          </cell>
        </row>
        <row r="153">
          <cell r="A153">
            <v>41021</v>
          </cell>
          <cell r="B153">
            <v>9520.89</v>
          </cell>
        </row>
        <row r="154">
          <cell r="A154">
            <v>41028</v>
          </cell>
          <cell r="B154">
            <v>9380.25</v>
          </cell>
        </row>
        <row r="155">
          <cell r="A155">
            <v>41035</v>
          </cell>
          <cell r="B155">
            <v>8953.31</v>
          </cell>
        </row>
        <row r="156">
          <cell r="A156">
            <v>41042</v>
          </cell>
          <cell r="B156">
            <v>8611.31</v>
          </cell>
        </row>
        <row r="157">
          <cell r="A157">
            <v>41049</v>
          </cell>
          <cell r="B157">
            <v>8580.39</v>
          </cell>
        </row>
        <row r="158">
          <cell r="A158">
            <v>41056</v>
          </cell>
          <cell r="B158">
            <v>8440.25</v>
          </cell>
        </row>
        <row r="159">
          <cell r="A159">
            <v>41063</v>
          </cell>
          <cell r="B159">
            <v>8459.26</v>
          </cell>
        </row>
        <row r="160">
          <cell r="A160">
            <v>41070</v>
          </cell>
          <cell r="B160">
            <v>8569.32</v>
          </cell>
        </row>
        <row r="161">
          <cell r="A161">
            <v>41077</v>
          </cell>
          <cell r="B161">
            <v>8798.35</v>
          </cell>
        </row>
        <row r="162">
          <cell r="A162">
            <v>41084</v>
          </cell>
          <cell r="B162">
            <v>9006.7800000000007</v>
          </cell>
        </row>
        <row r="163">
          <cell r="A163">
            <v>41091</v>
          </cell>
          <cell r="B163">
            <v>9020.75</v>
          </cell>
        </row>
        <row r="164">
          <cell r="A164">
            <v>41098</v>
          </cell>
          <cell r="B164">
            <v>8724.1200000000008</v>
          </cell>
        </row>
        <row r="165">
          <cell r="A165">
            <v>41105</v>
          </cell>
          <cell r="B165">
            <v>8669.8700000000008</v>
          </cell>
        </row>
        <row r="166">
          <cell r="A166">
            <v>41112</v>
          </cell>
          <cell r="B166">
            <v>8566.64</v>
          </cell>
        </row>
        <row r="167">
          <cell r="A167">
            <v>41119</v>
          </cell>
          <cell r="B167">
            <v>8555.11</v>
          </cell>
        </row>
        <row r="168">
          <cell r="A168">
            <v>41126</v>
          </cell>
          <cell r="B168">
            <v>8891.44</v>
          </cell>
        </row>
        <row r="169">
          <cell r="A169">
            <v>41133</v>
          </cell>
          <cell r="B169">
            <v>9162.5</v>
          </cell>
        </row>
        <row r="170">
          <cell r="A170">
            <v>41140</v>
          </cell>
          <cell r="B170">
            <v>9070.76</v>
          </cell>
        </row>
        <row r="171">
          <cell r="A171">
            <v>41147</v>
          </cell>
          <cell r="B171">
            <v>8839.91</v>
          </cell>
        </row>
        <row r="172">
          <cell r="A172">
            <v>41154</v>
          </cell>
          <cell r="B172">
            <v>8871.65</v>
          </cell>
        </row>
        <row r="173">
          <cell r="A173">
            <v>41161</v>
          </cell>
          <cell r="B173">
            <v>9159.39</v>
          </cell>
        </row>
        <row r="174">
          <cell r="A174">
            <v>41168</v>
          </cell>
          <cell r="B174">
            <v>9110</v>
          </cell>
        </row>
        <row r="175">
          <cell r="A175">
            <v>41175</v>
          </cell>
          <cell r="B175">
            <v>8870.16</v>
          </cell>
        </row>
        <row r="176">
          <cell r="A176">
            <v>41182</v>
          </cell>
          <cell r="B176">
            <v>8863.2999999999993</v>
          </cell>
        </row>
        <row r="177">
          <cell r="A177">
            <v>41189</v>
          </cell>
          <cell r="B177">
            <v>8534.1200000000008</v>
          </cell>
        </row>
        <row r="178">
          <cell r="A178">
            <v>41196</v>
          </cell>
          <cell r="B178">
            <v>9002.68</v>
          </cell>
        </row>
        <row r="179">
          <cell r="A179">
            <v>41203</v>
          </cell>
          <cell r="B179">
            <v>8933.06</v>
          </cell>
        </row>
        <row r="180">
          <cell r="A180">
            <v>41210</v>
          </cell>
          <cell r="B180">
            <v>9051.2199999999993</v>
          </cell>
        </row>
        <row r="181">
          <cell r="A181">
            <v>41217</v>
          </cell>
          <cell r="B181">
            <v>8757.6</v>
          </cell>
        </row>
        <row r="182">
          <cell r="A182">
            <v>41224</v>
          </cell>
          <cell r="B182">
            <v>9024.16</v>
          </cell>
        </row>
        <row r="183">
          <cell r="A183">
            <v>41231</v>
          </cell>
          <cell r="B183">
            <v>9366.7999999999993</v>
          </cell>
        </row>
        <row r="184">
          <cell r="A184">
            <v>41238</v>
          </cell>
          <cell r="B184">
            <v>9446.01</v>
          </cell>
        </row>
        <row r="185">
          <cell r="A185">
            <v>41245</v>
          </cell>
          <cell r="B185">
            <v>9527.39</v>
          </cell>
        </row>
        <row r="186">
          <cell r="A186">
            <v>41252</v>
          </cell>
          <cell r="B186">
            <v>9737.56</v>
          </cell>
        </row>
        <row r="187">
          <cell r="A187">
            <v>41259</v>
          </cell>
          <cell r="B187">
            <v>9940.06</v>
          </cell>
        </row>
        <row r="188">
          <cell r="A188">
            <v>41266</v>
          </cell>
          <cell r="B188">
            <v>10395.18</v>
          </cell>
        </row>
        <row r="189">
          <cell r="A189">
            <v>41273</v>
          </cell>
          <cell r="B189">
            <v>10688.11</v>
          </cell>
        </row>
        <row r="190">
          <cell r="A190">
            <v>41280</v>
          </cell>
          <cell r="B190">
            <v>10801.57</v>
          </cell>
        </row>
        <row r="191">
          <cell r="A191">
            <v>41287</v>
          </cell>
          <cell r="B191">
            <v>10913.3</v>
          </cell>
        </row>
        <row r="192">
          <cell r="A192">
            <v>41294</v>
          </cell>
          <cell r="B192">
            <v>10926.65</v>
          </cell>
        </row>
        <row r="193">
          <cell r="A193">
            <v>41301</v>
          </cell>
          <cell r="B193">
            <v>11191.34</v>
          </cell>
        </row>
        <row r="194">
          <cell r="A194">
            <v>41308</v>
          </cell>
          <cell r="B194">
            <v>11153.16</v>
          </cell>
        </row>
        <row r="195">
          <cell r="A195">
            <v>41315</v>
          </cell>
          <cell r="B195">
            <v>11173.83</v>
          </cell>
        </row>
        <row r="196">
          <cell r="A196">
            <v>41322</v>
          </cell>
          <cell r="B196">
            <v>11385.94</v>
          </cell>
        </row>
        <row r="197">
          <cell r="A197">
            <v>41329</v>
          </cell>
          <cell r="B197">
            <v>11606.38</v>
          </cell>
        </row>
        <row r="198">
          <cell r="A198">
            <v>41336</v>
          </cell>
          <cell r="B198">
            <v>12283.62</v>
          </cell>
        </row>
        <row r="199">
          <cell r="A199">
            <v>41343</v>
          </cell>
          <cell r="B199">
            <v>12560.95</v>
          </cell>
        </row>
        <row r="200">
          <cell r="A200">
            <v>41350</v>
          </cell>
          <cell r="B200">
            <v>12338.53</v>
          </cell>
        </row>
        <row r="201">
          <cell r="A201">
            <v>41357</v>
          </cell>
          <cell r="B201">
            <v>12397.91</v>
          </cell>
        </row>
        <row r="202">
          <cell r="A202">
            <v>41364</v>
          </cell>
          <cell r="B202">
            <v>12833.64</v>
          </cell>
        </row>
        <row r="203">
          <cell r="A203">
            <v>41371</v>
          </cell>
          <cell r="B203">
            <v>13485.14</v>
          </cell>
        </row>
        <row r="204">
          <cell r="A204">
            <v>41378</v>
          </cell>
          <cell r="B204">
            <v>13316.48</v>
          </cell>
        </row>
        <row r="205">
          <cell r="A205">
            <v>41385</v>
          </cell>
          <cell r="B205">
            <v>13884.13</v>
          </cell>
        </row>
        <row r="206">
          <cell r="A206">
            <v>41392</v>
          </cell>
          <cell r="B206">
            <v>13694.04</v>
          </cell>
        </row>
        <row r="207">
          <cell r="A207">
            <v>41399</v>
          </cell>
          <cell r="B207">
            <v>14607.54</v>
          </cell>
        </row>
        <row r="208">
          <cell r="A208">
            <v>41406</v>
          </cell>
          <cell r="B208">
            <v>15138.12</v>
          </cell>
        </row>
        <row r="209">
          <cell r="A209">
            <v>41413</v>
          </cell>
          <cell r="B209">
            <v>14612.45</v>
          </cell>
        </row>
        <row r="210">
          <cell r="A210">
            <v>41420</v>
          </cell>
          <cell r="B210">
            <v>13774.54</v>
          </cell>
        </row>
        <row r="211">
          <cell r="A211">
            <v>41427</v>
          </cell>
          <cell r="B211">
            <v>12877.53</v>
          </cell>
        </row>
        <row r="212">
          <cell r="A212">
            <v>41434</v>
          </cell>
          <cell r="B212">
            <v>12686.52</v>
          </cell>
        </row>
        <row r="213">
          <cell r="A213">
            <v>41441</v>
          </cell>
          <cell r="B213">
            <v>13230.13</v>
          </cell>
        </row>
        <row r="214">
          <cell r="A214">
            <v>41448</v>
          </cell>
          <cell r="B214">
            <v>13677.32</v>
          </cell>
        </row>
        <row r="215">
          <cell r="A215">
            <v>41455</v>
          </cell>
          <cell r="B215">
            <v>14309.97</v>
          </cell>
        </row>
        <row r="216">
          <cell r="A216">
            <v>41462</v>
          </cell>
          <cell r="B216">
            <v>14506.25</v>
          </cell>
        </row>
        <row r="217">
          <cell r="A217">
            <v>41469</v>
          </cell>
          <cell r="B217">
            <v>14589.91</v>
          </cell>
        </row>
        <row r="218">
          <cell r="A218">
            <v>41476</v>
          </cell>
          <cell r="B218">
            <v>14129.98</v>
          </cell>
        </row>
        <row r="219">
          <cell r="A219">
            <v>41483</v>
          </cell>
          <cell r="B219">
            <v>14466.16</v>
          </cell>
        </row>
        <row r="220">
          <cell r="A220">
            <v>41490</v>
          </cell>
          <cell r="B220">
            <v>13615.19</v>
          </cell>
        </row>
        <row r="221">
          <cell r="A221">
            <v>41497</v>
          </cell>
          <cell r="B221">
            <v>13650.11</v>
          </cell>
        </row>
        <row r="222">
          <cell r="A222">
            <v>41504</v>
          </cell>
          <cell r="B222">
            <v>13660.55</v>
          </cell>
        </row>
        <row r="223">
          <cell r="A223">
            <v>41511</v>
          </cell>
          <cell r="B223">
            <v>13388.86</v>
          </cell>
        </row>
        <row r="224">
          <cell r="A224">
            <v>41518</v>
          </cell>
          <cell r="B224">
            <v>13860.81</v>
          </cell>
        </row>
        <row r="225">
          <cell r="A225">
            <v>41525</v>
          </cell>
          <cell r="B225">
            <v>14404.67</v>
          </cell>
        </row>
        <row r="226">
          <cell r="A226">
            <v>41532</v>
          </cell>
          <cell r="B226">
            <v>14742.42</v>
          </cell>
        </row>
        <row r="227">
          <cell r="A227">
            <v>41539</v>
          </cell>
          <cell r="B227">
            <v>14760.07</v>
          </cell>
        </row>
        <row r="228">
          <cell r="A228">
            <v>41546</v>
          </cell>
          <cell r="B228">
            <v>14024.31</v>
          </cell>
        </row>
        <row r="229">
          <cell r="A229">
            <v>41553</v>
          </cell>
          <cell r="B229">
            <v>14404.74</v>
          </cell>
        </row>
        <row r="230">
          <cell r="A230">
            <v>41560</v>
          </cell>
          <cell r="B230">
            <v>14561.54</v>
          </cell>
        </row>
        <row r="231">
          <cell r="A231">
            <v>41567</v>
          </cell>
          <cell r="B231">
            <v>14088.19</v>
          </cell>
        </row>
        <row r="232">
          <cell r="A232">
            <v>41574</v>
          </cell>
          <cell r="B232">
            <v>14201.57</v>
          </cell>
        </row>
        <row r="233">
          <cell r="A233">
            <v>41581</v>
          </cell>
          <cell r="B233">
            <v>14086.8</v>
          </cell>
        </row>
        <row r="234">
          <cell r="A234">
            <v>41588</v>
          </cell>
          <cell r="B234">
            <v>15165.92</v>
          </cell>
        </row>
        <row r="235">
          <cell r="A235">
            <v>41595</v>
          </cell>
          <cell r="B235">
            <v>15381.72</v>
          </cell>
        </row>
        <row r="236">
          <cell r="A236">
            <v>41602</v>
          </cell>
          <cell r="B236">
            <v>15661.87</v>
          </cell>
        </row>
        <row r="237">
          <cell r="A237">
            <v>41609</v>
          </cell>
          <cell r="B237">
            <v>15299.86</v>
          </cell>
        </row>
        <row r="238">
          <cell r="A238">
            <v>41616</v>
          </cell>
          <cell r="B238">
            <v>15403.11</v>
          </cell>
        </row>
        <row r="239">
          <cell r="A239">
            <v>41623</v>
          </cell>
          <cell r="B239">
            <v>15870.42</v>
          </cell>
        </row>
        <row r="240">
          <cell r="A240">
            <v>41630</v>
          </cell>
          <cell r="B240">
            <v>16178.94</v>
          </cell>
        </row>
        <row r="241">
          <cell r="A241">
            <v>41637</v>
          </cell>
          <cell r="B241">
            <v>16291.31</v>
          </cell>
        </row>
        <row r="242">
          <cell r="A242">
            <v>41644</v>
          </cell>
          <cell r="B242">
            <v>15912.06</v>
          </cell>
        </row>
        <row r="243">
          <cell r="A243">
            <v>41651</v>
          </cell>
          <cell r="B243">
            <v>15734.46</v>
          </cell>
        </row>
        <row r="244">
          <cell r="A244">
            <v>41658</v>
          </cell>
          <cell r="B244">
            <v>15391.56</v>
          </cell>
        </row>
        <row r="245">
          <cell r="A245">
            <v>41665</v>
          </cell>
          <cell r="B245">
            <v>14914.53</v>
          </cell>
        </row>
        <row r="246">
          <cell r="A246">
            <v>41672</v>
          </cell>
          <cell r="B246">
            <v>14462.41</v>
          </cell>
        </row>
        <row r="247">
          <cell r="A247">
            <v>41679</v>
          </cell>
          <cell r="B247">
            <v>14313.03</v>
          </cell>
        </row>
        <row r="248">
          <cell r="A248">
            <v>41686</v>
          </cell>
          <cell r="B248">
            <v>14865.67</v>
          </cell>
        </row>
        <row r="249">
          <cell r="A249">
            <v>41693</v>
          </cell>
          <cell r="B249">
            <v>14841.07</v>
          </cell>
        </row>
        <row r="250">
          <cell r="A250">
            <v>41700</v>
          </cell>
          <cell r="B250">
            <v>15274.07</v>
          </cell>
        </row>
        <row r="251">
          <cell r="A251">
            <v>41707</v>
          </cell>
          <cell r="B251">
            <v>14327.66</v>
          </cell>
        </row>
        <row r="252">
          <cell r="A252">
            <v>41714</v>
          </cell>
          <cell r="B252">
            <v>14224.23</v>
          </cell>
        </row>
        <row r="253">
          <cell r="A253">
            <v>41721</v>
          </cell>
          <cell r="B253">
            <v>14696.03</v>
          </cell>
        </row>
        <row r="254">
          <cell r="A254">
            <v>41728</v>
          </cell>
          <cell r="B254">
            <v>15063.77</v>
          </cell>
        </row>
        <row r="255">
          <cell r="A255">
            <v>41735</v>
          </cell>
          <cell r="B255">
            <v>13960.05</v>
          </cell>
        </row>
        <row r="256">
          <cell r="A256">
            <v>41742</v>
          </cell>
          <cell r="B256">
            <v>14516.27</v>
          </cell>
        </row>
        <row r="257">
          <cell r="A257">
            <v>41749</v>
          </cell>
          <cell r="B257">
            <v>14429.26</v>
          </cell>
        </row>
        <row r="258">
          <cell r="A258">
            <v>41756</v>
          </cell>
          <cell r="B258">
            <v>14457.51</v>
          </cell>
        </row>
        <row r="259">
          <cell r="A259">
            <v>41763</v>
          </cell>
          <cell r="B259">
            <v>14199.59</v>
          </cell>
        </row>
        <row r="260">
          <cell r="A260">
            <v>41770</v>
          </cell>
          <cell r="B260">
            <v>14096.59</v>
          </cell>
        </row>
        <row r="261">
          <cell r="A261">
            <v>41777</v>
          </cell>
          <cell r="B261">
            <v>14462.17</v>
          </cell>
        </row>
        <row r="262">
          <cell r="A262">
            <v>41784</v>
          </cell>
          <cell r="B262">
            <v>14632.38</v>
          </cell>
        </row>
        <row r="263">
          <cell r="A263">
            <v>41791</v>
          </cell>
          <cell r="B263">
            <v>15077.24</v>
          </cell>
        </row>
        <row r="264">
          <cell r="A264">
            <v>41798</v>
          </cell>
          <cell r="B264">
            <v>15097.84</v>
          </cell>
        </row>
        <row r="265">
          <cell r="A265">
            <v>41805</v>
          </cell>
          <cell r="B265">
            <v>15349.42</v>
          </cell>
        </row>
        <row r="266">
          <cell r="A266">
            <v>41812</v>
          </cell>
          <cell r="B266">
            <v>15095</v>
          </cell>
        </row>
        <row r="267">
          <cell r="A267">
            <v>41819</v>
          </cell>
          <cell r="B267">
            <v>15437.13</v>
          </cell>
        </row>
        <row r="268">
          <cell r="A268">
            <v>41826</v>
          </cell>
          <cell r="B268">
            <v>15164.04</v>
          </cell>
        </row>
        <row r="269">
          <cell r="A269">
            <v>41833</v>
          </cell>
          <cell r="B269">
            <v>15215.71</v>
          </cell>
        </row>
        <row r="270">
          <cell r="A270">
            <v>41840</v>
          </cell>
          <cell r="B270">
            <v>15457.87</v>
          </cell>
        </row>
        <row r="271">
          <cell r="A271">
            <v>41847</v>
          </cell>
          <cell r="B271">
            <v>15523.11</v>
          </cell>
        </row>
        <row r="272">
          <cell r="A272">
            <v>41854</v>
          </cell>
          <cell r="B272">
            <v>14778.37</v>
          </cell>
        </row>
        <row r="273">
          <cell r="A273">
            <v>41861</v>
          </cell>
          <cell r="B273">
            <v>15318.34</v>
          </cell>
        </row>
        <row r="274">
          <cell r="A274">
            <v>41868</v>
          </cell>
          <cell r="B274">
            <v>15539.19</v>
          </cell>
        </row>
        <row r="275">
          <cell r="A275">
            <v>41875</v>
          </cell>
          <cell r="B275">
            <v>15424.59</v>
          </cell>
        </row>
        <row r="276">
          <cell r="A276">
            <v>41882</v>
          </cell>
          <cell r="B276">
            <v>15668.68</v>
          </cell>
        </row>
        <row r="277">
          <cell r="A277">
            <v>41889</v>
          </cell>
          <cell r="B277">
            <v>15948.29</v>
          </cell>
        </row>
        <row r="278">
          <cell r="A278">
            <v>41896</v>
          </cell>
          <cell r="B278">
            <v>16321.17</v>
          </cell>
        </row>
        <row r="279">
          <cell r="A279">
            <v>41903</v>
          </cell>
          <cell r="B279">
            <v>16229.86</v>
          </cell>
        </row>
        <row r="280">
          <cell r="A280">
            <v>41910</v>
          </cell>
          <cell r="B280">
            <v>15708.65</v>
          </cell>
        </row>
        <row r="281">
          <cell r="A281">
            <v>41917</v>
          </cell>
          <cell r="B281">
            <v>15300.55</v>
          </cell>
        </row>
        <row r="282">
          <cell r="A282">
            <v>41924</v>
          </cell>
          <cell r="B282">
            <v>14532.51</v>
          </cell>
        </row>
        <row r="283">
          <cell r="A283">
            <v>41931</v>
          </cell>
          <cell r="B283">
            <v>15291.64</v>
          </cell>
        </row>
        <row r="284">
          <cell r="A284">
            <v>41938</v>
          </cell>
          <cell r="B284">
            <v>16413.759999999998</v>
          </cell>
        </row>
        <row r="285">
          <cell r="A285">
            <v>41945</v>
          </cell>
          <cell r="B285">
            <v>16880.38</v>
          </cell>
        </row>
        <row r="286">
          <cell r="A286">
            <v>41952</v>
          </cell>
          <cell r="B286">
            <v>17490.830000000002</v>
          </cell>
        </row>
        <row r="287">
          <cell r="A287">
            <v>41959</v>
          </cell>
          <cell r="B287">
            <v>17357.509999999998</v>
          </cell>
        </row>
        <row r="288">
          <cell r="A288">
            <v>41966</v>
          </cell>
          <cell r="B288">
            <v>17459.849999999999</v>
          </cell>
        </row>
        <row r="289">
          <cell r="A289">
            <v>41973</v>
          </cell>
          <cell r="B289">
            <v>17920.45</v>
          </cell>
        </row>
        <row r="290">
          <cell r="A290">
            <v>41980</v>
          </cell>
          <cell r="B290">
            <v>17371.580000000002</v>
          </cell>
        </row>
        <row r="291">
          <cell r="A291">
            <v>41987</v>
          </cell>
          <cell r="B291">
            <v>17621.400000000001</v>
          </cell>
        </row>
        <row r="292">
          <cell r="A292">
            <v>41994</v>
          </cell>
          <cell r="B292">
            <v>17818.96</v>
          </cell>
        </row>
        <row r="293">
          <cell r="A293">
            <v>42001</v>
          </cell>
          <cell r="B293">
            <v>17450.77</v>
          </cell>
        </row>
        <row r="294">
          <cell r="A294">
            <v>42008</v>
          </cell>
          <cell r="B294">
            <v>17197.73</v>
          </cell>
        </row>
        <row r="295">
          <cell r="A295">
            <v>42015</v>
          </cell>
          <cell r="B295">
            <v>16864.16</v>
          </cell>
        </row>
        <row r="296">
          <cell r="A296">
            <v>42022</v>
          </cell>
          <cell r="B296">
            <v>17511.75</v>
          </cell>
        </row>
        <row r="297">
          <cell r="A297">
            <v>42029</v>
          </cell>
          <cell r="B297">
            <v>17674.39</v>
          </cell>
        </row>
        <row r="298">
          <cell r="A298">
            <v>42036</v>
          </cell>
          <cell r="B298">
            <v>17648.5</v>
          </cell>
        </row>
        <row r="299">
          <cell r="A299">
            <v>42043</v>
          </cell>
          <cell r="B299">
            <v>17913.36</v>
          </cell>
        </row>
        <row r="300">
          <cell r="A300">
            <v>42050</v>
          </cell>
          <cell r="B300">
            <v>18332.3</v>
          </cell>
        </row>
        <row r="301">
          <cell r="A301">
            <v>42057</v>
          </cell>
          <cell r="B301">
            <v>18797.939999999999</v>
          </cell>
        </row>
        <row r="302">
          <cell r="A302">
            <v>42064</v>
          </cell>
          <cell r="B302">
            <v>18971</v>
          </cell>
        </row>
        <row r="303">
          <cell r="A303">
            <v>42071</v>
          </cell>
          <cell r="B303">
            <v>19254.25</v>
          </cell>
        </row>
        <row r="304">
          <cell r="A304">
            <v>42078</v>
          </cell>
          <cell r="B304">
            <v>19560.22</v>
          </cell>
        </row>
        <row r="305">
          <cell r="A305">
            <v>42085</v>
          </cell>
          <cell r="B305">
            <v>19285.63</v>
          </cell>
        </row>
        <row r="306">
          <cell r="A306">
            <v>42092</v>
          </cell>
          <cell r="B306">
            <v>19435.080000000002</v>
          </cell>
        </row>
        <row r="307">
          <cell r="A307">
            <v>42099</v>
          </cell>
          <cell r="B307">
            <v>19907.63</v>
          </cell>
        </row>
        <row r="308">
          <cell r="A308">
            <v>42106</v>
          </cell>
          <cell r="B308">
            <v>19652.88</v>
          </cell>
        </row>
        <row r="309">
          <cell r="A309">
            <v>42113</v>
          </cell>
          <cell r="B309">
            <v>20020.04</v>
          </cell>
        </row>
        <row r="310">
          <cell r="A310">
            <v>42120</v>
          </cell>
          <cell r="B310">
            <v>19531.63</v>
          </cell>
        </row>
        <row r="311">
          <cell r="A311">
            <v>42127</v>
          </cell>
          <cell r="B311">
            <v>19379.189999999999</v>
          </cell>
        </row>
        <row r="312">
          <cell r="A312">
            <v>42134</v>
          </cell>
          <cell r="B312">
            <v>19732.919999999998</v>
          </cell>
        </row>
        <row r="313">
          <cell r="A313">
            <v>42141</v>
          </cell>
          <cell r="B313">
            <v>20264.41</v>
          </cell>
        </row>
        <row r="314">
          <cell r="A314">
            <v>42148</v>
          </cell>
          <cell r="B314">
            <v>20563.150000000001</v>
          </cell>
        </row>
        <row r="315">
          <cell r="A315">
            <v>42155</v>
          </cell>
          <cell r="B315">
            <v>20460.900000000001</v>
          </cell>
        </row>
        <row r="316">
          <cell r="A316">
            <v>42162</v>
          </cell>
          <cell r="B316">
            <v>20407.080000000002</v>
          </cell>
        </row>
        <row r="317">
          <cell r="A317">
            <v>42169</v>
          </cell>
          <cell r="B317">
            <v>20174.240000000002</v>
          </cell>
        </row>
        <row r="318">
          <cell r="A318">
            <v>42176</v>
          </cell>
          <cell r="B318">
            <v>20706.150000000001</v>
          </cell>
        </row>
        <row r="319">
          <cell r="A319">
            <v>42183</v>
          </cell>
          <cell r="B319">
            <v>20539.79</v>
          </cell>
        </row>
        <row r="320">
          <cell r="A320">
            <v>42190</v>
          </cell>
          <cell r="B320">
            <v>19779.830000000002</v>
          </cell>
        </row>
        <row r="321">
          <cell r="A321">
            <v>42197</v>
          </cell>
          <cell r="B321">
            <v>20650.919999999998</v>
          </cell>
        </row>
        <row r="322">
          <cell r="A322">
            <v>42204</v>
          </cell>
          <cell r="B322">
            <v>20544.53</v>
          </cell>
        </row>
        <row r="323">
          <cell r="A323">
            <v>42211</v>
          </cell>
          <cell r="B323">
            <v>20585.240000000002</v>
          </cell>
        </row>
        <row r="324">
          <cell r="A324">
            <v>42218</v>
          </cell>
          <cell r="B324">
            <v>20724.560000000001</v>
          </cell>
        </row>
        <row r="325">
          <cell r="A325">
            <v>42225</v>
          </cell>
          <cell r="B325">
            <v>20519.45</v>
          </cell>
        </row>
        <row r="326">
          <cell r="A326">
            <v>42232</v>
          </cell>
          <cell r="B326">
            <v>19435.830000000002</v>
          </cell>
        </row>
        <row r="327">
          <cell r="A327">
            <v>42239</v>
          </cell>
          <cell r="B327">
            <v>19136.32</v>
          </cell>
        </row>
        <row r="328">
          <cell r="A328">
            <v>42246</v>
          </cell>
          <cell r="B328">
            <v>17792.16</v>
          </cell>
        </row>
        <row r="329">
          <cell r="A329">
            <v>42253</v>
          </cell>
          <cell r="B329">
            <v>18264.22</v>
          </cell>
        </row>
        <row r="330">
          <cell r="A330">
            <v>42260</v>
          </cell>
          <cell r="B330">
            <v>18070.21</v>
          </cell>
        </row>
        <row r="331">
          <cell r="A331">
            <v>42267</v>
          </cell>
          <cell r="B331">
            <v>17880.509999999998</v>
          </cell>
        </row>
        <row r="332">
          <cell r="A332">
            <v>42274</v>
          </cell>
          <cell r="B332">
            <v>17725.13</v>
          </cell>
        </row>
        <row r="333">
          <cell r="A333">
            <v>42281</v>
          </cell>
          <cell r="B333">
            <v>18438.669999999998</v>
          </cell>
        </row>
        <row r="334">
          <cell r="A334">
            <v>42288</v>
          </cell>
          <cell r="B334">
            <v>18291.8</v>
          </cell>
        </row>
        <row r="335">
          <cell r="A335">
            <v>42295</v>
          </cell>
          <cell r="B335">
            <v>18825.3</v>
          </cell>
        </row>
        <row r="336">
          <cell r="A336">
            <v>42302</v>
          </cell>
          <cell r="B336">
            <v>19083.099999999999</v>
          </cell>
        </row>
        <row r="337">
          <cell r="A337">
            <v>42309</v>
          </cell>
          <cell r="B337">
            <v>19265.599999999999</v>
          </cell>
        </row>
        <row r="338">
          <cell r="A338">
            <v>42316</v>
          </cell>
          <cell r="B338">
            <v>19596.91</v>
          </cell>
        </row>
        <row r="339">
          <cell r="A339">
            <v>42323</v>
          </cell>
          <cell r="B339">
            <v>19879.810000000001</v>
          </cell>
        </row>
        <row r="340">
          <cell r="A340">
            <v>42330</v>
          </cell>
          <cell r="B340">
            <v>19883.939999999999</v>
          </cell>
        </row>
        <row r="341">
          <cell r="A341">
            <v>42337</v>
          </cell>
          <cell r="B341">
            <v>19504.48</v>
          </cell>
        </row>
        <row r="342">
          <cell r="A342">
            <v>42344</v>
          </cell>
          <cell r="B342">
            <v>19230.48</v>
          </cell>
        </row>
        <row r="343">
          <cell r="A343">
            <v>42351</v>
          </cell>
          <cell r="B343">
            <v>18986.8</v>
          </cell>
        </row>
        <row r="344">
          <cell r="A344">
            <v>42358</v>
          </cell>
          <cell r="B344">
            <v>18769.060000000001</v>
          </cell>
        </row>
        <row r="345">
          <cell r="A345">
            <v>42365</v>
          </cell>
          <cell r="B345">
            <v>19033.71</v>
          </cell>
        </row>
        <row r="346">
          <cell r="A346">
            <v>42372</v>
          </cell>
          <cell r="B346">
            <v>17697.96</v>
          </cell>
        </row>
        <row r="347">
          <cell r="A347">
            <v>42379</v>
          </cell>
          <cell r="B347">
            <v>17147.11</v>
          </cell>
        </row>
        <row r="348">
          <cell r="A348">
            <v>42386</v>
          </cell>
          <cell r="B348">
            <v>16958.53</v>
          </cell>
        </row>
        <row r="349">
          <cell r="A349">
            <v>42393</v>
          </cell>
          <cell r="B349">
            <v>17518.3</v>
          </cell>
        </row>
        <row r="350">
          <cell r="A350">
            <v>42400</v>
          </cell>
          <cell r="B350">
            <v>16819.59</v>
          </cell>
        </row>
        <row r="351">
          <cell r="A351">
            <v>42407</v>
          </cell>
          <cell r="B351">
            <v>14952.61</v>
          </cell>
        </row>
        <row r="352">
          <cell r="A352">
            <v>42414</v>
          </cell>
          <cell r="B352">
            <v>15967.17</v>
          </cell>
        </row>
        <row r="353">
          <cell r="A353">
            <v>42421</v>
          </cell>
          <cell r="B353">
            <v>16188.41</v>
          </cell>
        </row>
        <row r="354">
          <cell r="A354">
            <v>42428</v>
          </cell>
          <cell r="B354">
            <v>17014.78</v>
          </cell>
        </row>
        <row r="355">
          <cell r="A355">
            <v>42435</v>
          </cell>
          <cell r="B355">
            <v>16938.87</v>
          </cell>
        </row>
        <row r="356">
          <cell r="A356">
            <v>42442</v>
          </cell>
          <cell r="B356">
            <v>16724.810000000001</v>
          </cell>
        </row>
        <row r="357">
          <cell r="A357">
            <v>42449</v>
          </cell>
          <cell r="B357">
            <v>17002.75</v>
          </cell>
        </row>
        <row r="358">
          <cell r="A358">
            <v>42456</v>
          </cell>
          <cell r="B358">
            <v>16164.16</v>
          </cell>
        </row>
        <row r="359">
          <cell r="A359">
            <v>42463</v>
          </cell>
          <cell r="B359">
            <v>15821.52</v>
          </cell>
        </row>
        <row r="360">
          <cell r="A360">
            <v>42470</v>
          </cell>
          <cell r="B360">
            <v>16848.03</v>
          </cell>
        </row>
        <row r="361">
          <cell r="A361">
            <v>42477</v>
          </cell>
          <cell r="B361">
            <v>17572.490000000002</v>
          </cell>
        </row>
        <row r="362">
          <cell r="A362">
            <v>42484</v>
          </cell>
          <cell r="B362">
            <v>16666.05</v>
          </cell>
        </row>
        <row r="363">
          <cell r="A363">
            <v>42491</v>
          </cell>
          <cell r="B363">
            <v>16106.72</v>
          </cell>
        </row>
        <row r="364">
          <cell r="A364">
            <v>42498</v>
          </cell>
          <cell r="B364">
            <v>16412.21</v>
          </cell>
        </row>
        <row r="365">
          <cell r="A365">
            <v>42505</v>
          </cell>
          <cell r="B365">
            <v>16736.349999999999</v>
          </cell>
        </row>
        <row r="366">
          <cell r="A366">
            <v>42512</v>
          </cell>
          <cell r="B366">
            <v>16834.84</v>
          </cell>
        </row>
        <row r="367">
          <cell r="A367">
            <v>42519</v>
          </cell>
          <cell r="B367">
            <v>16642.23</v>
          </cell>
        </row>
        <row r="368">
          <cell r="A368">
            <v>42526</v>
          </cell>
          <cell r="B368">
            <v>16601.36</v>
          </cell>
        </row>
        <row r="369">
          <cell r="A369">
            <v>42533</v>
          </cell>
          <cell r="B369">
            <v>15599.66</v>
          </cell>
        </row>
        <row r="370">
          <cell r="A370">
            <v>42540</v>
          </cell>
          <cell r="B370">
            <v>14952.02</v>
          </cell>
        </row>
        <row r="371">
          <cell r="A371">
            <v>42547</v>
          </cell>
          <cell r="B371">
            <v>15682.48</v>
          </cell>
        </row>
        <row r="372">
          <cell r="A372">
            <v>42554</v>
          </cell>
          <cell r="B372">
            <v>15106.98</v>
          </cell>
        </row>
        <row r="373">
          <cell r="A373">
            <v>42561</v>
          </cell>
          <cell r="B373">
            <v>16497.849999999999</v>
          </cell>
        </row>
        <row r="374">
          <cell r="A374">
            <v>42568</v>
          </cell>
          <cell r="B374">
            <v>16627.25</v>
          </cell>
        </row>
        <row r="375">
          <cell r="A375">
            <v>42575</v>
          </cell>
          <cell r="B375">
            <v>16569.27</v>
          </cell>
        </row>
        <row r="376">
          <cell r="A376">
            <v>42582</v>
          </cell>
          <cell r="B376">
            <v>16254.45</v>
          </cell>
        </row>
        <row r="377">
          <cell r="A377">
            <v>42589</v>
          </cell>
          <cell r="B377">
            <v>16919.919999999998</v>
          </cell>
        </row>
        <row r="378">
          <cell r="A378">
            <v>42596</v>
          </cell>
          <cell r="B378">
            <v>16545.82</v>
          </cell>
        </row>
        <row r="379">
          <cell r="A379">
            <v>42603</v>
          </cell>
          <cell r="B379">
            <v>16360.71</v>
          </cell>
        </row>
        <row r="380">
          <cell r="A380">
            <v>42610</v>
          </cell>
          <cell r="B380">
            <v>16925.68</v>
          </cell>
        </row>
        <row r="381">
          <cell r="A381">
            <v>42617</v>
          </cell>
          <cell r="B381">
            <v>16965.759999999998</v>
          </cell>
        </row>
        <row r="382">
          <cell r="A382">
            <v>42624</v>
          </cell>
          <cell r="B382">
            <v>16519.29</v>
          </cell>
        </row>
        <row r="383">
          <cell r="A383">
            <v>42631</v>
          </cell>
          <cell r="B383">
            <v>16754.02</v>
          </cell>
        </row>
        <row r="384">
          <cell r="A384">
            <v>42638</v>
          </cell>
          <cell r="B384">
            <v>16449.84</v>
          </cell>
        </row>
        <row r="385">
          <cell r="A385">
            <v>42645</v>
          </cell>
          <cell r="B385">
            <v>16860.09</v>
          </cell>
        </row>
        <row r="386">
          <cell r="A386">
            <v>42652</v>
          </cell>
          <cell r="B386">
            <v>16856.37</v>
          </cell>
        </row>
        <row r="387">
          <cell r="A387">
            <v>42659</v>
          </cell>
          <cell r="B387">
            <v>17184.59</v>
          </cell>
        </row>
        <row r="388">
          <cell r="A388">
            <v>42666</v>
          </cell>
          <cell r="B388">
            <v>17446.41</v>
          </cell>
        </row>
        <row r="389">
          <cell r="A389">
            <v>42673</v>
          </cell>
          <cell r="B389">
            <v>16905.36</v>
          </cell>
        </row>
        <row r="390">
          <cell r="A390">
            <v>42680</v>
          </cell>
          <cell r="B390">
            <v>17374.79</v>
          </cell>
        </row>
        <row r="391">
          <cell r="A391">
            <v>42687</v>
          </cell>
          <cell r="B391">
            <v>17967.41</v>
          </cell>
        </row>
        <row r="392">
          <cell r="A392">
            <v>42694</v>
          </cell>
          <cell r="B392">
            <v>18381.22</v>
          </cell>
        </row>
        <row r="393">
          <cell r="A393">
            <v>42701</v>
          </cell>
          <cell r="B393">
            <v>18426.080000000002</v>
          </cell>
        </row>
        <row r="394">
          <cell r="A394">
            <v>42708</v>
          </cell>
          <cell r="B394">
            <v>18996.37</v>
          </cell>
        </row>
        <row r="395">
          <cell r="A395">
            <v>42715</v>
          </cell>
          <cell r="B395">
            <v>19401.150000000001</v>
          </cell>
        </row>
        <row r="396">
          <cell r="A396">
            <v>42722</v>
          </cell>
          <cell r="B396">
            <v>19427.669999999998</v>
          </cell>
        </row>
        <row r="397">
          <cell r="A397">
            <v>42729</v>
          </cell>
          <cell r="B397">
            <v>19114.37</v>
          </cell>
        </row>
        <row r="398">
          <cell r="A398">
            <v>42736</v>
          </cell>
          <cell r="B398">
            <v>19454.330000000002</v>
          </cell>
        </row>
        <row r="399">
          <cell r="A399">
            <v>42743</v>
          </cell>
          <cell r="B399">
            <v>19287.28</v>
          </cell>
        </row>
        <row r="400">
          <cell r="A400">
            <v>42750</v>
          </cell>
          <cell r="B400">
            <v>19137.91</v>
          </cell>
        </row>
        <row r="401">
          <cell r="A401">
            <v>42757</v>
          </cell>
          <cell r="B401">
            <v>19467.400000000001</v>
          </cell>
        </row>
        <row r="402">
          <cell r="A402">
            <v>42764</v>
          </cell>
          <cell r="B402">
            <v>18918.2</v>
          </cell>
        </row>
        <row r="403">
          <cell r="A403">
            <v>42771</v>
          </cell>
          <cell r="B403">
            <v>19378.93</v>
          </cell>
        </row>
        <row r="404">
          <cell r="A404">
            <v>42778</v>
          </cell>
          <cell r="B404">
            <v>19234.62</v>
          </cell>
        </row>
        <row r="405">
          <cell r="A405">
            <v>42785</v>
          </cell>
          <cell r="B405">
            <v>19283.54</v>
          </cell>
        </row>
        <row r="406">
          <cell r="A406">
            <v>42792</v>
          </cell>
          <cell r="B406">
            <v>19469.169999999998</v>
          </cell>
        </row>
        <row r="407">
          <cell r="A407">
            <v>42799</v>
          </cell>
          <cell r="B407">
            <v>19604.61</v>
          </cell>
        </row>
        <row r="408">
          <cell r="A408">
            <v>42806</v>
          </cell>
          <cell r="B408">
            <v>19521.59</v>
          </cell>
        </row>
        <row r="409">
          <cell r="A409">
            <v>42813</v>
          </cell>
          <cell r="B409">
            <v>19262.53</v>
          </cell>
        </row>
        <row r="410">
          <cell r="A410">
            <v>42820</v>
          </cell>
          <cell r="B410">
            <v>18909.259999999998</v>
          </cell>
        </row>
        <row r="411">
          <cell r="A411">
            <v>42827</v>
          </cell>
          <cell r="B411">
            <v>18664.63</v>
          </cell>
        </row>
        <row r="412">
          <cell r="A412">
            <v>42834</v>
          </cell>
          <cell r="B412">
            <v>18335.63</v>
          </cell>
        </row>
        <row r="413">
          <cell r="A413">
            <v>42841</v>
          </cell>
          <cell r="B413">
            <v>18620.75</v>
          </cell>
        </row>
        <row r="414">
          <cell r="A414">
            <v>42848</v>
          </cell>
          <cell r="B414">
            <v>19196.740000000002</v>
          </cell>
        </row>
        <row r="415">
          <cell r="A415">
            <v>42855</v>
          </cell>
          <cell r="B415">
            <v>19445.7</v>
          </cell>
        </row>
        <row r="416">
          <cell r="A416">
            <v>42862</v>
          </cell>
          <cell r="B416">
            <v>19883.900000000001</v>
          </cell>
        </row>
        <row r="417">
          <cell r="A417">
            <v>42869</v>
          </cell>
          <cell r="B417">
            <v>19590.759999999998</v>
          </cell>
        </row>
        <row r="418">
          <cell r="A418">
            <v>42876</v>
          </cell>
          <cell r="B418">
            <v>19686.84</v>
          </cell>
        </row>
        <row r="419">
          <cell r="A419">
            <v>42883</v>
          </cell>
          <cell r="B419">
            <v>20177.28</v>
          </cell>
        </row>
        <row r="420">
          <cell r="A420">
            <v>42890</v>
          </cell>
          <cell r="B420">
            <v>20013.259999999998</v>
          </cell>
        </row>
        <row r="421">
          <cell r="A421">
            <v>42897</v>
          </cell>
          <cell r="B421">
            <v>19943.259999999998</v>
          </cell>
        </row>
        <row r="422">
          <cell r="A422">
            <v>42904</v>
          </cell>
          <cell r="B422">
            <v>20132.669999999998</v>
          </cell>
        </row>
        <row r="423">
          <cell r="A423">
            <v>42911</v>
          </cell>
          <cell r="B423">
            <v>20033.43</v>
          </cell>
        </row>
        <row r="424">
          <cell r="A424">
            <v>42918</v>
          </cell>
          <cell r="B424">
            <v>19929.09</v>
          </cell>
        </row>
        <row r="425">
          <cell r="A425">
            <v>42925</v>
          </cell>
          <cell r="B425">
            <v>20118.86</v>
          </cell>
        </row>
        <row r="426">
          <cell r="A426">
            <v>42932</v>
          </cell>
          <cell r="B426">
            <v>20099.75</v>
          </cell>
        </row>
        <row r="427">
          <cell r="A427">
            <v>42939</v>
          </cell>
          <cell r="B427">
            <v>19959.84</v>
          </cell>
        </row>
        <row r="428">
          <cell r="A428">
            <v>42946</v>
          </cell>
          <cell r="B428">
            <v>19952.330000000002</v>
          </cell>
        </row>
        <row r="429">
          <cell r="A429">
            <v>42953</v>
          </cell>
          <cell r="B429">
            <v>19729.740000000002</v>
          </cell>
        </row>
        <row r="430">
          <cell r="A430">
            <v>42960</v>
          </cell>
          <cell r="B430">
            <v>19470.41</v>
          </cell>
        </row>
        <row r="431">
          <cell r="A431">
            <v>42967</v>
          </cell>
          <cell r="B431">
            <v>19452.61</v>
          </cell>
        </row>
        <row r="432">
          <cell r="A432">
            <v>42974</v>
          </cell>
          <cell r="B432">
            <v>19691.47</v>
          </cell>
        </row>
        <row r="433">
          <cell r="A433">
            <v>42981</v>
          </cell>
          <cell r="B433">
            <v>19274.82</v>
          </cell>
        </row>
        <row r="434">
          <cell r="A434">
            <v>42988</v>
          </cell>
          <cell r="B434">
            <v>19909.5</v>
          </cell>
        </row>
        <row r="435">
          <cell r="A435">
            <v>42995</v>
          </cell>
          <cell r="B435">
            <v>20296.45</v>
          </cell>
        </row>
        <row r="436">
          <cell r="A436">
            <v>43002</v>
          </cell>
          <cell r="B436">
            <v>20356.28</v>
          </cell>
        </row>
        <row r="437">
          <cell r="A437">
            <v>43009</v>
          </cell>
          <cell r="B437">
            <v>20690.71</v>
          </cell>
        </row>
        <row r="438">
          <cell r="A438">
            <v>43016</v>
          </cell>
          <cell r="B438">
            <v>21155.18</v>
          </cell>
        </row>
        <row r="439">
          <cell r="A439">
            <v>43023</v>
          </cell>
          <cell r="B439">
            <v>21457.64</v>
          </cell>
        </row>
        <row r="440">
          <cell r="A440">
            <v>43030</v>
          </cell>
          <cell r="B440">
            <v>22008.45</v>
          </cell>
        </row>
        <row r="441">
          <cell r="A441">
            <v>43037</v>
          </cell>
          <cell r="B441">
            <v>22539.119999999999</v>
          </cell>
        </row>
        <row r="442">
          <cell r="A442">
            <v>43044</v>
          </cell>
          <cell r="B442">
            <v>22681.42</v>
          </cell>
        </row>
        <row r="443">
          <cell r="A443">
            <v>43051</v>
          </cell>
          <cell r="B443">
            <v>22396.799999999999</v>
          </cell>
        </row>
        <row r="444">
          <cell r="A444">
            <v>43058</v>
          </cell>
          <cell r="B444">
            <v>22550.85</v>
          </cell>
        </row>
        <row r="445">
          <cell r="A445">
            <v>43065</v>
          </cell>
          <cell r="B445">
            <v>22819.03</v>
          </cell>
        </row>
        <row r="446">
          <cell r="A446">
            <v>43072</v>
          </cell>
          <cell r="B446">
            <v>22811.08</v>
          </cell>
        </row>
        <row r="447">
          <cell r="A447">
            <v>43079</v>
          </cell>
          <cell r="B447">
            <v>22553.22</v>
          </cell>
        </row>
        <row r="448">
          <cell r="A448">
            <v>43086</v>
          </cell>
          <cell r="B448">
            <v>22902.76</v>
          </cell>
        </row>
        <row r="449">
          <cell r="A449">
            <v>43093</v>
          </cell>
          <cell r="B449">
            <v>22764.94</v>
          </cell>
        </row>
        <row r="450">
          <cell r="A450">
            <v>43100</v>
          </cell>
          <cell r="B450">
            <v>23714.53</v>
          </cell>
        </row>
        <row r="451">
          <cell r="A451">
            <v>43107</v>
          </cell>
          <cell r="B451">
            <v>23653.82</v>
          </cell>
        </row>
        <row r="452">
          <cell r="A452">
            <v>43114</v>
          </cell>
          <cell r="B452">
            <v>23808.06</v>
          </cell>
        </row>
        <row r="453">
          <cell r="A453">
            <v>43121</v>
          </cell>
          <cell r="B453">
            <v>23631.88</v>
          </cell>
        </row>
        <row r="454">
          <cell r="A454">
            <v>43128</v>
          </cell>
          <cell r="B454">
            <v>23274.53</v>
          </cell>
        </row>
        <row r="455">
          <cell r="A455">
            <v>43135</v>
          </cell>
          <cell r="B455">
            <v>21382.62</v>
          </cell>
        </row>
        <row r="456">
          <cell r="A456">
            <v>43142</v>
          </cell>
          <cell r="B456">
            <v>21720.25</v>
          </cell>
        </row>
        <row r="457">
          <cell r="A457">
            <v>43149</v>
          </cell>
          <cell r="B457">
            <v>21892.78</v>
          </cell>
        </row>
        <row r="458">
          <cell r="A458">
            <v>43156</v>
          </cell>
          <cell r="B458">
            <v>21181.64</v>
          </cell>
        </row>
        <row r="459">
          <cell r="A459">
            <v>43163</v>
          </cell>
          <cell r="B459">
            <v>21469.200000000001</v>
          </cell>
        </row>
        <row r="460">
          <cell r="A460">
            <v>43170</v>
          </cell>
          <cell r="B460">
            <v>21676.51</v>
          </cell>
        </row>
        <row r="461">
          <cell r="A461">
            <v>43177</v>
          </cell>
          <cell r="B461">
            <v>20617.86</v>
          </cell>
        </row>
        <row r="462">
          <cell r="A462">
            <v>43184</v>
          </cell>
          <cell r="B462">
            <v>21454.3</v>
          </cell>
        </row>
        <row r="463">
          <cell r="A463">
            <v>43191</v>
          </cell>
          <cell r="B463">
            <v>21567.52</v>
          </cell>
        </row>
        <row r="464">
          <cell r="A464">
            <v>43198</v>
          </cell>
          <cell r="B464">
            <v>21778.74</v>
          </cell>
        </row>
        <row r="465">
          <cell r="A465">
            <v>43205</v>
          </cell>
          <cell r="B465">
            <v>22162.240000000002</v>
          </cell>
        </row>
        <row r="466">
          <cell r="A466">
            <v>43212</v>
          </cell>
          <cell r="B466">
            <v>22467.87</v>
          </cell>
        </row>
        <row r="467">
          <cell r="A467">
            <v>43219</v>
          </cell>
          <cell r="B467">
            <v>22472.78</v>
          </cell>
        </row>
        <row r="468">
          <cell r="A468">
            <v>43226</v>
          </cell>
          <cell r="B468">
            <v>22758.48</v>
          </cell>
        </row>
        <row r="469">
          <cell r="A469">
            <v>43233</v>
          </cell>
          <cell r="B469">
            <v>22930.36</v>
          </cell>
        </row>
        <row r="470">
          <cell r="A470">
            <v>43240</v>
          </cell>
          <cell r="B470">
            <v>22450.79</v>
          </cell>
        </row>
        <row r="471">
          <cell r="A471">
            <v>43247</v>
          </cell>
          <cell r="B471">
            <v>22171.35</v>
          </cell>
        </row>
        <row r="472">
          <cell r="A472">
            <v>43254</v>
          </cell>
          <cell r="B472">
            <v>22694.5</v>
          </cell>
        </row>
        <row r="473">
          <cell r="A473">
            <v>43261</v>
          </cell>
          <cell r="B473">
            <v>22851.75</v>
          </cell>
        </row>
        <row r="474">
          <cell r="A474">
            <v>43268</v>
          </cell>
          <cell r="B474">
            <v>22516.83</v>
          </cell>
        </row>
        <row r="475">
          <cell r="A475">
            <v>43275</v>
          </cell>
          <cell r="B475">
            <v>22304.51</v>
          </cell>
        </row>
        <row r="476">
          <cell r="A476">
            <v>43282</v>
          </cell>
          <cell r="B476">
            <v>21788.14</v>
          </cell>
        </row>
        <row r="477">
          <cell r="A477">
            <v>43289</v>
          </cell>
          <cell r="B477">
            <v>22597.35</v>
          </cell>
        </row>
        <row r="478">
          <cell r="A478">
            <v>43296</v>
          </cell>
          <cell r="B478">
            <v>22697.88</v>
          </cell>
        </row>
        <row r="479">
          <cell r="A479">
            <v>43303</v>
          </cell>
          <cell r="B479">
            <v>22712.75</v>
          </cell>
        </row>
        <row r="480">
          <cell r="A480">
            <v>43310</v>
          </cell>
          <cell r="B480">
            <v>22525.18</v>
          </cell>
        </row>
        <row r="481">
          <cell r="A481">
            <v>43317</v>
          </cell>
          <cell r="B481">
            <v>22298.080000000002</v>
          </cell>
        </row>
        <row r="482">
          <cell r="A482">
            <v>43324</v>
          </cell>
          <cell r="B482">
            <v>22270.38</v>
          </cell>
        </row>
        <row r="483">
          <cell r="A483">
            <v>43331</v>
          </cell>
          <cell r="B483">
            <v>22601.77</v>
          </cell>
        </row>
        <row r="484">
          <cell r="A484">
            <v>43338</v>
          </cell>
          <cell r="B484">
            <v>22865.15</v>
          </cell>
        </row>
        <row r="485">
          <cell r="A485">
            <v>43345</v>
          </cell>
          <cell r="B485">
            <v>22307.06</v>
          </cell>
        </row>
        <row r="486">
          <cell r="A486">
            <v>43352</v>
          </cell>
          <cell r="B486">
            <v>23094.67</v>
          </cell>
        </row>
        <row r="487">
          <cell r="A487">
            <v>43359</v>
          </cell>
          <cell r="B487">
            <v>23869.93</v>
          </cell>
        </row>
        <row r="488">
          <cell r="A488">
            <v>43366</v>
          </cell>
          <cell r="B488">
            <v>24120.04</v>
          </cell>
        </row>
        <row r="489">
          <cell r="A489">
            <v>43373</v>
          </cell>
          <cell r="B489">
            <v>23783.72</v>
          </cell>
        </row>
        <row r="490">
          <cell r="A490">
            <v>43380</v>
          </cell>
          <cell r="B490">
            <v>22694.66</v>
          </cell>
        </row>
        <row r="491">
          <cell r="A491">
            <v>43387</v>
          </cell>
          <cell r="B491">
            <v>22532.080000000002</v>
          </cell>
        </row>
        <row r="492">
          <cell r="A492">
            <v>43394</v>
          </cell>
          <cell r="B492">
            <v>21184.6</v>
          </cell>
        </row>
        <row r="493">
          <cell r="A493">
            <v>43401</v>
          </cell>
          <cell r="B493">
            <v>22243.66</v>
          </cell>
        </row>
        <row r="494">
          <cell r="A494">
            <v>43408</v>
          </cell>
          <cell r="B494">
            <v>22250.25</v>
          </cell>
        </row>
        <row r="495">
          <cell r="A495">
            <v>43415</v>
          </cell>
          <cell r="B495">
            <v>21680.34</v>
          </cell>
        </row>
        <row r="496">
          <cell r="A496">
            <v>43422</v>
          </cell>
          <cell r="B496">
            <v>21646.55</v>
          </cell>
        </row>
        <row r="497">
          <cell r="A497">
            <v>43429</v>
          </cell>
          <cell r="B497">
            <v>22351.06</v>
          </cell>
        </row>
        <row r="498">
          <cell r="A498">
            <v>43436</v>
          </cell>
          <cell r="B498">
            <v>21678.68</v>
          </cell>
        </row>
        <row r="499">
          <cell r="A499">
            <v>43443</v>
          </cell>
          <cell r="B499">
            <v>21374.83</v>
          </cell>
        </row>
        <row r="500">
          <cell r="A500">
            <v>43450</v>
          </cell>
          <cell r="B500">
            <v>20166.189999999999</v>
          </cell>
        </row>
        <row r="501">
          <cell r="A501">
            <v>43457</v>
          </cell>
          <cell r="B501">
            <v>20014.77</v>
          </cell>
        </row>
        <row r="502">
          <cell r="A502">
            <v>43464</v>
          </cell>
          <cell r="B502">
            <v>19561.96</v>
          </cell>
        </row>
        <row r="503">
          <cell r="A503">
            <v>43471</v>
          </cell>
          <cell r="B503">
            <v>20359.7</v>
          </cell>
        </row>
        <row r="504">
          <cell r="A504">
            <v>43478</v>
          </cell>
          <cell r="B504">
            <v>20666.07</v>
          </cell>
        </row>
        <row r="505">
          <cell r="A505">
            <v>43485</v>
          </cell>
          <cell r="B505">
            <v>20773.560000000001</v>
          </cell>
        </row>
        <row r="506">
          <cell r="A506">
            <v>43492</v>
          </cell>
          <cell r="B506">
            <v>20788.39</v>
          </cell>
        </row>
        <row r="507">
          <cell r="A507">
            <v>43499</v>
          </cell>
          <cell r="B507">
            <v>20333.169999999998</v>
          </cell>
        </row>
        <row r="508">
          <cell r="A508">
            <v>43506</v>
          </cell>
          <cell r="B508">
            <v>20900.63</v>
          </cell>
        </row>
        <row r="509">
          <cell r="A509">
            <v>43513</v>
          </cell>
          <cell r="B509">
            <v>21425.51</v>
          </cell>
        </row>
        <row r="510">
          <cell r="A510">
            <v>43520</v>
          </cell>
          <cell r="B510">
            <v>21602.69</v>
          </cell>
        </row>
        <row r="511">
          <cell r="A511">
            <v>43527</v>
          </cell>
          <cell r="B511">
            <v>21025.56</v>
          </cell>
        </row>
        <row r="512">
          <cell r="A512">
            <v>43534</v>
          </cell>
          <cell r="B512">
            <v>21450.85</v>
          </cell>
        </row>
        <row r="513">
          <cell r="A513">
            <v>43541</v>
          </cell>
          <cell r="B513">
            <v>21627.34</v>
          </cell>
        </row>
        <row r="514">
          <cell r="A514">
            <v>43548</v>
          </cell>
          <cell r="B514">
            <v>21205.81</v>
          </cell>
        </row>
        <row r="515">
          <cell r="A515">
            <v>43555</v>
          </cell>
          <cell r="B515">
            <v>21807.5</v>
          </cell>
        </row>
        <row r="516">
          <cell r="A516">
            <v>43562</v>
          </cell>
          <cell r="B516">
            <v>21870.560000000001</v>
          </cell>
        </row>
        <row r="517">
          <cell r="A517">
            <v>43569</v>
          </cell>
          <cell r="B517">
            <v>22200.560000000001</v>
          </cell>
        </row>
        <row r="518">
          <cell r="A518">
            <v>43576</v>
          </cell>
          <cell r="B518">
            <v>22258.73</v>
          </cell>
        </row>
        <row r="519">
          <cell r="A519">
            <v>43590</v>
          </cell>
          <cell r="B519">
            <v>21344.92</v>
          </cell>
        </row>
        <row r="520">
          <cell r="A520">
            <v>43597</v>
          </cell>
          <cell r="B520">
            <v>21250.09</v>
          </cell>
        </row>
        <row r="521">
          <cell r="A521">
            <v>43604</v>
          </cell>
          <cell r="B521">
            <v>21117.22</v>
          </cell>
        </row>
        <row r="522">
          <cell r="A522">
            <v>43611</v>
          </cell>
          <cell r="B522">
            <v>20601.189999999999</v>
          </cell>
        </row>
        <row r="523">
          <cell r="A523">
            <v>43618</v>
          </cell>
          <cell r="B523">
            <v>20884.71</v>
          </cell>
        </row>
        <row r="524">
          <cell r="A524">
            <v>43625</v>
          </cell>
          <cell r="B524">
            <v>21116.89</v>
          </cell>
        </row>
        <row r="525">
          <cell r="A525">
            <v>43632</v>
          </cell>
          <cell r="B525">
            <v>21258.639999999999</v>
          </cell>
        </row>
        <row r="526">
          <cell r="A526">
            <v>43639</v>
          </cell>
          <cell r="B526">
            <v>21275.919999999998</v>
          </cell>
        </row>
        <row r="527">
          <cell r="A527">
            <v>43646</v>
          </cell>
          <cell r="B527">
            <v>21746.38</v>
          </cell>
        </row>
        <row r="528">
          <cell r="A528">
            <v>43653</v>
          </cell>
          <cell r="B528">
            <v>21685.9</v>
          </cell>
        </row>
        <row r="529">
          <cell r="A529">
            <v>43660</v>
          </cell>
          <cell r="B529">
            <v>21466.99</v>
          </cell>
        </row>
        <row r="530">
          <cell r="A530">
            <v>43667</v>
          </cell>
          <cell r="B530">
            <v>21658.15</v>
          </cell>
        </row>
        <row r="531">
          <cell r="A531">
            <v>43674</v>
          </cell>
          <cell r="B531">
            <v>21087.16</v>
          </cell>
        </row>
        <row r="532">
          <cell r="A532">
            <v>43681</v>
          </cell>
          <cell r="B532">
            <v>20684.82</v>
          </cell>
        </row>
        <row r="533">
          <cell r="A533">
            <v>43688</v>
          </cell>
          <cell r="B533">
            <v>20418.810000000001</v>
          </cell>
        </row>
        <row r="534">
          <cell r="A534">
            <v>43695</v>
          </cell>
          <cell r="B534">
            <v>20710.91</v>
          </cell>
        </row>
        <row r="535">
          <cell r="A535">
            <v>43702</v>
          </cell>
          <cell r="B535">
            <v>20704.37</v>
          </cell>
        </row>
        <row r="536">
          <cell r="A536">
            <v>43709</v>
          </cell>
          <cell r="B536">
            <v>21199.57</v>
          </cell>
        </row>
        <row r="537">
          <cell r="A537">
            <v>43716</v>
          </cell>
          <cell r="B537">
            <v>21988.29</v>
          </cell>
        </row>
        <row r="538">
          <cell r="A538">
            <v>43723</v>
          </cell>
          <cell r="B538">
            <v>22079.09</v>
          </cell>
        </row>
        <row r="539">
          <cell r="A539">
            <v>43730</v>
          </cell>
          <cell r="B539">
            <v>21878.9</v>
          </cell>
        </row>
        <row r="540">
          <cell r="A540">
            <v>43737</v>
          </cell>
          <cell r="B540">
            <v>21410.2</v>
          </cell>
        </row>
        <row r="541">
          <cell r="A541">
            <v>43744</v>
          </cell>
          <cell r="B541">
            <v>21798.87</v>
          </cell>
        </row>
        <row r="542">
          <cell r="A542">
            <v>43751</v>
          </cell>
          <cell r="B542">
            <v>22492.68</v>
          </cell>
        </row>
        <row r="543">
          <cell r="A543">
            <v>43758</v>
          </cell>
          <cell r="B543">
            <v>22799.81</v>
          </cell>
        </row>
        <row r="544">
          <cell r="A544">
            <v>43765</v>
          </cell>
          <cell r="B544">
            <v>22850.77</v>
          </cell>
        </row>
        <row r="545">
          <cell r="A545">
            <v>43772</v>
          </cell>
          <cell r="B545">
            <v>23391.87</v>
          </cell>
        </row>
        <row r="546">
          <cell r="A546">
            <v>43779</v>
          </cell>
          <cell r="B546">
            <v>23303.32</v>
          </cell>
        </row>
        <row r="547">
          <cell r="A547">
            <v>43786</v>
          </cell>
          <cell r="B547">
            <v>23112.880000000001</v>
          </cell>
        </row>
        <row r="548">
          <cell r="A548">
            <v>43793</v>
          </cell>
          <cell r="B548">
            <v>23293.91</v>
          </cell>
        </row>
        <row r="549">
          <cell r="A549">
            <v>43800</v>
          </cell>
          <cell r="B549">
            <v>23354.400000000001</v>
          </cell>
        </row>
        <row r="550">
          <cell r="A550">
            <v>43807</v>
          </cell>
          <cell r="B550">
            <v>24023.1</v>
          </cell>
        </row>
        <row r="551">
          <cell r="A551">
            <v>43814</v>
          </cell>
          <cell r="B551">
            <v>23816.63</v>
          </cell>
        </row>
        <row r="552">
          <cell r="A552">
            <v>43821</v>
          </cell>
          <cell r="B552">
            <v>23837.72</v>
          </cell>
        </row>
        <row r="553">
          <cell r="A553">
            <v>43828</v>
          </cell>
          <cell r="B553">
            <v>23656.62</v>
          </cell>
        </row>
        <row r="554">
          <cell r="A554">
            <v>43835</v>
          </cell>
          <cell r="B554">
            <v>23850.57</v>
          </cell>
        </row>
        <row r="555">
          <cell r="A555">
            <v>43842</v>
          </cell>
          <cell r="B555">
            <v>24041.26</v>
          </cell>
        </row>
        <row r="556">
          <cell r="A556">
            <v>43849</v>
          </cell>
          <cell r="B556">
            <v>23827.18</v>
          </cell>
        </row>
        <row r="557">
          <cell r="A557">
            <v>43856</v>
          </cell>
          <cell r="B557">
            <v>23205.18</v>
          </cell>
        </row>
        <row r="558">
          <cell r="A558">
            <v>43863</v>
          </cell>
          <cell r="B558">
            <v>23827.98</v>
          </cell>
        </row>
        <row r="559">
          <cell r="A559">
            <v>43870</v>
          </cell>
          <cell r="B559">
            <v>23687.59</v>
          </cell>
        </row>
        <row r="560">
          <cell r="A560">
            <v>43877</v>
          </cell>
          <cell r="B560">
            <v>23386.74</v>
          </cell>
        </row>
        <row r="561">
          <cell r="A561">
            <v>43884</v>
          </cell>
          <cell r="B561">
            <v>21142.959999999999</v>
          </cell>
        </row>
        <row r="562">
          <cell r="A562">
            <v>43891</v>
          </cell>
          <cell r="B562">
            <v>20749.75</v>
          </cell>
        </row>
        <row r="563">
          <cell r="A563">
            <v>43898</v>
          </cell>
          <cell r="B563">
            <v>17431.05</v>
          </cell>
        </row>
        <row r="564">
          <cell r="A564">
            <v>43905</v>
          </cell>
          <cell r="B564">
            <v>16552.830000000002</v>
          </cell>
        </row>
        <row r="565">
          <cell r="A565">
            <v>43912</v>
          </cell>
          <cell r="B565">
            <v>19389.43</v>
          </cell>
        </row>
        <row r="566">
          <cell r="A566">
            <v>43919</v>
          </cell>
          <cell r="B566">
            <v>17820.189999999999</v>
          </cell>
        </row>
        <row r="567">
          <cell r="A567">
            <v>43926</v>
          </cell>
          <cell r="B567">
            <v>19498.5</v>
          </cell>
        </row>
        <row r="568">
          <cell r="A568">
            <v>43933</v>
          </cell>
          <cell r="B568">
            <v>19897.259999999998</v>
          </cell>
        </row>
        <row r="569">
          <cell r="A569">
            <v>43940</v>
          </cell>
          <cell r="B569">
            <v>19262</v>
          </cell>
        </row>
        <row r="570">
          <cell r="A570">
            <v>43947</v>
          </cell>
          <cell r="B570">
            <v>19619.349999999999</v>
          </cell>
        </row>
        <row r="571">
          <cell r="A571">
            <v>43954</v>
          </cell>
          <cell r="B571">
            <v>20179.09</v>
          </cell>
        </row>
        <row r="572">
          <cell r="A572">
            <v>43961</v>
          </cell>
          <cell r="B572">
            <v>20037.47</v>
          </cell>
        </row>
        <row r="573">
          <cell r="A573">
            <v>43968</v>
          </cell>
          <cell r="B573">
            <v>20388.16</v>
          </cell>
        </row>
        <row r="574">
          <cell r="A574">
            <v>43975</v>
          </cell>
          <cell r="B574">
            <v>21877.89</v>
          </cell>
        </row>
        <row r="575">
          <cell r="A575">
            <v>43982</v>
          </cell>
          <cell r="B575">
            <v>22863.73</v>
          </cell>
        </row>
        <row r="576">
          <cell r="A576">
            <v>43989</v>
          </cell>
          <cell r="B576">
            <v>22305.48</v>
          </cell>
        </row>
        <row r="577">
          <cell r="A577">
            <v>43996</v>
          </cell>
          <cell r="B577">
            <v>22478.79</v>
          </cell>
        </row>
        <row r="578">
          <cell r="A578">
            <v>44003</v>
          </cell>
          <cell r="B578">
            <v>22512.080000000002</v>
          </cell>
        </row>
        <row r="579">
          <cell r="A579">
            <v>44010</v>
          </cell>
          <cell r="B579">
            <v>22306.48</v>
          </cell>
        </row>
        <row r="580">
          <cell r="A580">
            <v>44017</v>
          </cell>
          <cell r="B580">
            <v>22290.81</v>
          </cell>
        </row>
        <row r="581">
          <cell r="A581">
            <v>44024</v>
          </cell>
          <cell r="B581">
            <v>22696.42</v>
          </cell>
        </row>
        <row r="582">
          <cell r="A582">
            <v>44031</v>
          </cell>
          <cell r="B582">
            <v>22751.61</v>
          </cell>
        </row>
        <row r="583">
          <cell r="A583">
            <v>44038</v>
          </cell>
          <cell r="B583">
            <v>21710</v>
          </cell>
        </row>
        <row r="584">
          <cell r="A584">
            <v>44045</v>
          </cell>
          <cell r="B584">
            <v>22329.94</v>
          </cell>
        </row>
        <row r="585">
          <cell r="A585">
            <v>44052</v>
          </cell>
          <cell r="B585">
            <v>23289.360000000001</v>
          </cell>
        </row>
        <row r="586">
          <cell r="A586">
            <v>44059</v>
          </cell>
          <cell r="B586">
            <v>22920.3</v>
          </cell>
        </row>
        <row r="587">
          <cell r="A587">
            <v>44066</v>
          </cell>
          <cell r="B587">
            <v>22882.65</v>
          </cell>
        </row>
        <row r="588">
          <cell r="A588">
            <v>44073</v>
          </cell>
          <cell r="B588">
            <v>23205.43</v>
          </cell>
        </row>
        <row r="589">
          <cell r="A589">
            <v>44080</v>
          </cell>
          <cell r="B589">
            <v>23406.49</v>
          </cell>
        </row>
        <row r="590">
          <cell r="A590">
            <v>44087</v>
          </cell>
          <cell r="B590">
            <v>23360.3</v>
          </cell>
        </row>
        <row r="591">
          <cell r="A591">
            <v>44094</v>
          </cell>
          <cell r="B591">
            <v>23204.62</v>
          </cell>
        </row>
        <row r="592">
          <cell r="A592">
            <v>44101</v>
          </cell>
          <cell r="B592">
            <v>23029.9</v>
          </cell>
        </row>
        <row r="593">
          <cell r="A593">
            <v>44108</v>
          </cell>
          <cell r="B593">
            <v>23619.69</v>
          </cell>
        </row>
        <row r="594">
          <cell r="A594">
            <v>44115</v>
          </cell>
          <cell r="B594">
            <v>23410.63</v>
          </cell>
        </row>
        <row r="595">
          <cell r="A595">
            <v>44122</v>
          </cell>
          <cell r="B595">
            <v>23516.59</v>
          </cell>
        </row>
        <row r="596">
          <cell r="A596">
            <v>44129</v>
          </cell>
          <cell r="B596">
            <v>22977.13</v>
          </cell>
        </row>
        <row r="597">
          <cell r="A597">
            <v>44136</v>
          </cell>
          <cell r="B597">
            <v>24325.23</v>
          </cell>
        </row>
        <row r="598">
          <cell r="A598">
            <v>44143</v>
          </cell>
          <cell r="B598">
            <v>25385.87</v>
          </cell>
        </row>
        <row r="599">
          <cell r="A599">
            <v>44150</v>
          </cell>
          <cell r="B599">
            <v>25527.37</v>
          </cell>
        </row>
        <row r="600">
          <cell r="A600">
            <v>44157</v>
          </cell>
          <cell r="B600">
            <v>26644.71</v>
          </cell>
        </row>
        <row r="601">
          <cell r="A601">
            <v>44164</v>
          </cell>
          <cell r="B601">
            <v>26751.24</v>
          </cell>
        </row>
        <row r="602">
          <cell r="A602">
            <v>44171</v>
          </cell>
          <cell r="B602">
            <v>26652.52</v>
          </cell>
        </row>
        <row r="603">
          <cell r="A603">
            <v>44178</v>
          </cell>
          <cell r="B603">
            <v>26763.39</v>
          </cell>
        </row>
        <row r="604">
          <cell r="A604">
            <v>44185</v>
          </cell>
          <cell r="B604">
            <v>26656.61</v>
          </cell>
        </row>
        <row r="605">
          <cell r="A605">
            <v>44192</v>
          </cell>
          <cell r="B605">
            <v>27444.17</v>
          </cell>
        </row>
        <row r="606">
          <cell r="A606">
            <v>44199</v>
          </cell>
          <cell r="B606">
            <v>28139.03</v>
          </cell>
        </row>
        <row r="607">
          <cell r="A607">
            <v>44206</v>
          </cell>
          <cell r="B607">
            <v>28519.18</v>
          </cell>
        </row>
        <row r="608">
          <cell r="A608">
            <v>44213</v>
          </cell>
          <cell r="B608">
            <v>28631.45</v>
          </cell>
        </row>
        <row r="609">
          <cell r="A609">
            <v>44220</v>
          </cell>
          <cell r="B609">
            <v>27663.39</v>
          </cell>
        </row>
        <row r="610">
          <cell r="A610">
            <v>44227</v>
          </cell>
          <cell r="B610">
            <v>28779.19</v>
          </cell>
        </row>
        <row r="611">
          <cell r="A611">
            <v>44234</v>
          </cell>
          <cell r="B611">
            <v>29520.07</v>
          </cell>
        </row>
        <row r="612">
          <cell r="A612">
            <v>44241</v>
          </cell>
          <cell r="B612">
            <v>30017.919999999998</v>
          </cell>
        </row>
        <row r="613">
          <cell r="A613">
            <v>44248</v>
          </cell>
          <cell r="B613">
            <v>28966.01</v>
          </cell>
        </row>
        <row r="614">
          <cell r="A614">
            <v>44255</v>
          </cell>
          <cell r="B614">
            <v>28864.32</v>
          </cell>
        </row>
        <row r="615">
          <cell r="A615">
            <v>44262</v>
          </cell>
          <cell r="B615">
            <v>29717.83</v>
          </cell>
        </row>
        <row r="616">
          <cell r="A616">
            <v>44269</v>
          </cell>
          <cell r="B616">
            <v>29792.05</v>
          </cell>
        </row>
        <row r="617">
          <cell r="A617">
            <v>44276</v>
          </cell>
          <cell r="B617">
            <v>29176.7</v>
          </cell>
        </row>
        <row r="618">
          <cell r="A618">
            <v>44283</v>
          </cell>
          <cell r="B618">
            <v>29854</v>
          </cell>
        </row>
        <row r="619">
          <cell r="A619">
            <v>44290</v>
          </cell>
          <cell r="B619">
            <v>29768.06</v>
          </cell>
        </row>
        <row r="620">
          <cell r="A620">
            <v>44297</v>
          </cell>
          <cell r="B620">
            <v>29683.37</v>
          </cell>
        </row>
        <row r="621">
          <cell r="A621">
            <v>44304</v>
          </cell>
          <cell r="B621">
            <v>29020.63</v>
          </cell>
        </row>
        <row r="622">
          <cell r="A622">
            <v>44311</v>
          </cell>
          <cell r="B622">
            <v>28812.63</v>
          </cell>
        </row>
        <row r="623">
          <cell r="A623">
            <v>44318</v>
          </cell>
          <cell r="B623">
            <v>29357.82</v>
          </cell>
        </row>
        <row r="624">
          <cell r="A624">
            <v>44325</v>
          </cell>
          <cell r="B624">
            <v>28084.47</v>
          </cell>
        </row>
        <row r="625">
          <cell r="A625">
            <v>44332</v>
          </cell>
          <cell r="B625">
            <v>28317.83</v>
          </cell>
        </row>
        <row r="626">
          <cell r="A626">
            <v>44339</v>
          </cell>
          <cell r="B626">
            <v>29149.41</v>
          </cell>
        </row>
        <row r="627">
          <cell r="A627">
            <v>44346</v>
          </cell>
          <cell r="B627">
            <v>28941.52</v>
          </cell>
        </row>
        <row r="628">
          <cell r="A628">
            <v>44353</v>
          </cell>
          <cell r="B628">
            <v>28948.73</v>
          </cell>
        </row>
        <row r="629">
          <cell r="A629">
            <v>44360</v>
          </cell>
          <cell r="B629">
            <v>28964.080000000002</v>
          </cell>
        </row>
        <row r="630">
          <cell r="A630">
            <v>44367</v>
          </cell>
          <cell r="B630">
            <v>29066.18</v>
          </cell>
        </row>
        <row r="631">
          <cell r="A631">
            <v>44374</v>
          </cell>
          <cell r="B631">
            <v>28783.279999999999</v>
          </cell>
        </row>
        <row r="632">
          <cell r="A632">
            <v>44381</v>
          </cell>
          <cell r="B632">
            <v>27940.42</v>
          </cell>
        </row>
        <row r="633">
          <cell r="A633">
            <v>44388</v>
          </cell>
          <cell r="B633">
            <v>28003.08</v>
          </cell>
        </row>
        <row r="634">
          <cell r="A634">
            <v>44395</v>
          </cell>
          <cell r="B634">
            <v>27548</v>
          </cell>
        </row>
        <row r="635">
          <cell r="A635">
            <v>44402</v>
          </cell>
          <cell r="B635">
            <v>27283.59</v>
          </cell>
        </row>
        <row r="636">
          <cell r="A636">
            <v>44409</v>
          </cell>
          <cell r="B636">
            <v>27820.04</v>
          </cell>
        </row>
        <row r="637">
          <cell r="A637">
            <v>44416</v>
          </cell>
          <cell r="B637">
            <v>27977.15</v>
          </cell>
        </row>
        <row r="638">
          <cell r="A638">
            <v>44423</v>
          </cell>
          <cell r="B638">
            <v>27013.25</v>
          </cell>
        </row>
        <row r="639">
          <cell r="A639">
            <v>44430</v>
          </cell>
          <cell r="B639">
            <v>27641.14</v>
          </cell>
        </row>
        <row r="640">
          <cell r="A640">
            <v>44437</v>
          </cell>
          <cell r="B640">
            <v>29128.11</v>
          </cell>
        </row>
        <row r="641">
          <cell r="A641">
            <v>44444</v>
          </cell>
          <cell r="B641">
            <v>30381.84</v>
          </cell>
        </row>
        <row r="642">
          <cell r="A642">
            <v>44451</v>
          </cell>
          <cell r="B642">
            <v>30500.05</v>
          </cell>
        </row>
        <row r="643">
          <cell r="A643">
            <v>44458</v>
          </cell>
          <cell r="B643">
            <v>30248.81</v>
          </cell>
        </row>
        <row r="644">
          <cell r="A644">
            <v>44465</v>
          </cell>
          <cell r="B644">
            <v>28771.07</v>
          </cell>
        </row>
        <row r="645">
          <cell r="A645">
            <v>44472</v>
          </cell>
          <cell r="B645">
            <v>28048.94</v>
          </cell>
        </row>
        <row r="646">
          <cell r="A646">
            <v>44479</v>
          </cell>
          <cell r="B646">
            <v>29068.63</v>
          </cell>
        </row>
        <row r="647">
          <cell r="A647">
            <v>44486</v>
          </cell>
          <cell r="B647">
            <v>28804.85</v>
          </cell>
        </row>
        <row r="648">
          <cell r="A648">
            <v>44493</v>
          </cell>
          <cell r="B648">
            <v>28892.69</v>
          </cell>
        </row>
        <row r="649">
          <cell r="A649">
            <v>44500</v>
          </cell>
          <cell r="B649">
            <v>29611.57</v>
          </cell>
        </row>
        <row r="650">
          <cell r="A650">
            <v>44507</v>
          </cell>
          <cell r="B650">
            <v>29609.97</v>
          </cell>
        </row>
        <row r="651">
          <cell r="A651">
            <v>44514</v>
          </cell>
          <cell r="B651">
            <v>29745.87</v>
          </cell>
        </row>
        <row r="652">
          <cell r="A652">
            <v>44521</v>
          </cell>
          <cell r="B652">
            <v>28751.62</v>
          </cell>
        </row>
        <row r="653">
          <cell r="A653">
            <v>44528</v>
          </cell>
          <cell r="B653">
            <v>28029.57</v>
          </cell>
        </row>
        <row r="654">
          <cell r="A654">
            <v>44535</v>
          </cell>
          <cell r="B654">
            <v>28437.77</v>
          </cell>
        </row>
        <row r="655">
          <cell r="A655">
            <v>44542</v>
          </cell>
          <cell r="B655">
            <v>28545.68</v>
          </cell>
        </row>
        <row r="656">
          <cell r="A656">
            <v>44549</v>
          </cell>
          <cell r="B656">
            <v>28782.59</v>
          </cell>
        </row>
        <row r="657">
          <cell r="A657">
            <v>44556</v>
          </cell>
          <cell r="B657">
            <v>28791.71</v>
          </cell>
        </row>
        <row r="658">
          <cell r="A658">
            <v>44563</v>
          </cell>
          <cell r="B658">
            <v>28478.560000000001</v>
          </cell>
        </row>
        <row r="659">
          <cell r="A659">
            <v>44570</v>
          </cell>
          <cell r="B659">
            <v>28124.28</v>
          </cell>
        </row>
        <row r="660">
          <cell r="A660">
            <v>44577</v>
          </cell>
          <cell r="B660">
            <v>27522.26</v>
          </cell>
        </row>
        <row r="661">
          <cell r="A661">
            <v>44584</v>
          </cell>
          <cell r="B661">
            <v>26717.34</v>
          </cell>
        </row>
        <row r="662">
          <cell r="A662">
            <v>44591</v>
          </cell>
          <cell r="B662">
            <v>27439.99</v>
          </cell>
        </row>
        <row r="663">
          <cell r="A663">
            <v>44598</v>
          </cell>
          <cell r="B663">
            <v>27696.080000000002</v>
          </cell>
        </row>
        <row r="664">
          <cell r="A664">
            <v>44605</v>
          </cell>
          <cell r="B664">
            <v>27122.07</v>
          </cell>
        </row>
        <row r="665">
          <cell r="A665">
            <v>44612</v>
          </cell>
          <cell r="B665">
            <v>26476.5</v>
          </cell>
        </row>
        <row r="666">
          <cell r="A666">
            <v>44619</v>
          </cell>
          <cell r="B666">
            <v>25985.47</v>
          </cell>
        </row>
        <row r="667">
          <cell r="A667">
            <v>44626</v>
          </cell>
          <cell r="B667">
            <v>25162.78</v>
          </cell>
        </row>
        <row r="668">
          <cell r="A668">
            <v>44633</v>
          </cell>
          <cell r="B668">
            <v>26827.43</v>
          </cell>
        </row>
        <row r="669">
          <cell r="A669">
            <v>44640</v>
          </cell>
          <cell r="B669">
            <v>28149.84</v>
          </cell>
        </row>
        <row r="670">
          <cell r="A670">
            <v>44647</v>
          </cell>
          <cell r="B670">
            <v>27665.98</v>
          </cell>
        </row>
        <row r="671">
          <cell r="A671">
            <v>44654</v>
          </cell>
          <cell r="B671">
            <v>26985.8</v>
          </cell>
        </row>
        <row r="672">
          <cell r="A672">
            <v>44661</v>
          </cell>
          <cell r="B672">
            <v>27093.19</v>
          </cell>
        </row>
        <row r="673">
          <cell r="A673">
            <v>44668</v>
          </cell>
          <cell r="B673">
            <v>27105.26</v>
          </cell>
        </row>
        <row r="674">
          <cell r="A674">
            <v>44675</v>
          </cell>
          <cell r="B674">
            <v>26847.9</v>
          </cell>
        </row>
        <row r="675">
          <cell r="A675">
            <v>44682</v>
          </cell>
          <cell r="B675">
            <v>27003.56</v>
          </cell>
        </row>
        <row r="676">
          <cell r="A676">
            <v>44689</v>
          </cell>
          <cell r="B676">
            <v>26427.65</v>
          </cell>
        </row>
        <row r="677">
          <cell r="A677">
            <v>44696</v>
          </cell>
          <cell r="B677">
            <v>26739.03</v>
          </cell>
        </row>
        <row r="678">
          <cell r="A678">
            <v>44703</v>
          </cell>
          <cell r="B678">
            <v>26781.68</v>
          </cell>
        </row>
        <row r="679">
          <cell r="A679">
            <v>44710</v>
          </cell>
          <cell r="B679">
            <v>27761.57</v>
          </cell>
        </row>
        <row r="680">
          <cell r="A680">
            <v>44717</v>
          </cell>
          <cell r="B680">
            <v>27824.29</v>
          </cell>
        </row>
        <row r="681">
          <cell r="A681">
            <v>44724</v>
          </cell>
          <cell r="B681">
            <v>25963</v>
          </cell>
        </row>
        <row r="682">
          <cell r="A682">
            <v>44731</v>
          </cell>
          <cell r="B682">
            <v>26491.97</v>
          </cell>
        </row>
        <row r="683">
          <cell r="A683">
            <v>44738</v>
          </cell>
          <cell r="B683">
            <v>25935.62</v>
          </cell>
        </row>
        <row r="684">
          <cell r="A684">
            <v>44745</v>
          </cell>
          <cell r="B684">
            <v>26517.19</v>
          </cell>
        </row>
        <row r="685">
          <cell r="A685">
            <v>44752</v>
          </cell>
          <cell r="B685">
            <v>26788.47</v>
          </cell>
        </row>
        <row r="686">
          <cell r="A686">
            <v>44759</v>
          </cell>
          <cell r="B686">
            <v>27914.66</v>
          </cell>
        </row>
        <row r="687">
          <cell r="A687">
            <v>44766</v>
          </cell>
          <cell r="B687">
            <v>27801.64</v>
          </cell>
        </row>
        <row r="688">
          <cell r="A688">
            <v>44773</v>
          </cell>
          <cell r="B688">
            <v>28175.87</v>
          </cell>
        </row>
        <row r="689">
          <cell r="A689">
            <v>44780</v>
          </cell>
          <cell r="B689">
            <v>28546.98</v>
          </cell>
        </row>
        <row r="690">
          <cell r="A690">
            <v>44787</v>
          </cell>
          <cell r="B690">
            <v>28930.33</v>
          </cell>
        </row>
        <row r="691">
          <cell r="A691">
            <v>44794</v>
          </cell>
          <cell r="B691">
            <v>28641.38</v>
          </cell>
        </row>
        <row r="692">
          <cell r="A692">
            <v>44801</v>
          </cell>
          <cell r="B692">
            <v>27650.84</v>
          </cell>
        </row>
        <row r="693">
          <cell r="A693">
            <v>44808</v>
          </cell>
          <cell r="B693">
            <v>28214.75</v>
          </cell>
        </row>
        <row r="694">
          <cell r="A694">
            <v>44815</v>
          </cell>
          <cell r="B694">
            <v>27567.65</v>
          </cell>
        </row>
        <row r="695">
          <cell r="A695">
            <v>44822</v>
          </cell>
          <cell r="B695">
            <v>27153.83</v>
          </cell>
        </row>
        <row r="696">
          <cell r="A696">
            <v>44829</v>
          </cell>
          <cell r="B696">
            <v>25937.21</v>
          </cell>
        </row>
        <row r="697">
          <cell r="A697">
            <v>44836</v>
          </cell>
          <cell r="B697">
            <v>27116.11</v>
          </cell>
        </row>
        <row r="698">
          <cell r="A698">
            <v>44843</v>
          </cell>
          <cell r="B698">
            <v>27090.76</v>
          </cell>
        </row>
        <row r="699">
          <cell r="A699">
            <v>44850</v>
          </cell>
          <cell r="B699">
            <v>26890.58</v>
          </cell>
        </row>
        <row r="700">
          <cell r="A700">
            <v>44857</v>
          </cell>
          <cell r="B700">
            <v>27105.200000000001</v>
          </cell>
        </row>
        <row r="701">
          <cell r="A701">
            <v>44864</v>
          </cell>
          <cell r="B701">
            <v>27199.74</v>
          </cell>
        </row>
        <row r="702">
          <cell r="A702">
            <v>44871</v>
          </cell>
          <cell r="B702">
            <v>28263.57</v>
          </cell>
        </row>
        <row r="703">
          <cell r="A703">
            <v>44878</v>
          </cell>
          <cell r="B703">
            <v>27899.77</v>
          </cell>
        </row>
        <row r="704">
          <cell r="A704">
            <v>44885</v>
          </cell>
          <cell r="B704">
            <v>28283.03</v>
          </cell>
        </row>
        <row r="705">
          <cell r="A705">
            <v>44892</v>
          </cell>
          <cell r="B705">
            <v>27777.9</v>
          </cell>
        </row>
        <row r="706">
          <cell r="A706">
            <v>44899</v>
          </cell>
          <cell r="B706">
            <v>27901.01</v>
          </cell>
        </row>
        <row r="707">
          <cell r="A707">
            <v>44906</v>
          </cell>
          <cell r="B707">
            <v>27527.119999999999</v>
          </cell>
        </row>
        <row r="708">
          <cell r="A708">
            <v>44913</v>
          </cell>
          <cell r="B708">
            <v>26235.25</v>
          </cell>
        </row>
        <row r="709">
          <cell r="A709">
            <v>44920</v>
          </cell>
          <cell r="B709">
            <v>26094.5</v>
          </cell>
        </row>
        <row r="710">
          <cell r="A710">
            <v>44927</v>
          </cell>
          <cell r="B710">
            <v>25973.85</v>
          </cell>
        </row>
        <row r="711">
          <cell r="A711">
            <v>44934</v>
          </cell>
          <cell r="B711">
            <v>26119.52</v>
          </cell>
        </row>
        <row r="712">
          <cell r="A712">
            <v>44941</v>
          </cell>
          <cell r="B712">
            <v>26553.53</v>
          </cell>
        </row>
        <row r="713">
          <cell r="A713">
            <v>44948</v>
          </cell>
          <cell r="B713">
            <v>27382.560000000001</v>
          </cell>
        </row>
        <row r="714">
          <cell r="A714">
            <v>44955</v>
          </cell>
          <cell r="B714">
            <v>27509.46</v>
          </cell>
        </row>
        <row r="715">
          <cell r="A715">
            <v>44962</v>
          </cell>
          <cell r="B715">
            <v>27670.98</v>
          </cell>
        </row>
        <row r="716">
          <cell r="A716">
            <v>44969</v>
          </cell>
          <cell r="B716">
            <v>27513.13</v>
          </cell>
        </row>
        <row r="717">
          <cell r="A717">
            <v>44976</v>
          </cell>
          <cell r="B717">
            <v>27453.48</v>
          </cell>
        </row>
        <row r="718">
          <cell r="A718">
            <v>44983</v>
          </cell>
          <cell r="B718">
            <v>27927.47</v>
          </cell>
        </row>
        <row r="719">
          <cell r="A719">
            <v>44990</v>
          </cell>
          <cell r="B719">
            <v>28143.97</v>
          </cell>
        </row>
        <row r="720">
          <cell r="A720">
            <v>44997</v>
          </cell>
          <cell r="B720">
            <v>27333.79</v>
          </cell>
        </row>
        <row r="721">
          <cell r="A721">
            <v>45004</v>
          </cell>
          <cell r="B721">
            <v>27385.25</v>
          </cell>
        </row>
        <row r="722">
          <cell r="A722">
            <v>45011</v>
          </cell>
          <cell r="B722">
            <v>28041.48</v>
          </cell>
        </row>
        <row r="723">
          <cell r="A723">
            <v>45018</v>
          </cell>
          <cell r="B723">
            <v>27518.31</v>
          </cell>
        </row>
        <row r="724">
          <cell r="A724">
            <v>45025</v>
          </cell>
          <cell r="B724">
            <v>28493.47</v>
          </cell>
        </row>
        <row r="725">
          <cell r="A725">
            <v>45032</v>
          </cell>
          <cell r="B725">
            <v>28564.37</v>
          </cell>
        </row>
        <row r="726">
          <cell r="A726">
            <v>45039</v>
          </cell>
          <cell r="B726">
            <v>28856.44</v>
          </cell>
        </row>
        <row r="727">
          <cell r="A727">
            <v>45046</v>
          </cell>
          <cell r="B727">
            <v>29157.95</v>
          </cell>
        </row>
        <row r="728">
          <cell r="A728">
            <v>45053</v>
          </cell>
          <cell r="B728">
            <v>29388.3</v>
          </cell>
        </row>
        <row r="729">
          <cell r="A729">
            <v>45060</v>
          </cell>
          <cell r="B729">
            <v>30808.35</v>
          </cell>
        </row>
        <row r="730">
          <cell r="A730">
            <v>45067</v>
          </cell>
          <cell r="B730">
            <v>30916.31</v>
          </cell>
        </row>
        <row r="731">
          <cell r="A731">
            <v>45074</v>
          </cell>
          <cell r="B731">
            <v>31524.22</v>
          </cell>
        </row>
        <row r="732">
          <cell r="A732">
            <v>45081</v>
          </cell>
          <cell r="B732">
            <v>32265.17</v>
          </cell>
        </row>
        <row r="733">
          <cell r="A733">
            <v>45088</v>
          </cell>
          <cell r="B733">
            <v>33706.080000000002</v>
          </cell>
        </row>
        <row r="734">
          <cell r="A734">
            <v>45095</v>
          </cell>
          <cell r="B734">
            <v>32781.54</v>
          </cell>
        </row>
        <row r="735">
          <cell r="A735">
            <v>45102</v>
          </cell>
          <cell r="B735">
            <v>33189.040000000001</v>
          </cell>
        </row>
        <row r="736">
          <cell r="A736">
            <v>45109</v>
          </cell>
          <cell r="B736">
            <v>32764.5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上证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2753.89</v>
          </cell>
        </row>
        <row r="3">
          <cell r="A3">
            <v>39971</v>
          </cell>
          <cell r="B3">
            <v>2743.76</v>
          </cell>
        </row>
        <row r="4">
          <cell r="A4">
            <v>39978</v>
          </cell>
          <cell r="B4">
            <v>2880.49</v>
          </cell>
        </row>
        <row r="5">
          <cell r="A5">
            <v>39985</v>
          </cell>
          <cell r="B5">
            <v>2928.21</v>
          </cell>
        </row>
        <row r="6">
          <cell r="A6">
            <v>39992</v>
          </cell>
          <cell r="B6">
            <v>3088.37</v>
          </cell>
        </row>
        <row r="7">
          <cell r="A7">
            <v>39999</v>
          </cell>
          <cell r="B7">
            <v>3113.93</v>
          </cell>
        </row>
        <row r="8">
          <cell r="A8">
            <v>40006</v>
          </cell>
          <cell r="B8">
            <v>3189.74</v>
          </cell>
        </row>
        <row r="9">
          <cell r="A9">
            <v>40013</v>
          </cell>
          <cell r="B9">
            <v>3372.6</v>
          </cell>
        </row>
        <row r="10">
          <cell r="A10">
            <v>40020</v>
          </cell>
          <cell r="B10">
            <v>3412.06</v>
          </cell>
        </row>
        <row r="11">
          <cell r="A11">
            <v>40027</v>
          </cell>
          <cell r="B11">
            <v>3260.69</v>
          </cell>
        </row>
        <row r="12">
          <cell r="A12">
            <v>40034</v>
          </cell>
          <cell r="B12">
            <v>3046.97</v>
          </cell>
        </row>
        <row r="13">
          <cell r="A13">
            <v>40041</v>
          </cell>
          <cell r="B13">
            <v>2960.77</v>
          </cell>
        </row>
        <row r="14">
          <cell r="A14">
            <v>40048</v>
          </cell>
          <cell r="B14">
            <v>2860.69</v>
          </cell>
        </row>
        <row r="15">
          <cell r="A15">
            <v>40055</v>
          </cell>
          <cell r="B15">
            <v>2861.61</v>
          </cell>
        </row>
        <row r="16">
          <cell r="A16">
            <v>40062</v>
          </cell>
          <cell r="B16">
            <v>2989.79</v>
          </cell>
        </row>
        <row r="17">
          <cell r="A17">
            <v>40069</v>
          </cell>
          <cell r="B17">
            <v>2962.67</v>
          </cell>
        </row>
        <row r="18">
          <cell r="A18">
            <v>40076</v>
          </cell>
          <cell r="B18">
            <v>2838.84</v>
          </cell>
        </row>
        <row r="19">
          <cell r="A19">
            <v>40083</v>
          </cell>
          <cell r="B19">
            <v>2779.43</v>
          </cell>
        </row>
        <row r="20">
          <cell r="A20">
            <v>40090</v>
          </cell>
          <cell r="B20">
            <v>2911.72</v>
          </cell>
        </row>
        <row r="21">
          <cell r="A21">
            <v>40097</v>
          </cell>
          <cell r="B21">
            <v>2976.63</v>
          </cell>
        </row>
        <row r="22">
          <cell r="A22">
            <v>40104</v>
          </cell>
          <cell r="B22">
            <v>3107.85</v>
          </cell>
        </row>
        <row r="23">
          <cell r="A23">
            <v>40111</v>
          </cell>
          <cell r="B23">
            <v>2995.85</v>
          </cell>
        </row>
        <row r="24">
          <cell r="A24">
            <v>40118</v>
          </cell>
          <cell r="B24">
            <v>3164.04</v>
          </cell>
        </row>
        <row r="25">
          <cell r="A25">
            <v>40125</v>
          </cell>
          <cell r="B25">
            <v>3187.65</v>
          </cell>
        </row>
        <row r="26">
          <cell r="A26">
            <v>40132</v>
          </cell>
          <cell r="B26">
            <v>3308.35</v>
          </cell>
        </row>
        <row r="27">
          <cell r="A27">
            <v>40139</v>
          </cell>
          <cell r="B27">
            <v>3096.26</v>
          </cell>
        </row>
        <row r="28">
          <cell r="A28">
            <v>40146</v>
          </cell>
          <cell r="B28">
            <v>3317.04</v>
          </cell>
        </row>
        <row r="29">
          <cell r="A29">
            <v>40153</v>
          </cell>
          <cell r="B29">
            <v>3247.32</v>
          </cell>
        </row>
        <row r="30">
          <cell r="A30">
            <v>40160</v>
          </cell>
          <cell r="B30">
            <v>3113.89</v>
          </cell>
        </row>
        <row r="31">
          <cell r="A31">
            <v>40167</v>
          </cell>
          <cell r="B31">
            <v>3141.35</v>
          </cell>
        </row>
        <row r="32">
          <cell r="A32">
            <v>40174</v>
          </cell>
          <cell r="B32">
            <v>3277.14</v>
          </cell>
        </row>
        <row r="33">
          <cell r="A33">
            <v>40181</v>
          </cell>
          <cell r="B33">
            <v>3196</v>
          </cell>
        </row>
        <row r="34">
          <cell r="A34">
            <v>40188</v>
          </cell>
          <cell r="B34">
            <v>3224.15</v>
          </cell>
        </row>
        <row r="35">
          <cell r="A35">
            <v>40195</v>
          </cell>
          <cell r="B35">
            <v>3128.59</v>
          </cell>
        </row>
        <row r="36">
          <cell r="A36">
            <v>40202</v>
          </cell>
          <cell r="B36">
            <v>2989.29</v>
          </cell>
        </row>
        <row r="37">
          <cell r="A37">
            <v>40209</v>
          </cell>
          <cell r="B37">
            <v>2939.4</v>
          </cell>
        </row>
        <row r="38">
          <cell r="A38">
            <v>40216</v>
          </cell>
          <cell r="B38">
            <v>3018.13</v>
          </cell>
        </row>
        <row r="39">
          <cell r="A39">
            <v>40230</v>
          </cell>
          <cell r="B39">
            <v>3051.94</v>
          </cell>
        </row>
        <row r="40">
          <cell r="A40">
            <v>40237</v>
          </cell>
          <cell r="B40">
            <v>3031.07</v>
          </cell>
        </row>
        <row r="41">
          <cell r="A41">
            <v>40244</v>
          </cell>
          <cell r="B41">
            <v>3013.41</v>
          </cell>
        </row>
        <row r="42">
          <cell r="A42">
            <v>40251</v>
          </cell>
          <cell r="B42">
            <v>3067.75</v>
          </cell>
        </row>
        <row r="43">
          <cell r="A43">
            <v>40258</v>
          </cell>
          <cell r="B43">
            <v>3059.72</v>
          </cell>
        </row>
        <row r="44">
          <cell r="A44">
            <v>40265</v>
          </cell>
          <cell r="B44">
            <v>3157.96</v>
          </cell>
        </row>
        <row r="45">
          <cell r="A45">
            <v>40272</v>
          </cell>
          <cell r="B45">
            <v>3145.35</v>
          </cell>
        </row>
        <row r="46">
          <cell r="A46">
            <v>40279</v>
          </cell>
          <cell r="B46">
            <v>3130.3</v>
          </cell>
        </row>
        <row r="47">
          <cell r="A47">
            <v>40286</v>
          </cell>
          <cell r="B47">
            <v>2983.54</v>
          </cell>
        </row>
        <row r="48">
          <cell r="A48">
            <v>40293</v>
          </cell>
          <cell r="B48">
            <v>2870.61</v>
          </cell>
        </row>
        <row r="49">
          <cell r="A49">
            <v>40300</v>
          </cell>
          <cell r="B49">
            <v>2688.38</v>
          </cell>
        </row>
        <row r="50">
          <cell r="A50">
            <v>40307</v>
          </cell>
          <cell r="B50">
            <v>2696.63</v>
          </cell>
        </row>
        <row r="51">
          <cell r="A51">
            <v>40314</v>
          </cell>
          <cell r="B51">
            <v>2583.52</v>
          </cell>
        </row>
        <row r="52">
          <cell r="A52">
            <v>40321</v>
          </cell>
          <cell r="B52">
            <v>2655.77</v>
          </cell>
        </row>
        <row r="53">
          <cell r="A53">
            <v>40328</v>
          </cell>
          <cell r="B53">
            <v>2553.59</v>
          </cell>
        </row>
        <row r="54">
          <cell r="A54">
            <v>40335</v>
          </cell>
          <cell r="B54">
            <v>2569.94</v>
          </cell>
        </row>
        <row r="55">
          <cell r="A55">
            <v>40342</v>
          </cell>
          <cell r="B55">
            <v>2513.2199999999998</v>
          </cell>
        </row>
        <row r="56">
          <cell r="A56">
            <v>40349</v>
          </cell>
          <cell r="B56">
            <v>2552.8200000000002</v>
          </cell>
        </row>
        <row r="57">
          <cell r="A57">
            <v>40356</v>
          </cell>
          <cell r="B57">
            <v>2382.9</v>
          </cell>
        </row>
        <row r="58">
          <cell r="A58">
            <v>40363</v>
          </cell>
          <cell r="B58">
            <v>2470.92</v>
          </cell>
        </row>
        <row r="59">
          <cell r="A59">
            <v>40370</v>
          </cell>
          <cell r="B59">
            <v>2424.27</v>
          </cell>
        </row>
        <row r="60">
          <cell r="A60">
            <v>40377</v>
          </cell>
          <cell r="B60">
            <v>2572.0300000000002</v>
          </cell>
        </row>
        <row r="61">
          <cell r="A61">
            <v>40384</v>
          </cell>
          <cell r="B61">
            <v>2637.5</v>
          </cell>
        </row>
        <row r="62">
          <cell r="A62">
            <v>40391</v>
          </cell>
          <cell r="B62">
            <v>2658.39</v>
          </cell>
        </row>
        <row r="63">
          <cell r="A63">
            <v>40398</v>
          </cell>
          <cell r="B63">
            <v>2606.6999999999998</v>
          </cell>
        </row>
        <row r="64">
          <cell r="A64">
            <v>40405</v>
          </cell>
          <cell r="B64">
            <v>2642.31</v>
          </cell>
        </row>
        <row r="65">
          <cell r="A65">
            <v>40412</v>
          </cell>
          <cell r="B65">
            <v>2610.7399999999998</v>
          </cell>
        </row>
        <row r="66">
          <cell r="A66">
            <v>40419</v>
          </cell>
          <cell r="B66">
            <v>2655.39</v>
          </cell>
        </row>
        <row r="67">
          <cell r="A67">
            <v>40426</v>
          </cell>
          <cell r="B67">
            <v>2663.21</v>
          </cell>
        </row>
        <row r="68">
          <cell r="A68">
            <v>40433</v>
          </cell>
          <cell r="B68">
            <v>2598.69</v>
          </cell>
        </row>
        <row r="69">
          <cell r="A69">
            <v>40440</v>
          </cell>
          <cell r="B69">
            <v>2591.5500000000002</v>
          </cell>
        </row>
        <row r="70">
          <cell r="A70">
            <v>40447</v>
          </cell>
          <cell r="B70">
            <v>2655.66</v>
          </cell>
        </row>
        <row r="71">
          <cell r="A71">
            <v>40454</v>
          </cell>
          <cell r="B71">
            <v>2738.74</v>
          </cell>
        </row>
        <row r="72">
          <cell r="A72">
            <v>40461</v>
          </cell>
          <cell r="B72">
            <v>2971.16</v>
          </cell>
        </row>
        <row r="73">
          <cell r="A73">
            <v>40468</v>
          </cell>
          <cell r="B73">
            <v>2975.04</v>
          </cell>
        </row>
        <row r="74">
          <cell r="A74">
            <v>40475</v>
          </cell>
          <cell r="B74">
            <v>2978.83</v>
          </cell>
        </row>
        <row r="75">
          <cell r="A75">
            <v>40482</v>
          </cell>
          <cell r="B75">
            <v>3129.5</v>
          </cell>
        </row>
        <row r="76">
          <cell r="A76">
            <v>40489</v>
          </cell>
          <cell r="B76">
            <v>2985.43</v>
          </cell>
        </row>
        <row r="77">
          <cell r="A77">
            <v>40496</v>
          </cell>
          <cell r="B77">
            <v>2888.57</v>
          </cell>
        </row>
        <row r="78">
          <cell r="A78">
            <v>40503</v>
          </cell>
          <cell r="B78">
            <v>2871.7</v>
          </cell>
        </row>
        <row r="79">
          <cell r="A79">
            <v>40510</v>
          </cell>
          <cell r="B79">
            <v>2842.43</v>
          </cell>
        </row>
        <row r="80">
          <cell r="A80">
            <v>40517</v>
          </cell>
          <cell r="B80">
            <v>2841.04</v>
          </cell>
        </row>
        <row r="81">
          <cell r="A81">
            <v>40524</v>
          </cell>
          <cell r="B81">
            <v>2893.74</v>
          </cell>
        </row>
        <row r="82">
          <cell r="A82">
            <v>40531</v>
          </cell>
          <cell r="B82">
            <v>2835.16</v>
          </cell>
        </row>
        <row r="83">
          <cell r="A83">
            <v>40538</v>
          </cell>
          <cell r="B83">
            <v>2808.08</v>
          </cell>
        </row>
        <row r="84">
          <cell r="A84">
            <v>40545</v>
          </cell>
          <cell r="B84">
            <v>2838.8</v>
          </cell>
        </row>
        <row r="85">
          <cell r="A85">
            <v>40552</v>
          </cell>
          <cell r="B85">
            <v>2791.34</v>
          </cell>
        </row>
        <row r="86">
          <cell r="A86">
            <v>40559</v>
          </cell>
          <cell r="B86">
            <v>2715.29</v>
          </cell>
        </row>
        <row r="87">
          <cell r="A87">
            <v>40566</v>
          </cell>
          <cell r="B87">
            <v>2752.75</v>
          </cell>
        </row>
        <row r="88">
          <cell r="A88">
            <v>40573</v>
          </cell>
          <cell r="B88">
            <v>2798.96</v>
          </cell>
        </row>
        <row r="89">
          <cell r="A89">
            <v>40580</v>
          </cell>
          <cell r="B89">
            <v>2827.33</v>
          </cell>
        </row>
        <row r="90">
          <cell r="A90">
            <v>40587</v>
          </cell>
          <cell r="B90">
            <v>2899.79</v>
          </cell>
        </row>
        <row r="91">
          <cell r="A91">
            <v>40594</v>
          </cell>
          <cell r="B91">
            <v>2878.57</v>
          </cell>
        </row>
        <row r="92">
          <cell r="A92">
            <v>40601</v>
          </cell>
          <cell r="B92">
            <v>2942.31</v>
          </cell>
        </row>
        <row r="93">
          <cell r="A93">
            <v>40608</v>
          </cell>
          <cell r="B93">
            <v>2933.8</v>
          </cell>
        </row>
        <row r="94">
          <cell r="A94">
            <v>40615</v>
          </cell>
          <cell r="B94">
            <v>2906.89</v>
          </cell>
        </row>
        <row r="95">
          <cell r="A95">
            <v>40622</v>
          </cell>
          <cell r="B95">
            <v>2977.81</v>
          </cell>
        </row>
        <row r="96">
          <cell r="A96">
            <v>40629</v>
          </cell>
          <cell r="B96">
            <v>2967.41</v>
          </cell>
        </row>
        <row r="97">
          <cell r="A97">
            <v>40636</v>
          </cell>
          <cell r="B97">
            <v>3030.02</v>
          </cell>
        </row>
        <row r="98">
          <cell r="A98">
            <v>40643</v>
          </cell>
          <cell r="B98">
            <v>3050.53</v>
          </cell>
        </row>
        <row r="99">
          <cell r="A99">
            <v>40650</v>
          </cell>
          <cell r="B99">
            <v>3010.52</v>
          </cell>
        </row>
        <row r="100">
          <cell r="A100">
            <v>40657</v>
          </cell>
          <cell r="B100">
            <v>2911.51</v>
          </cell>
        </row>
        <row r="101">
          <cell r="A101">
            <v>40664</v>
          </cell>
          <cell r="B101">
            <v>2863.89</v>
          </cell>
        </row>
        <row r="102">
          <cell r="A102">
            <v>40671</v>
          </cell>
          <cell r="B102">
            <v>2871.03</v>
          </cell>
        </row>
        <row r="103">
          <cell r="A103">
            <v>40678</v>
          </cell>
          <cell r="B103">
            <v>2858.46</v>
          </cell>
        </row>
        <row r="104">
          <cell r="A104">
            <v>40685</v>
          </cell>
          <cell r="B104">
            <v>2709.95</v>
          </cell>
        </row>
        <row r="105">
          <cell r="A105">
            <v>40692</v>
          </cell>
          <cell r="B105">
            <v>2728.02</v>
          </cell>
        </row>
        <row r="106">
          <cell r="A106">
            <v>40699</v>
          </cell>
          <cell r="B106">
            <v>2705.14</v>
          </cell>
        </row>
        <row r="107">
          <cell r="A107">
            <v>40706</v>
          </cell>
          <cell r="B107">
            <v>2642.82</v>
          </cell>
        </row>
        <row r="108">
          <cell r="A108">
            <v>40713</v>
          </cell>
          <cell r="B108">
            <v>2746.21</v>
          </cell>
        </row>
        <row r="109">
          <cell r="A109">
            <v>40720</v>
          </cell>
          <cell r="B109">
            <v>2759.36</v>
          </cell>
        </row>
        <row r="110">
          <cell r="A110">
            <v>40727</v>
          </cell>
          <cell r="B110">
            <v>2797.77</v>
          </cell>
        </row>
        <row r="111">
          <cell r="A111">
            <v>40734</v>
          </cell>
          <cell r="B111">
            <v>2820.17</v>
          </cell>
        </row>
        <row r="112">
          <cell r="A112">
            <v>40741</v>
          </cell>
          <cell r="B112">
            <v>2770.79</v>
          </cell>
        </row>
        <row r="113">
          <cell r="A113">
            <v>40748</v>
          </cell>
          <cell r="B113">
            <v>2701.73</v>
          </cell>
        </row>
        <row r="114">
          <cell r="A114">
            <v>40755</v>
          </cell>
          <cell r="B114">
            <v>2626.42</v>
          </cell>
        </row>
        <row r="115">
          <cell r="A115">
            <v>40762</v>
          </cell>
          <cell r="B115">
            <v>2593.17</v>
          </cell>
        </row>
        <row r="116">
          <cell r="A116">
            <v>40769</v>
          </cell>
          <cell r="B116">
            <v>2534.36</v>
          </cell>
        </row>
        <row r="117">
          <cell r="A117">
            <v>40776</v>
          </cell>
          <cell r="B117">
            <v>2612.19</v>
          </cell>
        </row>
        <row r="118">
          <cell r="A118">
            <v>40783</v>
          </cell>
          <cell r="B118">
            <v>2528.2800000000002</v>
          </cell>
        </row>
        <row r="119">
          <cell r="A119">
            <v>40790</v>
          </cell>
          <cell r="B119">
            <v>2497.75</v>
          </cell>
        </row>
        <row r="120">
          <cell r="A120">
            <v>40797</v>
          </cell>
          <cell r="B120">
            <v>2482.34</v>
          </cell>
        </row>
        <row r="121">
          <cell r="A121">
            <v>40804</v>
          </cell>
          <cell r="B121">
            <v>2433.16</v>
          </cell>
        </row>
        <row r="122">
          <cell r="A122">
            <v>40811</v>
          </cell>
          <cell r="B122">
            <v>2359.2199999999998</v>
          </cell>
        </row>
        <row r="123">
          <cell r="A123">
            <v>40825</v>
          </cell>
          <cell r="B123">
            <v>2431.37</v>
          </cell>
        </row>
        <row r="124">
          <cell r="A124">
            <v>40832</v>
          </cell>
          <cell r="B124">
            <v>2317.2800000000002</v>
          </cell>
        </row>
        <row r="125">
          <cell r="A125">
            <v>40839</v>
          </cell>
          <cell r="B125">
            <v>2473.41</v>
          </cell>
        </row>
        <row r="126">
          <cell r="A126">
            <v>40846</v>
          </cell>
          <cell r="B126">
            <v>2528.29</v>
          </cell>
        </row>
        <row r="127">
          <cell r="A127">
            <v>40853</v>
          </cell>
          <cell r="B127">
            <v>2481.08</v>
          </cell>
        </row>
        <row r="128">
          <cell r="A128">
            <v>40860</v>
          </cell>
          <cell r="B128">
            <v>2416.56</v>
          </cell>
        </row>
        <row r="129">
          <cell r="A129">
            <v>40867</v>
          </cell>
          <cell r="B129">
            <v>2380.2199999999998</v>
          </cell>
        </row>
        <row r="130">
          <cell r="A130">
            <v>40874</v>
          </cell>
          <cell r="B130">
            <v>2360.66</v>
          </cell>
        </row>
        <row r="131">
          <cell r="A131">
            <v>40881</v>
          </cell>
          <cell r="B131">
            <v>2315.27</v>
          </cell>
        </row>
        <row r="132">
          <cell r="A132">
            <v>40888</v>
          </cell>
          <cell r="B132">
            <v>2224.84</v>
          </cell>
        </row>
        <row r="133">
          <cell r="A133">
            <v>40895</v>
          </cell>
          <cell r="B133">
            <v>2204.7800000000002</v>
          </cell>
        </row>
        <row r="134">
          <cell r="A134">
            <v>40902</v>
          </cell>
          <cell r="B134">
            <v>2199.42</v>
          </cell>
        </row>
        <row r="135">
          <cell r="A135">
            <v>40909</v>
          </cell>
          <cell r="B135">
            <v>2163.39</v>
          </cell>
        </row>
        <row r="136">
          <cell r="A136">
            <v>40916</v>
          </cell>
          <cell r="B136">
            <v>2244.58</v>
          </cell>
        </row>
        <row r="137">
          <cell r="A137">
            <v>40923</v>
          </cell>
          <cell r="B137">
            <v>2319.12</v>
          </cell>
        </row>
        <row r="138">
          <cell r="A138">
            <v>40937</v>
          </cell>
          <cell r="B138">
            <v>2330.4</v>
          </cell>
        </row>
        <row r="139">
          <cell r="A139">
            <v>40944</v>
          </cell>
          <cell r="B139">
            <v>2351.98</v>
          </cell>
        </row>
        <row r="140">
          <cell r="A140">
            <v>40951</v>
          </cell>
          <cell r="B140">
            <v>2357.1799999999998</v>
          </cell>
        </row>
        <row r="141">
          <cell r="A141">
            <v>40958</v>
          </cell>
          <cell r="B141">
            <v>2439.63</v>
          </cell>
        </row>
        <row r="142">
          <cell r="A142">
            <v>40965</v>
          </cell>
          <cell r="B142">
            <v>2460.69</v>
          </cell>
        </row>
        <row r="143">
          <cell r="A143">
            <v>40972</v>
          </cell>
          <cell r="B143">
            <v>2439.46</v>
          </cell>
        </row>
        <row r="144">
          <cell r="A144">
            <v>40979</v>
          </cell>
          <cell r="B144">
            <v>2404.7399999999998</v>
          </cell>
        </row>
        <row r="145">
          <cell r="A145">
            <v>40986</v>
          </cell>
          <cell r="B145">
            <v>2349.54</v>
          </cell>
        </row>
        <row r="146">
          <cell r="A146">
            <v>40993</v>
          </cell>
          <cell r="B146">
            <v>2262.79</v>
          </cell>
        </row>
        <row r="147">
          <cell r="A147">
            <v>41000</v>
          </cell>
          <cell r="B147">
            <v>2306.5500000000002</v>
          </cell>
        </row>
        <row r="148">
          <cell r="A148">
            <v>41007</v>
          </cell>
          <cell r="B148">
            <v>2359.16</v>
          </cell>
        </row>
        <row r="149">
          <cell r="A149">
            <v>41014</v>
          </cell>
          <cell r="B149">
            <v>2406.86</v>
          </cell>
        </row>
        <row r="150">
          <cell r="A150">
            <v>41021</v>
          </cell>
          <cell r="B150">
            <v>2396.3200000000002</v>
          </cell>
        </row>
        <row r="151">
          <cell r="A151">
            <v>41028</v>
          </cell>
          <cell r="B151">
            <v>2452.0100000000002</v>
          </cell>
        </row>
        <row r="152">
          <cell r="A152">
            <v>41035</v>
          </cell>
          <cell r="B152">
            <v>2394.98</v>
          </cell>
        </row>
        <row r="153">
          <cell r="A153">
            <v>41042</v>
          </cell>
          <cell r="B153">
            <v>2344.52</v>
          </cell>
        </row>
        <row r="154">
          <cell r="A154">
            <v>41049</v>
          </cell>
          <cell r="B154">
            <v>2333.5500000000002</v>
          </cell>
        </row>
        <row r="155">
          <cell r="A155">
            <v>41056</v>
          </cell>
          <cell r="B155">
            <v>2373.44</v>
          </cell>
        </row>
        <row r="156">
          <cell r="A156">
            <v>41063</v>
          </cell>
          <cell r="B156">
            <v>2281.4499999999998</v>
          </cell>
        </row>
        <row r="157">
          <cell r="A157">
            <v>41070</v>
          </cell>
          <cell r="B157">
            <v>2306.85</v>
          </cell>
        </row>
        <row r="158">
          <cell r="A158">
            <v>41077</v>
          </cell>
          <cell r="B158">
            <v>2260.88</v>
          </cell>
        </row>
        <row r="159">
          <cell r="A159">
            <v>41084</v>
          </cell>
          <cell r="B159">
            <v>2225.4299999999998</v>
          </cell>
        </row>
        <row r="160">
          <cell r="A160">
            <v>41091</v>
          </cell>
          <cell r="B160">
            <v>2223.58</v>
          </cell>
        </row>
        <row r="161">
          <cell r="A161">
            <v>41098</v>
          </cell>
          <cell r="B161">
            <v>2185.89</v>
          </cell>
        </row>
        <row r="162">
          <cell r="A162">
            <v>41105</v>
          </cell>
          <cell r="B162">
            <v>2168.64</v>
          </cell>
        </row>
        <row r="163">
          <cell r="A163">
            <v>41112</v>
          </cell>
          <cell r="B163">
            <v>2128.7600000000002</v>
          </cell>
        </row>
        <row r="164">
          <cell r="A164">
            <v>41119</v>
          </cell>
          <cell r="B164">
            <v>2132.8000000000002</v>
          </cell>
        </row>
        <row r="165">
          <cell r="A165">
            <v>41126</v>
          </cell>
          <cell r="B165">
            <v>2168.81</v>
          </cell>
        </row>
        <row r="166">
          <cell r="A166">
            <v>41133</v>
          </cell>
          <cell r="B166">
            <v>2114.89</v>
          </cell>
        </row>
        <row r="167">
          <cell r="A167">
            <v>41140</v>
          </cell>
          <cell r="B167">
            <v>2092.1</v>
          </cell>
        </row>
        <row r="168">
          <cell r="A168">
            <v>41147</v>
          </cell>
          <cell r="B168">
            <v>2047.52</v>
          </cell>
        </row>
        <row r="169">
          <cell r="A169">
            <v>41154</v>
          </cell>
          <cell r="B169">
            <v>2127.7600000000002</v>
          </cell>
        </row>
        <row r="170">
          <cell r="A170">
            <v>41161</v>
          </cell>
          <cell r="B170">
            <v>2123.85</v>
          </cell>
        </row>
        <row r="171">
          <cell r="A171">
            <v>41168</v>
          </cell>
          <cell r="B171">
            <v>2026.69</v>
          </cell>
        </row>
        <row r="172">
          <cell r="A172">
            <v>41175</v>
          </cell>
          <cell r="B172">
            <v>2086.17</v>
          </cell>
        </row>
        <row r="173">
          <cell r="A173">
            <v>41189</v>
          </cell>
          <cell r="B173">
            <v>2104.9299999999998</v>
          </cell>
        </row>
        <row r="174">
          <cell r="A174">
            <v>41196</v>
          </cell>
          <cell r="B174">
            <v>2128.3000000000002</v>
          </cell>
        </row>
        <row r="175">
          <cell r="A175">
            <v>41203</v>
          </cell>
          <cell r="B175">
            <v>2066.21</v>
          </cell>
        </row>
        <row r="176">
          <cell r="A176">
            <v>41210</v>
          </cell>
          <cell r="B176">
            <v>2117.0500000000002</v>
          </cell>
        </row>
        <row r="177">
          <cell r="A177">
            <v>41217</v>
          </cell>
          <cell r="B177">
            <v>2069.0700000000002</v>
          </cell>
        </row>
        <row r="178">
          <cell r="A178">
            <v>41224</v>
          </cell>
          <cell r="B178">
            <v>2014.72</v>
          </cell>
        </row>
        <row r="179">
          <cell r="A179">
            <v>41231</v>
          </cell>
          <cell r="B179">
            <v>2027.38</v>
          </cell>
        </row>
        <row r="180">
          <cell r="A180">
            <v>41238</v>
          </cell>
          <cell r="B180">
            <v>1980.12</v>
          </cell>
        </row>
        <row r="181">
          <cell r="A181">
            <v>41245</v>
          </cell>
          <cell r="B181">
            <v>2061.79</v>
          </cell>
        </row>
        <row r="182">
          <cell r="A182">
            <v>41252</v>
          </cell>
          <cell r="B182">
            <v>2150.63</v>
          </cell>
        </row>
        <row r="183">
          <cell r="A183">
            <v>41259</v>
          </cell>
          <cell r="B183">
            <v>2153.31</v>
          </cell>
        </row>
        <row r="184">
          <cell r="A184">
            <v>41266</v>
          </cell>
          <cell r="B184">
            <v>2233.25</v>
          </cell>
        </row>
        <row r="185">
          <cell r="A185">
            <v>41273</v>
          </cell>
          <cell r="B185">
            <v>2276.9899999999998</v>
          </cell>
        </row>
        <row r="186">
          <cell r="A186">
            <v>41280</v>
          </cell>
          <cell r="B186">
            <v>2243</v>
          </cell>
        </row>
        <row r="187">
          <cell r="A187">
            <v>41287</v>
          </cell>
          <cell r="B187">
            <v>2317.0700000000002</v>
          </cell>
        </row>
        <row r="188">
          <cell r="A188">
            <v>41294</v>
          </cell>
          <cell r="B188">
            <v>2291.3000000000002</v>
          </cell>
        </row>
        <row r="189">
          <cell r="A189">
            <v>41301</v>
          </cell>
          <cell r="B189">
            <v>2419.02</v>
          </cell>
        </row>
        <row r="190">
          <cell r="A190">
            <v>41308</v>
          </cell>
          <cell r="B190">
            <v>2432.4</v>
          </cell>
        </row>
        <row r="191">
          <cell r="A191">
            <v>41322</v>
          </cell>
          <cell r="B191">
            <v>2314.16</v>
          </cell>
        </row>
        <row r="192">
          <cell r="A192">
            <v>41329</v>
          </cell>
          <cell r="B192">
            <v>2359.5100000000002</v>
          </cell>
        </row>
        <row r="193">
          <cell r="A193">
            <v>41336</v>
          </cell>
          <cell r="B193">
            <v>2318.61</v>
          </cell>
        </row>
        <row r="194">
          <cell r="A194">
            <v>41343</v>
          </cell>
          <cell r="B194">
            <v>2278.4</v>
          </cell>
        </row>
        <row r="195">
          <cell r="A195">
            <v>41350</v>
          </cell>
          <cell r="B195">
            <v>2328.2800000000002</v>
          </cell>
        </row>
        <row r="196">
          <cell r="A196">
            <v>41357</v>
          </cell>
          <cell r="B196">
            <v>2236.62</v>
          </cell>
        </row>
        <row r="197">
          <cell r="A197">
            <v>41364</v>
          </cell>
          <cell r="B197">
            <v>2225.3000000000002</v>
          </cell>
        </row>
        <row r="198">
          <cell r="A198">
            <v>41371</v>
          </cell>
          <cell r="B198">
            <v>2206.7800000000002</v>
          </cell>
        </row>
        <row r="199">
          <cell r="A199">
            <v>41378</v>
          </cell>
          <cell r="B199">
            <v>2244.64</v>
          </cell>
        </row>
        <row r="200">
          <cell r="A200">
            <v>41385</v>
          </cell>
          <cell r="B200">
            <v>2177.91</v>
          </cell>
        </row>
        <row r="201">
          <cell r="A201">
            <v>41392</v>
          </cell>
          <cell r="B201">
            <v>2205.5</v>
          </cell>
        </row>
        <row r="202">
          <cell r="A202">
            <v>41399</v>
          </cell>
          <cell r="B202">
            <v>2246.83</v>
          </cell>
        </row>
        <row r="203">
          <cell r="A203">
            <v>41406</v>
          </cell>
          <cell r="B203">
            <v>2282.87</v>
          </cell>
        </row>
        <row r="204">
          <cell r="A204">
            <v>41413</v>
          </cell>
          <cell r="B204">
            <v>2288.5300000000002</v>
          </cell>
        </row>
        <row r="205">
          <cell r="A205">
            <v>41420</v>
          </cell>
          <cell r="B205">
            <v>2300.59</v>
          </cell>
        </row>
        <row r="206">
          <cell r="A206">
            <v>41427</v>
          </cell>
          <cell r="B206">
            <v>2210.9</v>
          </cell>
        </row>
        <row r="207">
          <cell r="A207">
            <v>41434</v>
          </cell>
          <cell r="B207">
            <v>2162.04</v>
          </cell>
        </row>
        <row r="208">
          <cell r="A208">
            <v>41441</v>
          </cell>
          <cell r="B208">
            <v>2073.1</v>
          </cell>
        </row>
        <row r="209">
          <cell r="A209">
            <v>41448</v>
          </cell>
          <cell r="B209">
            <v>1979.21</v>
          </cell>
        </row>
        <row r="210">
          <cell r="A210">
            <v>41455</v>
          </cell>
          <cell r="B210">
            <v>2007.2</v>
          </cell>
        </row>
        <row r="211">
          <cell r="A211">
            <v>41462</v>
          </cell>
          <cell r="B211">
            <v>2039.49</v>
          </cell>
        </row>
        <row r="212">
          <cell r="A212">
            <v>41469</v>
          </cell>
          <cell r="B212">
            <v>1992.65</v>
          </cell>
        </row>
        <row r="213">
          <cell r="A213">
            <v>41476</v>
          </cell>
          <cell r="B213">
            <v>2010.85</v>
          </cell>
        </row>
        <row r="214">
          <cell r="A214">
            <v>41483</v>
          </cell>
          <cell r="B214">
            <v>2029.42</v>
          </cell>
        </row>
        <row r="215">
          <cell r="A215">
            <v>41490</v>
          </cell>
          <cell r="B215">
            <v>2052.23</v>
          </cell>
        </row>
        <row r="216">
          <cell r="A216">
            <v>41497</v>
          </cell>
          <cell r="B216">
            <v>2068.4499999999998</v>
          </cell>
        </row>
        <row r="217">
          <cell r="A217">
            <v>41504</v>
          </cell>
          <cell r="B217">
            <v>2057.46</v>
          </cell>
        </row>
        <row r="218">
          <cell r="A218">
            <v>41511</v>
          </cell>
          <cell r="B218">
            <v>2098.38</v>
          </cell>
        </row>
        <row r="219">
          <cell r="A219">
            <v>41518</v>
          </cell>
          <cell r="B219">
            <v>2139.9899999999998</v>
          </cell>
        </row>
        <row r="220">
          <cell r="A220">
            <v>41525</v>
          </cell>
          <cell r="B220">
            <v>2236.2199999999998</v>
          </cell>
        </row>
        <row r="221">
          <cell r="A221">
            <v>41532</v>
          </cell>
          <cell r="B221">
            <v>2191.85</v>
          </cell>
        </row>
        <row r="222">
          <cell r="A222">
            <v>41539</v>
          </cell>
          <cell r="B222">
            <v>2160.0300000000002</v>
          </cell>
        </row>
        <row r="223">
          <cell r="A223">
            <v>41546</v>
          </cell>
          <cell r="B223">
            <v>2174.66</v>
          </cell>
        </row>
        <row r="224">
          <cell r="A224">
            <v>41553</v>
          </cell>
          <cell r="B224">
            <v>2228.15</v>
          </cell>
        </row>
        <row r="225">
          <cell r="A225">
            <v>41560</v>
          </cell>
          <cell r="B225">
            <v>2193.7800000000002</v>
          </cell>
        </row>
        <row r="226">
          <cell r="A226">
            <v>41567</v>
          </cell>
          <cell r="B226">
            <v>2132.96</v>
          </cell>
        </row>
        <row r="227">
          <cell r="A227">
            <v>41574</v>
          </cell>
          <cell r="B227">
            <v>2149.56</v>
          </cell>
        </row>
        <row r="228">
          <cell r="A228">
            <v>41581</v>
          </cell>
          <cell r="B228">
            <v>2106.13</v>
          </cell>
        </row>
        <row r="229">
          <cell r="A229">
            <v>41588</v>
          </cell>
          <cell r="B229">
            <v>2135.83</v>
          </cell>
        </row>
        <row r="230">
          <cell r="A230">
            <v>41595</v>
          </cell>
          <cell r="B230">
            <v>2196.38</v>
          </cell>
        </row>
        <row r="231">
          <cell r="A231">
            <v>41602</v>
          </cell>
          <cell r="B231">
            <v>2220.5</v>
          </cell>
        </row>
        <row r="232">
          <cell r="A232">
            <v>41609</v>
          </cell>
          <cell r="B232">
            <v>2237.11</v>
          </cell>
        </row>
        <row r="233">
          <cell r="A233">
            <v>41616</v>
          </cell>
          <cell r="B233">
            <v>2196.0700000000002</v>
          </cell>
        </row>
        <row r="234">
          <cell r="A234">
            <v>41623</v>
          </cell>
          <cell r="B234">
            <v>2084.79</v>
          </cell>
        </row>
        <row r="235">
          <cell r="A235">
            <v>41630</v>
          </cell>
          <cell r="B235">
            <v>2101.25</v>
          </cell>
        </row>
        <row r="236">
          <cell r="A236">
            <v>41637</v>
          </cell>
          <cell r="B236">
            <v>2083.14</v>
          </cell>
        </row>
        <row r="237">
          <cell r="A237">
            <v>41644</v>
          </cell>
          <cell r="B237">
            <v>2013.3</v>
          </cell>
        </row>
        <row r="238">
          <cell r="A238">
            <v>41651</v>
          </cell>
          <cell r="B238">
            <v>2004.95</v>
          </cell>
        </row>
        <row r="239">
          <cell r="A239">
            <v>41658</v>
          </cell>
          <cell r="B239">
            <v>2054.39</v>
          </cell>
        </row>
        <row r="240">
          <cell r="A240">
            <v>41665</v>
          </cell>
          <cell r="B240">
            <v>2033.08</v>
          </cell>
        </row>
        <row r="241">
          <cell r="A241">
            <v>41672</v>
          </cell>
          <cell r="B241">
            <v>2044.5</v>
          </cell>
        </row>
        <row r="242">
          <cell r="A242">
            <v>41679</v>
          </cell>
          <cell r="B242">
            <v>2115.85</v>
          </cell>
        </row>
        <row r="243">
          <cell r="A243">
            <v>41686</v>
          </cell>
          <cell r="B243">
            <v>2113.69</v>
          </cell>
        </row>
        <row r="244">
          <cell r="A244">
            <v>41693</v>
          </cell>
          <cell r="B244">
            <v>2056.3000000000002</v>
          </cell>
        </row>
        <row r="245">
          <cell r="A245">
            <v>41700</v>
          </cell>
          <cell r="B245">
            <v>2057.91</v>
          </cell>
        </row>
        <row r="246">
          <cell r="A246">
            <v>41707</v>
          </cell>
          <cell r="B246">
            <v>2004.34</v>
          </cell>
        </row>
        <row r="247">
          <cell r="A247">
            <v>41714</v>
          </cell>
          <cell r="B247">
            <v>2047.62</v>
          </cell>
        </row>
        <row r="248">
          <cell r="A248">
            <v>41721</v>
          </cell>
          <cell r="B248">
            <v>2041.71</v>
          </cell>
        </row>
        <row r="249">
          <cell r="A249">
            <v>41728</v>
          </cell>
          <cell r="B249">
            <v>2058.83</v>
          </cell>
        </row>
        <row r="250">
          <cell r="A250">
            <v>41735</v>
          </cell>
          <cell r="B250">
            <v>2130.54</v>
          </cell>
        </row>
        <row r="251">
          <cell r="A251">
            <v>41742</v>
          </cell>
          <cell r="B251">
            <v>2097.75</v>
          </cell>
        </row>
        <row r="252">
          <cell r="A252">
            <v>41749</v>
          </cell>
          <cell r="B252">
            <v>2036.52</v>
          </cell>
        </row>
        <row r="253">
          <cell r="A253">
            <v>41756</v>
          </cell>
          <cell r="B253">
            <v>2026.36</v>
          </cell>
        </row>
        <row r="254">
          <cell r="A254">
            <v>41763</v>
          </cell>
          <cell r="B254">
            <v>2011.13</v>
          </cell>
        </row>
        <row r="255">
          <cell r="A255">
            <v>41770</v>
          </cell>
          <cell r="B255">
            <v>2026.5</v>
          </cell>
        </row>
        <row r="256">
          <cell r="A256">
            <v>41777</v>
          </cell>
          <cell r="B256">
            <v>2034.57</v>
          </cell>
        </row>
        <row r="257">
          <cell r="A257">
            <v>41784</v>
          </cell>
          <cell r="B257">
            <v>2039.21</v>
          </cell>
        </row>
        <row r="258">
          <cell r="A258">
            <v>41791</v>
          </cell>
          <cell r="B258">
            <v>2029.96</v>
          </cell>
        </row>
        <row r="259">
          <cell r="A259">
            <v>41798</v>
          </cell>
          <cell r="B259">
            <v>2070.71</v>
          </cell>
        </row>
        <row r="260">
          <cell r="A260">
            <v>41805</v>
          </cell>
          <cell r="B260">
            <v>2026.67</v>
          </cell>
        </row>
        <row r="261">
          <cell r="A261">
            <v>41812</v>
          </cell>
          <cell r="B261">
            <v>2036.51</v>
          </cell>
        </row>
        <row r="262">
          <cell r="A262">
            <v>41819</v>
          </cell>
          <cell r="B262">
            <v>2059.37</v>
          </cell>
        </row>
        <row r="263">
          <cell r="A263">
            <v>41826</v>
          </cell>
          <cell r="B263">
            <v>2046.96</v>
          </cell>
        </row>
        <row r="264">
          <cell r="A264">
            <v>41833</v>
          </cell>
          <cell r="B264">
            <v>2059.0700000000002</v>
          </cell>
        </row>
        <row r="265">
          <cell r="A265">
            <v>41840</v>
          </cell>
          <cell r="B265">
            <v>2126.61</v>
          </cell>
        </row>
        <row r="266">
          <cell r="A266">
            <v>41847</v>
          </cell>
          <cell r="B266">
            <v>2185.3000000000002</v>
          </cell>
        </row>
        <row r="267">
          <cell r="A267">
            <v>41854</v>
          </cell>
          <cell r="B267">
            <v>2194.42</v>
          </cell>
        </row>
        <row r="268">
          <cell r="A268">
            <v>41861</v>
          </cell>
          <cell r="B268">
            <v>2226.73</v>
          </cell>
        </row>
        <row r="269">
          <cell r="A269">
            <v>41868</v>
          </cell>
          <cell r="B269">
            <v>2240.81</v>
          </cell>
        </row>
        <row r="270">
          <cell r="A270">
            <v>41875</v>
          </cell>
          <cell r="B270">
            <v>2217.1999999999998</v>
          </cell>
        </row>
        <row r="271">
          <cell r="A271">
            <v>41882</v>
          </cell>
          <cell r="B271">
            <v>2326.4299999999998</v>
          </cell>
        </row>
        <row r="272">
          <cell r="A272">
            <v>41889</v>
          </cell>
          <cell r="B272">
            <v>2331.9499999999998</v>
          </cell>
        </row>
        <row r="273">
          <cell r="A273">
            <v>41896</v>
          </cell>
          <cell r="B273">
            <v>2329.4499999999998</v>
          </cell>
        </row>
        <row r="274">
          <cell r="A274">
            <v>41903</v>
          </cell>
          <cell r="B274">
            <v>2347.7199999999998</v>
          </cell>
        </row>
        <row r="275">
          <cell r="A275">
            <v>41910</v>
          </cell>
          <cell r="B275">
            <v>2363.87</v>
          </cell>
        </row>
        <row r="276">
          <cell r="A276">
            <v>41917</v>
          </cell>
          <cell r="B276">
            <v>2374.54</v>
          </cell>
        </row>
        <row r="277">
          <cell r="A277">
            <v>41924</v>
          </cell>
          <cell r="B277">
            <v>2341.1799999999998</v>
          </cell>
        </row>
        <row r="278">
          <cell r="A278">
            <v>41931</v>
          </cell>
          <cell r="B278">
            <v>2302.2800000000002</v>
          </cell>
        </row>
        <row r="279">
          <cell r="A279">
            <v>41938</v>
          </cell>
          <cell r="B279">
            <v>2420.1799999999998</v>
          </cell>
        </row>
        <row r="280">
          <cell r="A280">
            <v>41945</v>
          </cell>
          <cell r="B280">
            <v>2418.17</v>
          </cell>
        </row>
        <row r="281">
          <cell r="A281">
            <v>41952</v>
          </cell>
          <cell r="B281">
            <v>2478.8200000000002</v>
          </cell>
        </row>
        <row r="282">
          <cell r="A282">
            <v>41959</v>
          </cell>
          <cell r="B282">
            <v>2486.79</v>
          </cell>
        </row>
        <row r="283">
          <cell r="A283">
            <v>41966</v>
          </cell>
          <cell r="B283">
            <v>2682.83</v>
          </cell>
        </row>
        <row r="284">
          <cell r="A284">
            <v>41973</v>
          </cell>
          <cell r="B284">
            <v>2937.65</v>
          </cell>
        </row>
        <row r="285">
          <cell r="A285">
            <v>41980</v>
          </cell>
          <cell r="B285">
            <v>2938.17</v>
          </cell>
        </row>
        <row r="286">
          <cell r="A286">
            <v>41987</v>
          </cell>
          <cell r="B286">
            <v>3108.6</v>
          </cell>
        </row>
        <row r="287">
          <cell r="A287">
            <v>41994</v>
          </cell>
          <cell r="B287">
            <v>3157.6</v>
          </cell>
        </row>
        <row r="288">
          <cell r="A288">
            <v>42001</v>
          </cell>
          <cell r="B288">
            <v>3234.68</v>
          </cell>
        </row>
        <row r="289">
          <cell r="A289">
            <v>42008</v>
          </cell>
          <cell r="B289">
            <v>3285.41</v>
          </cell>
        </row>
        <row r="290">
          <cell r="A290">
            <v>42015</v>
          </cell>
          <cell r="B290">
            <v>3376.49</v>
          </cell>
        </row>
        <row r="291">
          <cell r="A291">
            <v>42022</v>
          </cell>
          <cell r="B291">
            <v>3351.76</v>
          </cell>
        </row>
        <row r="292">
          <cell r="A292">
            <v>42029</v>
          </cell>
          <cell r="B292">
            <v>3210.36</v>
          </cell>
        </row>
        <row r="293">
          <cell r="A293">
            <v>42036</v>
          </cell>
          <cell r="B293">
            <v>3075.91</v>
          </cell>
        </row>
        <row r="294">
          <cell r="A294">
            <v>42043</v>
          </cell>
          <cell r="B294">
            <v>3203.83</v>
          </cell>
        </row>
        <row r="295">
          <cell r="A295">
            <v>42050</v>
          </cell>
          <cell r="B295">
            <v>3246.91</v>
          </cell>
        </row>
        <row r="296">
          <cell r="A296">
            <v>42057</v>
          </cell>
          <cell r="B296">
            <v>3310.3</v>
          </cell>
        </row>
        <row r="297">
          <cell r="A297">
            <v>42064</v>
          </cell>
          <cell r="B297">
            <v>3241.19</v>
          </cell>
        </row>
        <row r="298">
          <cell r="A298">
            <v>42071</v>
          </cell>
          <cell r="B298">
            <v>3372.91</v>
          </cell>
        </row>
        <row r="299">
          <cell r="A299">
            <v>42078</v>
          </cell>
          <cell r="B299">
            <v>3617.32</v>
          </cell>
        </row>
        <row r="300">
          <cell r="A300">
            <v>42085</v>
          </cell>
          <cell r="B300">
            <v>3691.1</v>
          </cell>
        </row>
        <row r="301">
          <cell r="A301">
            <v>42092</v>
          </cell>
          <cell r="B301">
            <v>3863.93</v>
          </cell>
        </row>
        <row r="302">
          <cell r="A302">
            <v>42099</v>
          </cell>
          <cell r="B302">
            <v>4034.31</v>
          </cell>
        </row>
        <row r="303">
          <cell r="A303">
            <v>42106</v>
          </cell>
          <cell r="B303">
            <v>4287.3</v>
          </cell>
        </row>
        <row r="304">
          <cell r="A304">
            <v>42113</v>
          </cell>
          <cell r="B304">
            <v>4393.6899999999996</v>
          </cell>
        </row>
        <row r="305">
          <cell r="A305">
            <v>42120</v>
          </cell>
          <cell r="B305">
            <v>4441.66</v>
          </cell>
        </row>
        <row r="306">
          <cell r="A306">
            <v>42127</v>
          </cell>
          <cell r="B306">
            <v>4205.92</v>
          </cell>
        </row>
        <row r="307">
          <cell r="A307">
            <v>42134</v>
          </cell>
          <cell r="B307">
            <v>4308.6899999999996</v>
          </cell>
        </row>
        <row r="308">
          <cell r="A308">
            <v>42141</v>
          </cell>
          <cell r="B308">
            <v>4657.6000000000004</v>
          </cell>
        </row>
        <row r="309">
          <cell r="A309">
            <v>42148</v>
          </cell>
          <cell r="B309">
            <v>4611.74</v>
          </cell>
        </row>
        <row r="310">
          <cell r="A310">
            <v>42155</v>
          </cell>
          <cell r="B310">
            <v>5023.1000000000004</v>
          </cell>
        </row>
        <row r="311">
          <cell r="A311">
            <v>42162</v>
          </cell>
          <cell r="B311">
            <v>5166.3500000000004</v>
          </cell>
        </row>
        <row r="312">
          <cell r="A312">
            <v>42169</v>
          </cell>
          <cell r="B312">
            <v>4478.3599999999997</v>
          </cell>
        </row>
        <row r="313">
          <cell r="A313">
            <v>42176</v>
          </cell>
          <cell r="B313">
            <v>4192.87</v>
          </cell>
        </row>
        <row r="314">
          <cell r="A314">
            <v>42183</v>
          </cell>
          <cell r="B314">
            <v>3686.92</v>
          </cell>
        </row>
        <row r="315">
          <cell r="A315">
            <v>42190</v>
          </cell>
          <cell r="B315">
            <v>3877.8</v>
          </cell>
        </row>
        <row r="316">
          <cell r="A316">
            <v>42197</v>
          </cell>
          <cell r="B316">
            <v>3957.35</v>
          </cell>
        </row>
        <row r="317">
          <cell r="A317">
            <v>42204</v>
          </cell>
          <cell r="B317">
            <v>4070.91</v>
          </cell>
        </row>
        <row r="318">
          <cell r="A318">
            <v>42211</v>
          </cell>
          <cell r="B318">
            <v>3663.73</v>
          </cell>
        </row>
        <row r="319">
          <cell r="A319">
            <v>42218</v>
          </cell>
          <cell r="B319">
            <v>3744.2</v>
          </cell>
        </row>
        <row r="320">
          <cell r="A320">
            <v>42225</v>
          </cell>
          <cell r="B320">
            <v>3965.33</v>
          </cell>
        </row>
        <row r="321">
          <cell r="A321">
            <v>42232</v>
          </cell>
          <cell r="B321">
            <v>3507.74</v>
          </cell>
        </row>
        <row r="322">
          <cell r="A322">
            <v>42239</v>
          </cell>
          <cell r="B322">
            <v>3232.35</v>
          </cell>
        </row>
        <row r="323">
          <cell r="A323">
            <v>42246</v>
          </cell>
          <cell r="B323">
            <v>3160.17</v>
          </cell>
        </row>
        <row r="324">
          <cell r="A324">
            <v>42253</v>
          </cell>
          <cell r="B324">
            <v>3200.23</v>
          </cell>
        </row>
        <row r="325">
          <cell r="A325">
            <v>42260</v>
          </cell>
          <cell r="B325">
            <v>3097.92</v>
          </cell>
        </row>
        <row r="326">
          <cell r="A326">
            <v>42267</v>
          </cell>
          <cell r="B326">
            <v>3092.35</v>
          </cell>
        </row>
        <row r="327">
          <cell r="A327">
            <v>42274</v>
          </cell>
          <cell r="B327">
            <v>3052.78</v>
          </cell>
        </row>
        <row r="328">
          <cell r="A328">
            <v>42281</v>
          </cell>
          <cell r="B328">
            <v>3183.15</v>
          </cell>
        </row>
        <row r="329">
          <cell r="A329">
            <v>42288</v>
          </cell>
          <cell r="B329">
            <v>3391.35</v>
          </cell>
        </row>
        <row r="330">
          <cell r="A330">
            <v>42295</v>
          </cell>
          <cell r="B330">
            <v>3412.43</v>
          </cell>
        </row>
        <row r="331">
          <cell r="A331">
            <v>42302</v>
          </cell>
          <cell r="B331">
            <v>3382.56</v>
          </cell>
        </row>
        <row r="332">
          <cell r="A332">
            <v>42309</v>
          </cell>
          <cell r="B332">
            <v>3590.03</v>
          </cell>
        </row>
        <row r="333">
          <cell r="A333">
            <v>42316</v>
          </cell>
          <cell r="B333">
            <v>3580.84</v>
          </cell>
        </row>
        <row r="334">
          <cell r="A334">
            <v>42323</v>
          </cell>
          <cell r="B334">
            <v>3630.5</v>
          </cell>
        </row>
        <row r="335">
          <cell r="A335">
            <v>42330</v>
          </cell>
          <cell r="B335">
            <v>3436.3</v>
          </cell>
        </row>
        <row r="336">
          <cell r="A336">
            <v>42337</v>
          </cell>
          <cell r="B336">
            <v>3524.99</v>
          </cell>
        </row>
        <row r="337">
          <cell r="A337">
            <v>42344</v>
          </cell>
          <cell r="B337">
            <v>3434.58</v>
          </cell>
        </row>
        <row r="338">
          <cell r="A338">
            <v>42351</v>
          </cell>
          <cell r="B338">
            <v>3578.96</v>
          </cell>
        </row>
        <row r="339">
          <cell r="A339">
            <v>42358</v>
          </cell>
          <cell r="B339">
            <v>3627.91</v>
          </cell>
        </row>
        <row r="340">
          <cell r="A340">
            <v>42365</v>
          </cell>
          <cell r="B340">
            <v>3539.18</v>
          </cell>
        </row>
        <row r="341">
          <cell r="A341">
            <v>42372</v>
          </cell>
          <cell r="B341">
            <v>3186.41</v>
          </cell>
        </row>
        <row r="342">
          <cell r="A342">
            <v>42379</v>
          </cell>
          <cell r="B342">
            <v>2900.97</v>
          </cell>
        </row>
        <row r="343">
          <cell r="A343">
            <v>42386</v>
          </cell>
          <cell r="B343">
            <v>2916.56</v>
          </cell>
        </row>
        <row r="344">
          <cell r="A344">
            <v>42393</v>
          </cell>
          <cell r="B344">
            <v>2737.6</v>
          </cell>
        </row>
        <row r="345">
          <cell r="A345">
            <v>42400</v>
          </cell>
          <cell r="B345">
            <v>2763.49</v>
          </cell>
        </row>
        <row r="346">
          <cell r="A346">
            <v>42414</v>
          </cell>
          <cell r="B346">
            <v>2860.02</v>
          </cell>
        </row>
        <row r="347">
          <cell r="A347">
            <v>42421</v>
          </cell>
          <cell r="B347">
            <v>2767.21</v>
          </cell>
        </row>
        <row r="348">
          <cell r="A348">
            <v>42428</v>
          </cell>
          <cell r="B348">
            <v>2874.15</v>
          </cell>
        </row>
        <row r="349">
          <cell r="A349">
            <v>42435</v>
          </cell>
          <cell r="B349">
            <v>2810.31</v>
          </cell>
        </row>
        <row r="350">
          <cell r="A350">
            <v>42442</v>
          </cell>
          <cell r="B350">
            <v>2955.15</v>
          </cell>
        </row>
        <row r="351">
          <cell r="A351">
            <v>42449</v>
          </cell>
          <cell r="B351">
            <v>2979.43</v>
          </cell>
        </row>
        <row r="352">
          <cell r="A352">
            <v>42456</v>
          </cell>
          <cell r="B352">
            <v>3009.53</v>
          </cell>
        </row>
        <row r="353">
          <cell r="A353">
            <v>42463</v>
          </cell>
          <cell r="B353">
            <v>2984.96</v>
          </cell>
        </row>
        <row r="354">
          <cell r="A354">
            <v>42470</v>
          </cell>
          <cell r="B354">
            <v>3078.12</v>
          </cell>
        </row>
        <row r="355">
          <cell r="A355">
            <v>42477</v>
          </cell>
          <cell r="B355">
            <v>2959.24</v>
          </cell>
        </row>
        <row r="356">
          <cell r="A356">
            <v>42484</v>
          </cell>
          <cell r="B356">
            <v>2938.32</v>
          </cell>
        </row>
        <row r="357">
          <cell r="A357">
            <v>42491</v>
          </cell>
          <cell r="B357">
            <v>2913.25</v>
          </cell>
        </row>
        <row r="358">
          <cell r="A358">
            <v>42498</v>
          </cell>
          <cell r="B358">
            <v>2827.11</v>
          </cell>
        </row>
        <row r="359">
          <cell r="A359">
            <v>42505</v>
          </cell>
          <cell r="B359">
            <v>2825.48</v>
          </cell>
        </row>
        <row r="360">
          <cell r="A360">
            <v>42512</v>
          </cell>
          <cell r="B360">
            <v>2821.05</v>
          </cell>
        </row>
        <row r="361">
          <cell r="A361">
            <v>42519</v>
          </cell>
          <cell r="B361">
            <v>2938.68</v>
          </cell>
        </row>
        <row r="362">
          <cell r="A362">
            <v>42526</v>
          </cell>
          <cell r="B362">
            <v>2927.16</v>
          </cell>
        </row>
        <row r="363">
          <cell r="A363">
            <v>42533</v>
          </cell>
          <cell r="B363">
            <v>2885.11</v>
          </cell>
        </row>
        <row r="364">
          <cell r="A364">
            <v>42540</v>
          </cell>
          <cell r="B364">
            <v>2854.29</v>
          </cell>
        </row>
        <row r="365">
          <cell r="A365">
            <v>42547</v>
          </cell>
          <cell r="B365">
            <v>2932.48</v>
          </cell>
        </row>
        <row r="366">
          <cell r="A366">
            <v>42554</v>
          </cell>
          <cell r="B366">
            <v>2988.09</v>
          </cell>
        </row>
        <row r="367">
          <cell r="A367">
            <v>42561</v>
          </cell>
          <cell r="B367">
            <v>3054.3</v>
          </cell>
        </row>
        <row r="368">
          <cell r="A368">
            <v>42568</v>
          </cell>
          <cell r="B368">
            <v>3012.82</v>
          </cell>
        </row>
        <row r="369">
          <cell r="A369">
            <v>42575</v>
          </cell>
          <cell r="B369">
            <v>2979.34</v>
          </cell>
        </row>
        <row r="370">
          <cell r="A370">
            <v>42582</v>
          </cell>
          <cell r="B370">
            <v>2976.7</v>
          </cell>
        </row>
        <row r="371">
          <cell r="A371">
            <v>42589</v>
          </cell>
          <cell r="B371">
            <v>3050.67</v>
          </cell>
        </row>
        <row r="372">
          <cell r="A372">
            <v>42596</v>
          </cell>
          <cell r="B372">
            <v>3108.1</v>
          </cell>
        </row>
        <row r="373">
          <cell r="A373">
            <v>42603</v>
          </cell>
          <cell r="B373">
            <v>3070.31</v>
          </cell>
        </row>
        <row r="374">
          <cell r="A374">
            <v>42610</v>
          </cell>
          <cell r="B374">
            <v>3067.35</v>
          </cell>
        </row>
        <row r="375">
          <cell r="A375">
            <v>42617</v>
          </cell>
          <cell r="B375">
            <v>3078.85</v>
          </cell>
        </row>
        <row r="376">
          <cell r="A376">
            <v>42624</v>
          </cell>
          <cell r="B376">
            <v>3002.85</v>
          </cell>
        </row>
        <row r="377">
          <cell r="A377">
            <v>42631</v>
          </cell>
          <cell r="B377">
            <v>3033.9</v>
          </cell>
        </row>
        <row r="378">
          <cell r="A378">
            <v>42638</v>
          </cell>
          <cell r="B378">
            <v>3004.7</v>
          </cell>
        </row>
        <row r="379">
          <cell r="A379">
            <v>42652</v>
          </cell>
          <cell r="B379">
            <v>3063.81</v>
          </cell>
        </row>
        <row r="380">
          <cell r="A380">
            <v>42659</v>
          </cell>
          <cell r="B380">
            <v>3090.94</v>
          </cell>
        </row>
        <row r="381">
          <cell r="A381">
            <v>42666</v>
          </cell>
          <cell r="B381">
            <v>3104.27</v>
          </cell>
        </row>
        <row r="382">
          <cell r="A382">
            <v>42673</v>
          </cell>
          <cell r="B382">
            <v>3125.32</v>
          </cell>
        </row>
        <row r="383">
          <cell r="A383">
            <v>42680</v>
          </cell>
          <cell r="B383">
            <v>3196.04</v>
          </cell>
        </row>
        <row r="384">
          <cell r="A384">
            <v>42687</v>
          </cell>
          <cell r="B384">
            <v>3192.86</v>
          </cell>
        </row>
        <row r="385">
          <cell r="A385">
            <v>42694</v>
          </cell>
          <cell r="B385">
            <v>3261.94</v>
          </cell>
        </row>
        <row r="386">
          <cell r="A386">
            <v>42701</v>
          </cell>
          <cell r="B386">
            <v>3243.84</v>
          </cell>
        </row>
        <row r="387">
          <cell r="A387">
            <v>42708</v>
          </cell>
          <cell r="B387">
            <v>3232.88</v>
          </cell>
        </row>
        <row r="388">
          <cell r="A388">
            <v>42715</v>
          </cell>
          <cell r="B388">
            <v>3122.98</v>
          </cell>
        </row>
        <row r="389">
          <cell r="A389">
            <v>42722</v>
          </cell>
          <cell r="B389">
            <v>3110.15</v>
          </cell>
        </row>
        <row r="390">
          <cell r="A390">
            <v>42729</v>
          </cell>
          <cell r="B390">
            <v>3103.64</v>
          </cell>
        </row>
        <row r="391">
          <cell r="A391">
            <v>42736</v>
          </cell>
          <cell r="B391">
            <v>3154.32</v>
          </cell>
        </row>
        <row r="392">
          <cell r="A392">
            <v>42743</v>
          </cell>
          <cell r="B392">
            <v>3112.76</v>
          </cell>
        </row>
        <row r="393">
          <cell r="A393">
            <v>42750</v>
          </cell>
          <cell r="B393">
            <v>3123.14</v>
          </cell>
        </row>
        <row r="394">
          <cell r="A394">
            <v>42757</v>
          </cell>
          <cell r="B394">
            <v>3159.17</v>
          </cell>
        </row>
        <row r="395">
          <cell r="A395">
            <v>42764</v>
          </cell>
          <cell r="B395">
            <v>3140.17</v>
          </cell>
        </row>
        <row r="396">
          <cell r="A396">
            <v>42771</v>
          </cell>
          <cell r="B396">
            <v>3196.7</v>
          </cell>
        </row>
        <row r="397">
          <cell r="A397">
            <v>42778</v>
          </cell>
          <cell r="B397">
            <v>3202.08</v>
          </cell>
        </row>
        <row r="398">
          <cell r="A398">
            <v>42785</v>
          </cell>
          <cell r="B398">
            <v>3253.43</v>
          </cell>
        </row>
        <row r="399">
          <cell r="A399">
            <v>42792</v>
          </cell>
          <cell r="B399">
            <v>3218.31</v>
          </cell>
        </row>
        <row r="400">
          <cell r="A400">
            <v>42799</v>
          </cell>
          <cell r="B400">
            <v>3212.76</v>
          </cell>
        </row>
        <row r="401">
          <cell r="A401">
            <v>42806</v>
          </cell>
          <cell r="B401">
            <v>3237.45</v>
          </cell>
        </row>
        <row r="402">
          <cell r="A402">
            <v>42813</v>
          </cell>
          <cell r="B402">
            <v>3269.45</v>
          </cell>
        </row>
        <row r="403">
          <cell r="A403">
            <v>42820</v>
          </cell>
          <cell r="B403">
            <v>3222.51</v>
          </cell>
        </row>
        <row r="404">
          <cell r="A404">
            <v>42827</v>
          </cell>
          <cell r="B404">
            <v>3286.62</v>
          </cell>
        </row>
        <row r="405">
          <cell r="A405">
            <v>42834</v>
          </cell>
          <cell r="B405">
            <v>3246.07</v>
          </cell>
        </row>
        <row r="406">
          <cell r="A406">
            <v>42841</v>
          </cell>
          <cell r="B406">
            <v>3173.15</v>
          </cell>
        </row>
        <row r="407">
          <cell r="A407">
            <v>42848</v>
          </cell>
          <cell r="B407">
            <v>3154.66</v>
          </cell>
        </row>
        <row r="408">
          <cell r="A408">
            <v>42855</v>
          </cell>
          <cell r="B408">
            <v>3103.04</v>
          </cell>
        </row>
        <row r="409">
          <cell r="A409">
            <v>42862</v>
          </cell>
          <cell r="B409">
            <v>3083.51</v>
          </cell>
        </row>
        <row r="410">
          <cell r="A410">
            <v>42869</v>
          </cell>
          <cell r="B410">
            <v>3090.63</v>
          </cell>
        </row>
        <row r="411">
          <cell r="A411">
            <v>42876</v>
          </cell>
          <cell r="B411">
            <v>3110.06</v>
          </cell>
        </row>
        <row r="412">
          <cell r="A412">
            <v>42883</v>
          </cell>
          <cell r="B412">
            <v>3105.54</v>
          </cell>
        </row>
        <row r="413">
          <cell r="A413">
            <v>42890</v>
          </cell>
          <cell r="B413">
            <v>3158.4</v>
          </cell>
        </row>
        <row r="414">
          <cell r="A414">
            <v>42897</v>
          </cell>
          <cell r="B414">
            <v>3123.17</v>
          </cell>
        </row>
        <row r="415">
          <cell r="A415">
            <v>42904</v>
          </cell>
          <cell r="B415">
            <v>3157.87</v>
          </cell>
        </row>
        <row r="416">
          <cell r="A416">
            <v>42911</v>
          </cell>
          <cell r="B416">
            <v>3192.43</v>
          </cell>
        </row>
        <row r="417">
          <cell r="A417">
            <v>42918</v>
          </cell>
          <cell r="B417">
            <v>3217.96</v>
          </cell>
        </row>
        <row r="418">
          <cell r="A418">
            <v>42925</v>
          </cell>
          <cell r="B418">
            <v>3222.42</v>
          </cell>
        </row>
        <row r="419">
          <cell r="A419">
            <v>42932</v>
          </cell>
          <cell r="B419">
            <v>3237.98</v>
          </cell>
        </row>
        <row r="420">
          <cell r="A420">
            <v>42939</v>
          </cell>
          <cell r="B420">
            <v>3253.24</v>
          </cell>
        </row>
        <row r="421">
          <cell r="A421">
            <v>42946</v>
          </cell>
          <cell r="B421">
            <v>3262.08</v>
          </cell>
        </row>
        <row r="422">
          <cell r="A422">
            <v>42953</v>
          </cell>
          <cell r="B422">
            <v>3208.54</v>
          </cell>
        </row>
        <row r="423">
          <cell r="A423">
            <v>42960</v>
          </cell>
          <cell r="B423">
            <v>3268.72</v>
          </cell>
        </row>
        <row r="424">
          <cell r="A424">
            <v>42967</v>
          </cell>
          <cell r="B424">
            <v>3331.52</v>
          </cell>
        </row>
        <row r="425">
          <cell r="A425">
            <v>42974</v>
          </cell>
          <cell r="B425">
            <v>3367.12</v>
          </cell>
        </row>
        <row r="426">
          <cell r="A426">
            <v>42981</v>
          </cell>
          <cell r="B426">
            <v>3365.24</v>
          </cell>
        </row>
        <row r="427">
          <cell r="A427">
            <v>42988</v>
          </cell>
          <cell r="B427">
            <v>3353.62</v>
          </cell>
        </row>
        <row r="428">
          <cell r="A428">
            <v>42995</v>
          </cell>
          <cell r="B428">
            <v>3352.53</v>
          </cell>
        </row>
        <row r="429">
          <cell r="A429">
            <v>43002</v>
          </cell>
          <cell r="B429">
            <v>3348.94</v>
          </cell>
        </row>
        <row r="430">
          <cell r="A430">
            <v>43016</v>
          </cell>
          <cell r="B430">
            <v>3390.52</v>
          </cell>
        </row>
        <row r="431">
          <cell r="A431">
            <v>43023</v>
          </cell>
          <cell r="B431">
            <v>3378.65</v>
          </cell>
        </row>
        <row r="432">
          <cell r="A432">
            <v>43030</v>
          </cell>
          <cell r="B432">
            <v>3416.81</v>
          </cell>
        </row>
        <row r="433">
          <cell r="A433">
            <v>43037</v>
          </cell>
          <cell r="B433">
            <v>3371.74</v>
          </cell>
        </row>
        <row r="434">
          <cell r="A434">
            <v>43044</v>
          </cell>
          <cell r="B434">
            <v>3432.67</v>
          </cell>
        </row>
        <row r="435">
          <cell r="A435">
            <v>43051</v>
          </cell>
          <cell r="B435">
            <v>3382.91</v>
          </cell>
        </row>
        <row r="436">
          <cell r="A436">
            <v>43058</v>
          </cell>
          <cell r="B436">
            <v>3353.82</v>
          </cell>
        </row>
        <row r="437">
          <cell r="A437">
            <v>43065</v>
          </cell>
          <cell r="B437">
            <v>3317.62</v>
          </cell>
        </row>
        <row r="438">
          <cell r="A438">
            <v>43072</v>
          </cell>
          <cell r="B438">
            <v>3289.99</v>
          </cell>
        </row>
        <row r="439">
          <cell r="A439">
            <v>43079</v>
          </cell>
          <cell r="B439">
            <v>3266.14</v>
          </cell>
        </row>
        <row r="440">
          <cell r="A440">
            <v>43086</v>
          </cell>
          <cell r="B440">
            <v>3297.06</v>
          </cell>
        </row>
        <row r="441">
          <cell r="A441">
            <v>43093</v>
          </cell>
          <cell r="B441">
            <v>3307.17</v>
          </cell>
        </row>
        <row r="442">
          <cell r="A442">
            <v>43100</v>
          </cell>
          <cell r="B442">
            <v>3391.75</v>
          </cell>
        </row>
        <row r="443">
          <cell r="A443">
            <v>43107</v>
          </cell>
          <cell r="B443">
            <v>3428.94</v>
          </cell>
        </row>
        <row r="444">
          <cell r="A444">
            <v>43114</v>
          </cell>
          <cell r="B444">
            <v>3487.86</v>
          </cell>
        </row>
        <row r="445">
          <cell r="A445">
            <v>43121</v>
          </cell>
          <cell r="B445">
            <v>3558.13</v>
          </cell>
        </row>
        <row r="446">
          <cell r="A446">
            <v>43128</v>
          </cell>
          <cell r="B446">
            <v>3462.08</v>
          </cell>
        </row>
        <row r="447">
          <cell r="A447">
            <v>43135</v>
          </cell>
          <cell r="B447">
            <v>3129.85</v>
          </cell>
        </row>
        <row r="448">
          <cell r="A448">
            <v>43142</v>
          </cell>
          <cell r="B448">
            <v>3199.16</v>
          </cell>
        </row>
        <row r="449">
          <cell r="A449">
            <v>43149</v>
          </cell>
          <cell r="B449">
            <v>3289.02</v>
          </cell>
        </row>
        <row r="450">
          <cell r="A450">
            <v>43156</v>
          </cell>
          <cell r="B450">
            <v>3254.53</v>
          </cell>
        </row>
        <row r="451">
          <cell r="A451">
            <v>43163</v>
          </cell>
          <cell r="B451">
            <v>3307.17</v>
          </cell>
        </row>
        <row r="452">
          <cell r="A452">
            <v>43170</v>
          </cell>
          <cell r="B452">
            <v>3269.88</v>
          </cell>
        </row>
        <row r="453">
          <cell r="A453">
            <v>43177</v>
          </cell>
          <cell r="B453">
            <v>3152.76</v>
          </cell>
        </row>
        <row r="454">
          <cell r="A454">
            <v>43184</v>
          </cell>
          <cell r="B454">
            <v>3168.9</v>
          </cell>
        </row>
        <row r="455">
          <cell r="A455">
            <v>43191</v>
          </cell>
          <cell r="B455">
            <v>3131.11</v>
          </cell>
        </row>
        <row r="456">
          <cell r="A456">
            <v>43198</v>
          </cell>
          <cell r="B456">
            <v>3159.05</v>
          </cell>
        </row>
        <row r="457">
          <cell r="A457">
            <v>43205</v>
          </cell>
          <cell r="B457">
            <v>3071.54</v>
          </cell>
        </row>
        <row r="458">
          <cell r="A458">
            <v>43212</v>
          </cell>
          <cell r="B458">
            <v>3082.23</v>
          </cell>
        </row>
        <row r="459">
          <cell r="A459">
            <v>43219</v>
          </cell>
          <cell r="B459">
            <v>3091.03</v>
          </cell>
        </row>
        <row r="460">
          <cell r="A460">
            <v>43226</v>
          </cell>
          <cell r="B460">
            <v>3163.26</v>
          </cell>
        </row>
        <row r="461">
          <cell r="A461">
            <v>43233</v>
          </cell>
          <cell r="B461">
            <v>3193.3</v>
          </cell>
        </row>
        <row r="462">
          <cell r="A462">
            <v>43240</v>
          </cell>
          <cell r="B462">
            <v>3141.3</v>
          </cell>
        </row>
        <row r="463">
          <cell r="A463">
            <v>43247</v>
          </cell>
          <cell r="B463">
            <v>3075.14</v>
          </cell>
        </row>
        <row r="464">
          <cell r="A464">
            <v>43254</v>
          </cell>
          <cell r="B464">
            <v>3067.15</v>
          </cell>
        </row>
        <row r="465">
          <cell r="A465">
            <v>43261</v>
          </cell>
          <cell r="B465">
            <v>3021.9</v>
          </cell>
        </row>
        <row r="466">
          <cell r="A466">
            <v>43268</v>
          </cell>
          <cell r="B466">
            <v>2889.76</v>
          </cell>
        </row>
        <row r="467">
          <cell r="A467">
            <v>43275</v>
          </cell>
          <cell r="B467">
            <v>2847.42</v>
          </cell>
        </row>
        <row r="468">
          <cell r="A468">
            <v>43282</v>
          </cell>
          <cell r="B468">
            <v>2747.23</v>
          </cell>
        </row>
        <row r="469">
          <cell r="A469">
            <v>43289</v>
          </cell>
          <cell r="B469">
            <v>2831.18</v>
          </cell>
        </row>
        <row r="470">
          <cell r="A470">
            <v>43296</v>
          </cell>
          <cell r="B470">
            <v>2829.27</v>
          </cell>
        </row>
        <row r="471">
          <cell r="A471">
            <v>43303</v>
          </cell>
          <cell r="B471">
            <v>2873.59</v>
          </cell>
        </row>
        <row r="472">
          <cell r="A472">
            <v>43310</v>
          </cell>
          <cell r="B472">
            <v>2740.44</v>
          </cell>
        </row>
        <row r="473">
          <cell r="A473">
            <v>43317</v>
          </cell>
          <cell r="B473">
            <v>2795.31</v>
          </cell>
        </row>
        <row r="474">
          <cell r="A474">
            <v>43324</v>
          </cell>
          <cell r="B474">
            <v>2668.97</v>
          </cell>
        </row>
        <row r="475">
          <cell r="A475">
            <v>43331</v>
          </cell>
          <cell r="B475">
            <v>2729.43</v>
          </cell>
        </row>
        <row r="476">
          <cell r="A476">
            <v>43338</v>
          </cell>
          <cell r="B476">
            <v>2725.25</v>
          </cell>
        </row>
        <row r="477">
          <cell r="A477">
            <v>43345</v>
          </cell>
          <cell r="B477">
            <v>2702.3</v>
          </cell>
        </row>
        <row r="478">
          <cell r="A478">
            <v>43352</v>
          </cell>
          <cell r="B478">
            <v>2681.64</v>
          </cell>
        </row>
        <row r="479">
          <cell r="A479">
            <v>43359</v>
          </cell>
          <cell r="B479">
            <v>2797.48</v>
          </cell>
        </row>
        <row r="480">
          <cell r="A480">
            <v>43366</v>
          </cell>
          <cell r="B480">
            <v>2821.35</v>
          </cell>
        </row>
        <row r="481">
          <cell r="A481">
            <v>43380</v>
          </cell>
          <cell r="B481">
            <v>2606.91</v>
          </cell>
        </row>
        <row r="482">
          <cell r="A482">
            <v>43387</v>
          </cell>
          <cell r="B482">
            <v>2550.4699999999998</v>
          </cell>
        </row>
        <row r="483">
          <cell r="A483">
            <v>43394</v>
          </cell>
          <cell r="B483">
            <v>2598.85</v>
          </cell>
        </row>
        <row r="484">
          <cell r="A484">
            <v>43401</v>
          </cell>
          <cell r="B484">
            <v>2676.48</v>
          </cell>
        </row>
        <row r="485">
          <cell r="A485">
            <v>43408</v>
          </cell>
          <cell r="B485">
            <v>2598.87</v>
          </cell>
        </row>
        <row r="486">
          <cell r="A486">
            <v>43415</v>
          </cell>
          <cell r="B486">
            <v>2679.11</v>
          </cell>
        </row>
        <row r="487">
          <cell r="A487">
            <v>43422</v>
          </cell>
          <cell r="B487">
            <v>2579.48</v>
          </cell>
        </row>
        <row r="488">
          <cell r="A488">
            <v>43429</v>
          </cell>
          <cell r="B488">
            <v>2588.19</v>
          </cell>
        </row>
        <row r="489">
          <cell r="A489">
            <v>43436</v>
          </cell>
          <cell r="B489">
            <v>2605.89</v>
          </cell>
        </row>
        <row r="490">
          <cell r="A490">
            <v>43443</v>
          </cell>
          <cell r="B490">
            <v>2593.7399999999998</v>
          </cell>
        </row>
        <row r="491">
          <cell r="A491">
            <v>43450</v>
          </cell>
          <cell r="B491">
            <v>2516.25</v>
          </cell>
        </row>
        <row r="492">
          <cell r="A492">
            <v>43457</v>
          </cell>
          <cell r="B492">
            <v>2493.9</v>
          </cell>
        </row>
        <row r="493">
          <cell r="A493">
            <v>43464</v>
          </cell>
          <cell r="B493">
            <v>2514.87</v>
          </cell>
        </row>
        <row r="494">
          <cell r="A494">
            <v>43471</v>
          </cell>
          <cell r="B494">
            <v>2553.83</v>
          </cell>
        </row>
        <row r="495">
          <cell r="A495">
            <v>43478</v>
          </cell>
          <cell r="B495">
            <v>2596.0100000000002</v>
          </cell>
        </row>
        <row r="496">
          <cell r="A496">
            <v>43485</v>
          </cell>
          <cell r="B496">
            <v>2601.7199999999998</v>
          </cell>
        </row>
        <row r="497">
          <cell r="A497">
            <v>43492</v>
          </cell>
          <cell r="B497">
            <v>2618.23</v>
          </cell>
        </row>
        <row r="498">
          <cell r="A498">
            <v>43506</v>
          </cell>
          <cell r="B498">
            <v>2682.39</v>
          </cell>
        </row>
        <row r="499">
          <cell r="A499">
            <v>43513</v>
          </cell>
          <cell r="B499">
            <v>2804.23</v>
          </cell>
        </row>
        <row r="500">
          <cell r="A500">
            <v>43520</v>
          </cell>
          <cell r="B500">
            <v>2994.01</v>
          </cell>
        </row>
        <row r="501">
          <cell r="A501">
            <v>43527</v>
          </cell>
          <cell r="B501">
            <v>2969.86</v>
          </cell>
        </row>
        <row r="502">
          <cell r="A502">
            <v>43534</v>
          </cell>
          <cell r="B502">
            <v>3021.75</v>
          </cell>
        </row>
        <row r="503">
          <cell r="A503">
            <v>43541</v>
          </cell>
          <cell r="B503">
            <v>3104.15</v>
          </cell>
        </row>
        <row r="504">
          <cell r="A504">
            <v>43548</v>
          </cell>
          <cell r="B504">
            <v>3090.76</v>
          </cell>
        </row>
        <row r="505">
          <cell r="A505">
            <v>43555</v>
          </cell>
          <cell r="B505">
            <v>3246.57</v>
          </cell>
        </row>
        <row r="506">
          <cell r="A506">
            <v>43562</v>
          </cell>
          <cell r="B506">
            <v>3188.63</v>
          </cell>
        </row>
        <row r="507">
          <cell r="A507">
            <v>43569</v>
          </cell>
          <cell r="B507">
            <v>3270.8</v>
          </cell>
        </row>
        <row r="508">
          <cell r="A508">
            <v>43576</v>
          </cell>
          <cell r="B508">
            <v>3086.4</v>
          </cell>
        </row>
        <row r="509">
          <cell r="A509">
            <v>43583</v>
          </cell>
          <cell r="B509">
            <v>3078.34</v>
          </cell>
        </row>
        <row r="510">
          <cell r="A510">
            <v>43590</v>
          </cell>
          <cell r="B510">
            <v>2939.21</v>
          </cell>
        </row>
        <row r="511">
          <cell r="A511">
            <v>43597</v>
          </cell>
          <cell r="B511">
            <v>2882.3</v>
          </cell>
        </row>
        <row r="512">
          <cell r="A512">
            <v>43604</v>
          </cell>
          <cell r="B512">
            <v>2852.99</v>
          </cell>
        </row>
        <row r="513">
          <cell r="A513">
            <v>43611</v>
          </cell>
          <cell r="B513">
            <v>2898.7</v>
          </cell>
        </row>
        <row r="514">
          <cell r="A514">
            <v>43618</v>
          </cell>
          <cell r="B514">
            <v>2827.8</v>
          </cell>
        </row>
        <row r="515">
          <cell r="A515">
            <v>43625</v>
          </cell>
          <cell r="B515">
            <v>2881.97</v>
          </cell>
        </row>
        <row r="516">
          <cell r="A516">
            <v>43632</v>
          </cell>
          <cell r="B516">
            <v>3001.98</v>
          </cell>
        </row>
        <row r="517">
          <cell r="A517">
            <v>43639</v>
          </cell>
          <cell r="B517">
            <v>2978.88</v>
          </cell>
        </row>
        <row r="518">
          <cell r="A518">
            <v>43646</v>
          </cell>
          <cell r="B518">
            <v>3011.06</v>
          </cell>
        </row>
        <row r="519">
          <cell r="A519">
            <v>43653</v>
          </cell>
          <cell r="B519">
            <v>2930.55</v>
          </cell>
        </row>
        <row r="520">
          <cell r="A520">
            <v>43660</v>
          </cell>
          <cell r="B520">
            <v>2924.2</v>
          </cell>
        </row>
        <row r="521">
          <cell r="A521">
            <v>43667</v>
          </cell>
          <cell r="B521">
            <v>2944.54</v>
          </cell>
        </row>
        <row r="522">
          <cell r="A522">
            <v>43674</v>
          </cell>
          <cell r="B522">
            <v>2867.84</v>
          </cell>
        </row>
        <row r="523">
          <cell r="A523">
            <v>43681</v>
          </cell>
          <cell r="B523">
            <v>2774.75</v>
          </cell>
        </row>
        <row r="524">
          <cell r="A524">
            <v>43688</v>
          </cell>
          <cell r="B524">
            <v>2823.82</v>
          </cell>
        </row>
        <row r="525">
          <cell r="A525">
            <v>43695</v>
          </cell>
          <cell r="B525">
            <v>2897.43</v>
          </cell>
        </row>
        <row r="526">
          <cell r="A526">
            <v>43702</v>
          </cell>
          <cell r="B526">
            <v>2886.24</v>
          </cell>
        </row>
        <row r="527">
          <cell r="A527">
            <v>43709</v>
          </cell>
          <cell r="B527">
            <v>2999.6</v>
          </cell>
        </row>
        <row r="528">
          <cell r="A528">
            <v>43716</v>
          </cell>
          <cell r="B528">
            <v>3031.24</v>
          </cell>
        </row>
        <row r="529">
          <cell r="A529">
            <v>43723</v>
          </cell>
          <cell r="B529">
            <v>3006.45</v>
          </cell>
        </row>
        <row r="530">
          <cell r="A530">
            <v>43730</v>
          </cell>
          <cell r="B530">
            <v>2932.17</v>
          </cell>
        </row>
        <row r="531">
          <cell r="A531">
            <v>43737</v>
          </cell>
          <cell r="B531">
            <v>2905.19</v>
          </cell>
        </row>
        <row r="532">
          <cell r="A532">
            <v>43744</v>
          </cell>
          <cell r="B532">
            <v>2973.66</v>
          </cell>
        </row>
        <row r="533">
          <cell r="A533">
            <v>43751</v>
          </cell>
          <cell r="B533">
            <v>2938.14</v>
          </cell>
        </row>
        <row r="534">
          <cell r="A534">
            <v>43758</v>
          </cell>
          <cell r="B534">
            <v>2954.93</v>
          </cell>
        </row>
        <row r="535">
          <cell r="A535">
            <v>43765</v>
          </cell>
          <cell r="B535">
            <v>2958.2</v>
          </cell>
        </row>
        <row r="536">
          <cell r="A536">
            <v>43772</v>
          </cell>
          <cell r="B536">
            <v>2964.18</v>
          </cell>
        </row>
        <row r="537">
          <cell r="A537">
            <v>43779</v>
          </cell>
          <cell r="B537">
            <v>2891.34</v>
          </cell>
        </row>
        <row r="538">
          <cell r="A538">
            <v>43786</v>
          </cell>
          <cell r="B538">
            <v>2885.29</v>
          </cell>
        </row>
        <row r="539">
          <cell r="A539">
            <v>43793</v>
          </cell>
          <cell r="B539">
            <v>2871.98</v>
          </cell>
        </row>
        <row r="540">
          <cell r="A540">
            <v>43800</v>
          </cell>
          <cell r="B540">
            <v>2912.01</v>
          </cell>
        </row>
        <row r="541">
          <cell r="A541">
            <v>43807</v>
          </cell>
          <cell r="B541">
            <v>2967.68</v>
          </cell>
        </row>
        <row r="542">
          <cell r="A542">
            <v>43814</v>
          </cell>
          <cell r="B542">
            <v>3004.94</v>
          </cell>
        </row>
        <row r="543">
          <cell r="A543">
            <v>43821</v>
          </cell>
          <cell r="B543">
            <v>3005.04</v>
          </cell>
        </row>
        <row r="544">
          <cell r="A544">
            <v>43828</v>
          </cell>
          <cell r="B544">
            <v>3083.79</v>
          </cell>
        </row>
        <row r="545">
          <cell r="A545">
            <v>43835</v>
          </cell>
          <cell r="B545">
            <v>3092.29</v>
          </cell>
        </row>
        <row r="546">
          <cell r="A546">
            <v>43842</v>
          </cell>
          <cell r="B546">
            <v>3075.5</v>
          </cell>
        </row>
        <row r="547">
          <cell r="A547">
            <v>43849</v>
          </cell>
          <cell r="B547">
            <v>2976.53</v>
          </cell>
        </row>
        <row r="548">
          <cell r="A548">
            <v>43863</v>
          </cell>
          <cell r="B548">
            <v>2875.96</v>
          </cell>
        </row>
        <row r="549">
          <cell r="A549">
            <v>43870</v>
          </cell>
          <cell r="B549">
            <v>2917.01</v>
          </cell>
        </row>
        <row r="550">
          <cell r="A550">
            <v>43877</v>
          </cell>
          <cell r="B550">
            <v>3039.67</v>
          </cell>
        </row>
        <row r="551">
          <cell r="A551">
            <v>43884</v>
          </cell>
          <cell r="B551">
            <v>2880.3</v>
          </cell>
        </row>
        <row r="552">
          <cell r="A552">
            <v>43891</v>
          </cell>
          <cell r="B552">
            <v>3034.51</v>
          </cell>
        </row>
        <row r="553">
          <cell r="A553">
            <v>43898</v>
          </cell>
          <cell r="B553">
            <v>2887.43</v>
          </cell>
        </row>
        <row r="554">
          <cell r="A554">
            <v>43905</v>
          </cell>
          <cell r="B554">
            <v>2745.62</v>
          </cell>
        </row>
        <row r="555">
          <cell r="A555">
            <v>43912</v>
          </cell>
          <cell r="B555">
            <v>2772.2</v>
          </cell>
        </row>
        <row r="556">
          <cell r="A556">
            <v>43919</v>
          </cell>
          <cell r="B556">
            <v>2763.99</v>
          </cell>
        </row>
        <row r="557">
          <cell r="A557">
            <v>43926</v>
          </cell>
          <cell r="B557">
            <v>2796.63</v>
          </cell>
        </row>
        <row r="558">
          <cell r="A558">
            <v>43933</v>
          </cell>
          <cell r="B558">
            <v>2838.49</v>
          </cell>
        </row>
        <row r="559">
          <cell r="A559">
            <v>43940</v>
          </cell>
          <cell r="B559">
            <v>2808.53</v>
          </cell>
        </row>
        <row r="560">
          <cell r="A560">
            <v>43947</v>
          </cell>
          <cell r="B560">
            <v>2860.08</v>
          </cell>
        </row>
        <row r="561">
          <cell r="A561">
            <v>43954</v>
          </cell>
          <cell r="B561">
            <v>2895.34</v>
          </cell>
        </row>
        <row r="562">
          <cell r="A562">
            <v>43961</v>
          </cell>
          <cell r="B562">
            <v>2868.46</v>
          </cell>
        </row>
        <row r="563">
          <cell r="A563">
            <v>43968</v>
          </cell>
          <cell r="B563">
            <v>2813.77</v>
          </cell>
        </row>
        <row r="564">
          <cell r="A564">
            <v>43975</v>
          </cell>
          <cell r="B564">
            <v>2852.35</v>
          </cell>
        </row>
        <row r="565">
          <cell r="A565">
            <v>43982</v>
          </cell>
          <cell r="B565">
            <v>2930.8</v>
          </cell>
        </row>
        <row r="566">
          <cell r="A566">
            <v>43989</v>
          </cell>
          <cell r="B566">
            <v>2919.74</v>
          </cell>
        </row>
        <row r="567">
          <cell r="A567">
            <v>43996</v>
          </cell>
          <cell r="B567">
            <v>2967.63</v>
          </cell>
        </row>
        <row r="568">
          <cell r="A568">
            <v>44003</v>
          </cell>
          <cell r="B568">
            <v>2979.55</v>
          </cell>
        </row>
        <row r="569">
          <cell r="A569">
            <v>44010</v>
          </cell>
          <cell r="B569">
            <v>3152.81</v>
          </cell>
        </row>
        <row r="570">
          <cell r="A570">
            <v>44017</v>
          </cell>
          <cell r="B570">
            <v>3383.32</v>
          </cell>
        </row>
        <row r="571">
          <cell r="A571">
            <v>44024</v>
          </cell>
          <cell r="B571">
            <v>3214.13</v>
          </cell>
        </row>
        <row r="572">
          <cell r="A572">
            <v>44031</v>
          </cell>
          <cell r="B572">
            <v>3196.77</v>
          </cell>
        </row>
        <row r="573">
          <cell r="A573">
            <v>44038</v>
          </cell>
          <cell r="B573">
            <v>3310.01</v>
          </cell>
        </row>
        <row r="574">
          <cell r="A574">
            <v>44045</v>
          </cell>
          <cell r="B574">
            <v>3354.04</v>
          </cell>
        </row>
        <row r="575">
          <cell r="A575">
            <v>44052</v>
          </cell>
          <cell r="B575">
            <v>3360.1</v>
          </cell>
        </row>
        <row r="576">
          <cell r="A576">
            <v>44059</v>
          </cell>
          <cell r="B576">
            <v>3380.68</v>
          </cell>
        </row>
        <row r="577">
          <cell r="A577">
            <v>44066</v>
          </cell>
          <cell r="B577">
            <v>3403.81</v>
          </cell>
        </row>
        <row r="578">
          <cell r="A578">
            <v>44073</v>
          </cell>
          <cell r="B578">
            <v>3355.37</v>
          </cell>
        </row>
        <row r="579">
          <cell r="A579">
            <v>44080</v>
          </cell>
          <cell r="B579">
            <v>3260.35</v>
          </cell>
        </row>
        <row r="580">
          <cell r="A580">
            <v>44087</v>
          </cell>
          <cell r="B580">
            <v>3338.09</v>
          </cell>
        </row>
        <row r="581">
          <cell r="A581">
            <v>44094</v>
          </cell>
          <cell r="B581">
            <v>3219.42</v>
          </cell>
        </row>
        <row r="582">
          <cell r="A582">
            <v>44101</v>
          </cell>
          <cell r="B582">
            <v>3218.05</v>
          </cell>
        </row>
        <row r="583">
          <cell r="A583">
            <v>44108</v>
          </cell>
          <cell r="B583">
            <v>3272.08</v>
          </cell>
        </row>
        <row r="584">
          <cell r="A584">
            <v>44115</v>
          </cell>
          <cell r="B584">
            <v>3336.36</v>
          </cell>
        </row>
        <row r="585">
          <cell r="A585">
            <v>44122</v>
          </cell>
          <cell r="B585">
            <v>3278</v>
          </cell>
        </row>
        <row r="586">
          <cell r="A586">
            <v>44129</v>
          </cell>
          <cell r="B586">
            <v>3224.53</v>
          </cell>
        </row>
        <row r="587">
          <cell r="A587">
            <v>44136</v>
          </cell>
          <cell r="B587">
            <v>3312.16</v>
          </cell>
        </row>
        <row r="588">
          <cell r="A588">
            <v>44143</v>
          </cell>
          <cell r="B588">
            <v>3310.1</v>
          </cell>
        </row>
        <row r="589">
          <cell r="A589">
            <v>44150</v>
          </cell>
          <cell r="B589">
            <v>3377.73</v>
          </cell>
        </row>
        <row r="590">
          <cell r="A590">
            <v>44157</v>
          </cell>
          <cell r="B590">
            <v>3408.31</v>
          </cell>
        </row>
        <row r="591">
          <cell r="A591">
            <v>44164</v>
          </cell>
          <cell r="B591">
            <v>3444.58</v>
          </cell>
        </row>
        <row r="592">
          <cell r="A592">
            <v>44171</v>
          </cell>
          <cell r="B592">
            <v>3347.19</v>
          </cell>
        </row>
        <row r="593">
          <cell r="A593">
            <v>44178</v>
          </cell>
          <cell r="B593">
            <v>3394.9</v>
          </cell>
        </row>
        <row r="594">
          <cell r="A594">
            <v>44185</v>
          </cell>
          <cell r="B594">
            <v>3396.56</v>
          </cell>
        </row>
        <row r="595">
          <cell r="A595">
            <v>44192</v>
          </cell>
          <cell r="B595">
            <v>3473.07</v>
          </cell>
        </row>
        <row r="596">
          <cell r="A596">
            <v>44199</v>
          </cell>
          <cell r="B596">
            <v>3570.11</v>
          </cell>
        </row>
        <row r="597">
          <cell r="A597">
            <v>44206</v>
          </cell>
          <cell r="B597">
            <v>3566.38</v>
          </cell>
        </row>
        <row r="598">
          <cell r="A598">
            <v>44213</v>
          </cell>
          <cell r="B598">
            <v>3606.75</v>
          </cell>
        </row>
        <row r="599">
          <cell r="A599">
            <v>44220</v>
          </cell>
          <cell r="B599">
            <v>3483.07</v>
          </cell>
        </row>
        <row r="600">
          <cell r="A600">
            <v>44227</v>
          </cell>
          <cell r="B600">
            <v>3496.33</v>
          </cell>
        </row>
        <row r="601">
          <cell r="A601">
            <v>44234</v>
          </cell>
          <cell r="B601">
            <v>3655.09</v>
          </cell>
        </row>
        <row r="602">
          <cell r="A602">
            <v>44241</v>
          </cell>
          <cell r="B602">
            <v>3696.17</v>
          </cell>
        </row>
        <row r="603">
          <cell r="A603">
            <v>44248</v>
          </cell>
          <cell r="B603">
            <v>3509.08</v>
          </cell>
        </row>
        <row r="604">
          <cell r="A604">
            <v>44255</v>
          </cell>
          <cell r="B604">
            <v>3501.99</v>
          </cell>
        </row>
        <row r="605">
          <cell r="A605">
            <v>44262</v>
          </cell>
          <cell r="B605">
            <v>3453.08</v>
          </cell>
        </row>
        <row r="606">
          <cell r="A606">
            <v>44269</v>
          </cell>
          <cell r="B606">
            <v>3404.66</v>
          </cell>
        </row>
        <row r="607">
          <cell r="A607">
            <v>44276</v>
          </cell>
          <cell r="B607">
            <v>3418.33</v>
          </cell>
        </row>
        <row r="608">
          <cell r="A608">
            <v>44283</v>
          </cell>
          <cell r="B608">
            <v>3484.39</v>
          </cell>
        </row>
        <row r="609">
          <cell r="A609">
            <v>44290</v>
          </cell>
          <cell r="B609">
            <v>3450.68</v>
          </cell>
        </row>
        <row r="610">
          <cell r="A610">
            <v>44297</v>
          </cell>
          <cell r="B610">
            <v>3426.62</v>
          </cell>
        </row>
        <row r="611">
          <cell r="A611">
            <v>44304</v>
          </cell>
          <cell r="B611">
            <v>3474.17</v>
          </cell>
        </row>
        <row r="612">
          <cell r="A612">
            <v>44311</v>
          </cell>
          <cell r="B612">
            <v>3446.86</v>
          </cell>
        </row>
        <row r="613">
          <cell r="A613">
            <v>44318</v>
          </cell>
          <cell r="B613">
            <v>3418.87</v>
          </cell>
        </row>
        <row r="614">
          <cell r="A614">
            <v>44325</v>
          </cell>
          <cell r="B614">
            <v>3490.38</v>
          </cell>
        </row>
        <row r="615">
          <cell r="A615">
            <v>44332</v>
          </cell>
          <cell r="B615">
            <v>3486.56</v>
          </cell>
        </row>
        <row r="616">
          <cell r="A616">
            <v>44339</v>
          </cell>
          <cell r="B616">
            <v>3600.78</v>
          </cell>
        </row>
        <row r="617">
          <cell r="A617">
            <v>44346</v>
          </cell>
          <cell r="B617">
            <v>3591.84</v>
          </cell>
        </row>
        <row r="618">
          <cell r="A618">
            <v>44353</v>
          </cell>
          <cell r="B618">
            <v>3589.75</v>
          </cell>
        </row>
        <row r="619">
          <cell r="A619">
            <v>44360</v>
          </cell>
          <cell r="B619">
            <v>3525.1</v>
          </cell>
        </row>
        <row r="620">
          <cell r="A620">
            <v>44367</v>
          </cell>
          <cell r="B620">
            <v>3607.56</v>
          </cell>
        </row>
        <row r="621">
          <cell r="A621">
            <v>44374</v>
          </cell>
          <cell r="B621">
            <v>3518.76</v>
          </cell>
        </row>
        <row r="622">
          <cell r="A622">
            <v>44381</v>
          </cell>
          <cell r="B622">
            <v>3524.09</v>
          </cell>
        </row>
        <row r="623">
          <cell r="A623">
            <v>44388</v>
          </cell>
          <cell r="B623">
            <v>3539.3</v>
          </cell>
        </row>
        <row r="624">
          <cell r="A624">
            <v>44395</v>
          </cell>
          <cell r="B624">
            <v>3550.4</v>
          </cell>
        </row>
        <row r="625">
          <cell r="A625">
            <v>44402</v>
          </cell>
          <cell r="B625">
            <v>3397.36</v>
          </cell>
        </row>
        <row r="626">
          <cell r="A626">
            <v>44409</v>
          </cell>
          <cell r="B626">
            <v>3458.23</v>
          </cell>
        </row>
        <row r="627">
          <cell r="A627">
            <v>44416</v>
          </cell>
          <cell r="B627">
            <v>3516.3</v>
          </cell>
        </row>
        <row r="628">
          <cell r="A628">
            <v>44423</v>
          </cell>
          <cell r="B628">
            <v>3427.33</v>
          </cell>
        </row>
        <row r="629">
          <cell r="A629">
            <v>44430</v>
          </cell>
          <cell r="B629">
            <v>3522.16</v>
          </cell>
        </row>
        <row r="630">
          <cell r="A630">
            <v>44437</v>
          </cell>
          <cell r="B630">
            <v>3581.73</v>
          </cell>
        </row>
        <row r="631">
          <cell r="A631">
            <v>44444</v>
          </cell>
          <cell r="B631">
            <v>3703.11</v>
          </cell>
        </row>
        <row r="632">
          <cell r="A632">
            <v>44451</v>
          </cell>
          <cell r="B632">
            <v>3613.97</v>
          </cell>
        </row>
        <row r="633">
          <cell r="A633">
            <v>44458</v>
          </cell>
          <cell r="B633">
            <v>3613.07</v>
          </cell>
        </row>
        <row r="634">
          <cell r="A634">
            <v>44465</v>
          </cell>
          <cell r="B634">
            <v>3568.17</v>
          </cell>
        </row>
        <row r="635">
          <cell r="A635">
            <v>44472</v>
          </cell>
          <cell r="B635">
            <v>3592.17</v>
          </cell>
        </row>
        <row r="636">
          <cell r="A636">
            <v>44479</v>
          </cell>
          <cell r="B636">
            <v>3572.37</v>
          </cell>
        </row>
        <row r="637">
          <cell r="A637">
            <v>44486</v>
          </cell>
          <cell r="B637">
            <v>3582.6</v>
          </cell>
        </row>
        <row r="638">
          <cell r="A638">
            <v>44493</v>
          </cell>
          <cell r="B638">
            <v>3547.34</v>
          </cell>
        </row>
        <row r="639">
          <cell r="A639">
            <v>44500</v>
          </cell>
          <cell r="B639">
            <v>3491.57</v>
          </cell>
        </row>
        <row r="640">
          <cell r="A640">
            <v>44507</v>
          </cell>
          <cell r="B640">
            <v>3539.1</v>
          </cell>
        </row>
        <row r="641">
          <cell r="A641">
            <v>44514</v>
          </cell>
          <cell r="B641">
            <v>3560.37</v>
          </cell>
        </row>
        <row r="642">
          <cell r="A642">
            <v>44521</v>
          </cell>
          <cell r="B642">
            <v>3564.09</v>
          </cell>
        </row>
        <row r="643">
          <cell r="A643">
            <v>44528</v>
          </cell>
          <cell r="B643">
            <v>3607.43</v>
          </cell>
        </row>
        <row r="644">
          <cell r="A644">
            <v>44535</v>
          </cell>
          <cell r="B644">
            <v>3666.35</v>
          </cell>
        </row>
        <row r="645">
          <cell r="A645">
            <v>44542</v>
          </cell>
          <cell r="B645">
            <v>3632.36</v>
          </cell>
        </row>
        <row r="646">
          <cell r="A646">
            <v>44549</v>
          </cell>
          <cell r="B646">
            <v>3618.05</v>
          </cell>
        </row>
        <row r="647">
          <cell r="A647">
            <v>44556</v>
          </cell>
          <cell r="B647">
            <v>3639.78</v>
          </cell>
        </row>
        <row r="648">
          <cell r="A648">
            <v>44563</v>
          </cell>
          <cell r="B648">
            <v>3579.54</v>
          </cell>
        </row>
        <row r="649">
          <cell r="A649">
            <v>44570</v>
          </cell>
          <cell r="B649">
            <v>3521.26</v>
          </cell>
        </row>
        <row r="650">
          <cell r="A650">
            <v>44577</v>
          </cell>
          <cell r="B650">
            <v>3522.57</v>
          </cell>
        </row>
        <row r="651">
          <cell r="A651">
            <v>44584</v>
          </cell>
          <cell r="B651">
            <v>3361.44</v>
          </cell>
        </row>
        <row r="652">
          <cell r="A652">
            <v>44598</v>
          </cell>
          <cell r="B652">
            <v>3462.95</v>
          </cell>
        </row>
        <row r="653">
          <cell r="A653">
            <v>44605</v>
          </cell>
          <cell r="B653">
            <v>3490.76</v>
          </cell>
        </row>
        <row r="654">
          <cell r="A654">
            <v>44612</v>
          </cell>
          <cell r="B654">
            <v>3451.41</v>
          </cell>
        </row>
        <row r="655">
          <cell r="A655">
            <v>44619</v>
          </cell>
          <cell r="B655">
            <v>3447.65</v>
          </cell>
        </row>
        <row r="656">
          <cell r="A656">
            <v>44626</v>
          </cell>
          <cell r="B656">
            <v>3309.75</v>
          </cell>
        </row>
        <row r="657">
          <cell r="A657">
            <v>44633</v>
          </cell>
          <cell r="B657">
            <v>3251.07</v>
          </cell>
        </row>
        <row r="658">
          <cell r="A658">
            <v>44640</v>
          </cell>
          <cell r="B658">
            <v>3212.24</v>
          </cell>
        </row>
        <row r="659">
          <cell r="A659">
            <v>44647</v>
          </cell>
          <cell r="B659">
            <v>3282.72</v>
          </cell>
        </row>
        <row r="660">
          <cell r="A660">
            <v>44654</v>
          </cell>
          <cell r="B660">
            <v>3251.85</v>
          </cell>
        </row>
        <row r="661">
          <cell r="A661">
            <v>44661</v>
          </cell>
          <cell r="B661">
            <v>3211.24</v>
          </cell>
        </row>
        <row r="662">
          <cell r="A662">
            <v>44668</v>
          </cell>
          <cell r="B662">
            <v>3086.92</v>
          </cell>
        </row>
        <row r="663">
          <cell r="A663">
            <v>44675</v>
          </cell>
          <cell r="B663">
            <v>3047.06</v>
          </cell>
        </row>
        <row r="664">
          <cell r="A664">
            <v>44682</v>
          </cell>
          <cell r="B664">
            <v>3001.56</v>
          </cell>
        </row>
        <row r="665">
          <cell r="A665">
            <v>44689</v>
          </cell>
          <cell r="B665">
            <v>3084.28</v>
          </cell>
        </row>
        <row r="666">
          <cell r="A666">
            <v>44696</v>
          </cell>
          <cell r="B666">
            <v>3146.57</v>
          </cell>
        </row>
        <row r="667">
          <cell r="A667">
            <v>44703</v>
          </cell>
          <cell r="B667">
            <v>3130.24</v>
          </cell>
        </row>
        <row r="668">
          <cell r="A668">
            <v>44710</v>
          </cell>
          <cell r="B668">
            <v>3195.46</v>
          </cell>
        </row>
        <row r="669">
          <cell r="A669">
            <v>44717</v>
          </cell>
          <cell r="B669">
            <v>3284.83</v>
          </cell>
        </row>
        <row r="670">
          <cell r="A670">
            <v>44724</v>
          </cell>
          <cell r="B670">
            <v>3316.79</v>
          </cell>
        </row>
        <row r="671">
          <cell r="A671">
            <v>44731</v>
          </cell>
          <cell r="B671">
            <v>3349.75</v>
          </cell>
        </row>
        <row r="672">
          <cell r="A672">
            <v>44738</v>
          </cell>
          <cell r="B672">
            <v>3387.64</v>
          </cell>
        </row>
        <row r="673">
          <cell r="A673">
            <v>44745</v>
          </cell>
          <cell r="B673">
            <v>3356.08</v>
          </cell>
        </row>
        <row r="674">
          <cell r="A674">
            <v>44752</v>
          </cell>
          <cell r="B674">
            <v>3228.06</v>
          </cell>
        </row>
        <row r="675">
          <cell r="A675">
            <v>44759</v>
          </cell>
          <cell r="B675">
            <v>3269.97</v>
          </cell>
        </row>
        <row r="676">
          <cell r="A676">
            <v>44766</v>
          </cell>
          <cell r="B676">
            <v>3253.24</v>
          </cell>
        </row>
        <row r="677">
          <cell r="A677">
            <v>44773</v>
          </cell>
          <cell r="B677">
            <v>3227.03</v>
          </cell>
        </row>
        <row r="678">
          <cell r="A678">
            <v>44780</v>
          </cell>
          <cell r="B678">
            <v>3276.89</v>
          </cell>
        </row>
        <row r="679">
          <cell r="A679">
            <v>44787</v>
          </cell>
          <cell r="B679">
            <v>3258.08</v>
          </cell>
        </row>
        <row r="680">
          <cell r="A680">
            <v>44794</v>
          </cell>
          <cell r="B680">
            <v>3236.22</v>
          </cell>
        </row>
        <row r="681">
          <cell r="A681">
            <v>44801</v>
          </cell>
          <cell r="B681">
            <v>3186.48</v>
          </cell>
        </row>
        <row r="682">
          <cell r="A682">
            <v>44808</v>
          </cell>
          <cell r="B682">
            <v>3262.05</v>
          </cell>
        </row>
        <row r="683">
          <cell r="A683">
            <v>44815</v>
          </cell>
          <cell r="B683">
            <v>3126.4</v>
          </cell>
        </row>
        <row r="684">
          <cell r="A684">
            <v>44822</v>
          </cell>
          <cell r="B684">
            <v>3088.37</v>
          </cell>
        </row>
        <row r="685">
          <cell r="A685">
            <v>44829</v>
          </cell>
          <cell r="B685">
            <v>3024.39</v>
          </cell>
        </row>
        <row r="686">
          <cell r="A686">
            <v>44843</v>
          </cell>
          <cell r="B686">
            <v>3071.99</v>
          </cell>
        </row>
        <row r="687">
          <cell r="A687">
            <v>44850</v>
          </cell>
          <cell r="B687">
            <v>3038.93</v>
          </cell>
        </row>
        <row r="688">
          <cell r="A688">
            <v>44857</v>
          </cell>
          <cell r="B688">
            <v>2915.93</v>
          </cell>
        </row>
        <row r="689">
          <cell r="A689">
            <v>44864</v>
          </cell>
          <cell r="B689">
            <v>3070.8</v>
          </cell>
        </row>
        <row r="690">
          <cell r="A690">
            <v>44871</v>
          </cell>
          <cell r="B690">
            <v>3087.29</v>
          </cell>
        </row>
        <row r="691">
          <cell r="A691">
            <v>44878</v>
          </cell>
          <cell r="B691">
            <v>3097.24</v>
          </cell>
        </row>
        <row r="692">
          <cell r="A692">
            <v>44885</v>
          </cell>
          <cell r="B692">
            <v>3101.69</v>
          </cell>
        </row>
        <row r="693">
          <cell r="A693">
            <v>44892</v>
          </cell>
          <cell r="B693">
            <v>3156.14</v>
          </cell>
        </row>
        <row r="694">
          <cell r="A694">
            <v>44899</v>
          </cell>
          <cell r="B694">
            <v>3206.95</v>
          </cell>
        </row>
        <row r="695">
          <cell r="A695">
            <v>44906</v>
          </cell>
          <cell r="B695">
            <v>3167.86</v>
          </cell>
        </row>
        <row r="696">
          <cell r="A696">
            <v>44913</v>
          </cell>
          <cell r="B696">
            <v>3045.87</v>
          </cell>
        </row>
        <row r="697">
          <cell r="A697">
            <v>44920</v>
          </cell>
          <cell r="B697">
            <v>3089.26</v>
          </cell>
        </row>
        <row r="698">
          <cell r="A698">
            <v>44927</v>
          </cell>
          <cell r="B698">
            <v>3157.64</v>
          </cell>
        </row>
        <row r="699">
          <cell r="A699">
            <v>44934</v>
          </cell>
          <cell r="B699">
            <v>3195.31</v>
          </cell>
        </row>
        <row r="700">
          <cell r="A700">
            <v>44941</v>
          </cell>
          <cell r="B700">
            <v>3264.81</v>
          </cell>
        </row>
        <row r="701">
          <cell r="A701">
            <v>44955</v>
          </cell>
          <cell r="B701">
            <v>3263.41</v>
          </cell>
        </row>
        <row r="702">
          <cell r="A702">
            <v>44962</v>
          </cell>
          <cell r="B702">
            <v>3260.67</v>
          </cell>
        </row>
        <row r="703">
          <cell r="A703">
            <v>44969</v>
          </cell>
          <cell r="B703">
            <v>3224.02</v>
          </cell>
        </row>
        <row r="704">
          <cell r="A704">
            <v>44976</v>
          </cell>
          <cell r="B704">
            <v>3267.16</v>
          </cell>
        </row>
        <row r="705">
          <cell r="A705">
            <v>44983</v>
          </cell>
          <cell r="B705">
            <v>3328.39</v>
          </cell>
        </row>
        <row r="706">
          <cell r="A706">
            <v>44990</v>
          </cell>
          <cell r="B706">
            <v>3230.08</v>
          </cell>
        </row>
        <row r="707">
          <cell r="A707">
            <v>44997</v>
          </cell>
          <cell r="B707">
            <v>3250.55</v>
          </cell>
        </row>
        <row r="708">
          <cell r="A708">
            <v>45004</v>
          </cell>
          <cell r="B708">
            <v>3265.65</v>
          </cell>
        </row>
        <row r="709">
          <cell r="A709">
            <v>45011</v>
          </cell>
          <cell r="B709">
            <v>3272.86</v>
          </cell>
        </row>
        <row r="710">
          <cell r="A710">
            <v>45018</v>
          </cell>
          <cell r="B710">
            <v>3327.65</v>
          </cell>
        </row>
        <row r="711">
          <cell r="A711">
            <v>45025</v>
          </cell>
          <cell r="B711">
            <v>3338.15</v>
          </cell>
        </row>
        <row r="712">
          <cell r="A712">
            <v>45032</v>
          </cell>
          <cell r="B712">
            <v>3301.26</v>
          </cell>
        </row>
        <row r="713">
          <cell r="A713">
            <v>45039</v>
          </cell>
          <cell r="B713">
            <v>3323.27</v>
          </cell>
        </row>
        <row r="714">
          <cell r="A714">
            <v>45046</v>
          </cell>
          <cell r="B714">
            <v>3334.5</v>
          </cell>
        </row>
        <row r="715">
          <cell r="A715">
            <v>45053</v>
          </cell>
          <cell r="B715">
            <v>3272.36</v>
          </cell>
        </row>
        <row r="716">
          <cell r="A716">
            <v>45060</v>
          </cell>
          <cell r="B716">
            <v>3283.54</v>
          </cell>
        </row>
        <row r="717">
          <cell r="A717">
            <v>45067</v>
          </cell>
          <cell r="B717">
            <v>3212.5</v>
          </cell>
        </row>
        <row r="718">
          <cell r="A718">
            <v>45074</v>
          </cell>
          <cell r="B718">
            <v>3230.07</v>
          </cell>
        </row>
        <row r="719">
          <cell r="A719">
            <v>45081</v>
          </cell>
          <cell r="B719">
            <v>3231.41</v>
          </cell>
        </row>
        <row r="720">
          <cell r="A720">
            <v>45088</v>
          </cell>
          <cell r="B720">
            <v>3273.33</v>
          </cell>
        </row>
        <row r="721">
          <cell r="A721">
            <v>45095</v>
          </cell>
          <cell r="B721">
            <v>3197.9</v>
          </cell>
        </row>
        <row r="722">
          <cell r="A722">
            <v>45102</v>
          </cell>
          <cell r="B722">
            <v>3202.06</v>
          </cell>
        </row>
        <row r="723">
          <cell r="A723">
            <v>45109</v>
          </cell>
          <cell r="B723">
            <v>3205.27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深证成份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10667.11</v>
          </cell>
        </row>
        <row r="3">
          <cell r="A3">
            <v>39971</v>
          </cell>
          <cell r="B3">
            <v>10524.13</v>
          </cell>
        </row>
        <row r="4">
          <cell r="A4">
            <v>39978</v>
          </cell>
          <cell r="B4">
            <v>11242.29</v>
          </cell>
        </row>
        <row r="5">
          <cell r="A5">
            <v>39985</v>
          </cell>
          <cell r="B5">
            <v>11413.17</v>
          </cell>
        </row>
        <row r="6">
          <cell r="A6">
            <v>39992</v>
          </cell>
          <cell r="B6">
            <v>12258.79</v>
          </cell>
        </row>
        <row r="7">
          <cell r="A7">
            <v>39999</v>
          </cell>
          <cell r="B7">
            <v>12706.01</v>
          </cell>
        </row>
        <row r="8">
          <cell r="A8">
            <v>40006</v>
          </cell>
          <cell r="B8">
            <v>13131.97</v>
          </cell>
        </row>
        <row r="9">
          <cell r="A9">
            <v>40013</v>
          </cell>
          <cell r="B9">
            <v>13531.72</v>
          </cell>
        </row>
        <row r="10">
          <cell r="A10">
            <v>40020</v>
          </cell>
          <cell r="B10">
            <v>13670.72</v>
          </cell>
        </row>
        <row r="11">
          <cell r="A11">
            <v>40027</v>
          </cell>
          <cell r="B11">
            <v>12975.26</v>
          </cell>
        </row>
        <row r="12">
          <cell r="A12">
            <v>40034</v>
          </cell>
          <cell r="B12">
            <v>12499.75</v>
          </cell>
        </row>
        <row r="13">
          <cell r="A13">
            <v>40041</v>
          </cell>
          <cell r="B13">
            <v>11892.02</v>
          </cell>
        </row>
        <row r="14">
          <cell r="A14">
            <v>40048</v>
          </cell>
          <cell r="B14">
            <v>11450.08</v>
          </cell>
        </row>
        <row r="15">
          <cell r="A15">
            <v>40055</v>
          </cell>
          <cell r="B15">
            <v>11519.68</v>
          </cell>
        </row>
        <row r="16">
          <cell r="A16">
            <v>40062</v>
          </cell>
          <cell r="B16">
            <v>12096.26</v>
          </cell>
        </row>
        <row r="17">
          <cell r="A17">
            <v>40069</v>
          </cell>
          <cell r="B17">
            <v>11977.4</v>
          </cell>
        </row>
        <row r="18">
          <cell r="A18">
            <v>40076</v>
          </cell>
          <cell r="B18">
            <v>11384.16</v>
          </cell>
        </row>
        <row r="19">
          <cell r="A19">
            <v>40083</v>
          </cell>
          <cell r="B19">
            <v>11206.85</v>
          </cell>
        </row>
        <row r="20">
          <cell r="A20">
            <v>40090</v>
          </cell>
          <cell r="B20">
            <v>11801.23</v>
          </cell>
        </row>
        <row r="21">
          <cell r="A21">
            <v>40097</v>
          </cell>
          <cell r="B21">
            <v>12033.37</v>
          </cell>
        </row>
        <row r="22">
          <cell r="A22">
            <v>40104</v>
          </cell>
          <cell r="B22">
            <v>12843.21</v>
          </cell>
        </row>
        <row r="23">
          <cell r="A23">
            <v>40111</v>
          </cell>
          <cell r="B23">
            <v>12297.16</v>
          </cell>
        </row>
        <row r="24">
          <cell r="A24">
            <v>40118</v>
          </cell>
          <cell r="B24">
            <v>12987.2</v>
          </cell>
        </row>
        <row r="25">
          <cell r="A25">
            <v>40125</v>
          </cell>
          <cell r="B25">
            <v>13264.4</v>
          </cell>
        </row>
        <row r="26">
          <cell r="A26">
            <v>40132</v>
          </cell>
          <cell r="B26">
            <v>13695.15</v>
          </cell>
        </row>
        <row r="27">
          <cell r="A27">
            <v>40139</v>
          </cell>
          <cell r="B27">
            <v>12876.15</v>
          </cell>
        </row>
        <row r="28">
          <cell r="A28">
            <v>40146</v>
          </cell>
          <cell r="B28">
            <v>13884.93</v>
          </cell>
        </row>
        <row r="29">
          <cell r="A29">
            <v>40153</v>
          </cell>
          <cell r="B29">
            <v>13875.87</v>
          </cell>
        </row>
        <row r="30">
          <cell r="A30">
            <v>40160</v>
          </cell>
          <cell r="B30">
            <v>12914.97</v>
          </cell>
        </row>
        <row r="31">
          <cell r="A31">
            <v>40167</v>
          </cell>
          <cell r="B31">
            <v>13289.94</v>
          </cell>
        </row>
        <row r="32">
          <cell r="A32">
            <v>40174</v>
          </cell>
          <cell r="B32">
            <v>13699.97</v>
          </cell>
        </row>
        <row r="33">
          <cell r="A33">
            <v>40181</v>
          </cell>
          <cell r="B33">
            <v>13267.44</v>
          </cell>
        </row>
        <row r="34">
          <cell r="A34">
            <v>40188</v>
          </cell>
          <cell r="B34">
            <v>13264.37</v>
          </cell>
        </row>
        <row r="35">
          <cell r="A35">
            <v>40195</v>
          </cell>
          <cell r="B35">
            <v>12595.93</v>
          </cell>
        </row>
        <row r="36">
          <cell r="A36">
            <v>40202</v>
          </cell>
          <cell r="B36">
            <v>12137.2</v>
          </cell>
        </row>
        <row r="37">
          <cell r="A37">
            <v>40209</v>
          </cell>
          <cell r="B37">
            <v>11917.14</v>
          </cell>
        </row>
        <row r="38">
          <cell r="A38">
            <v>40216</v>
          </cell>
          <cell r="B38">
            <v>12304.78</v>
          </cell>
        </row>
        <row r="39">
          <cell r="A39">
            <v>40230</v>
          </cell>
          <cell r="B39">
            <v>12436.66</v>
          </cell>
        </row>
        <row r="40">
          <cell r="A40">
            <v>40237</v>
          </cell>
          <cell r="B40">
            <v>12341.74</v>
          </cell>
        </row>
        <row r="41">
          <cell r="A41">
            <v>40244</v>
          </cell>
          <cell r="B41">
            <v>12169.11</v>
          </cell>
        </row>
        <row r="42">
          <cell r="A42">
            <v>40251</v>
          </cell>
          <cell r="B42">
            <v>12352.92</v>
          </cell>
        </row>
        <row r="43">
          <cell r="A43">
            <v>40258</v>
          </cell>
          <cell r="B43">
            <v>12240.36</v>
          </cell>
        </row>
        <row r="44">
          <cell r="A44">
            <v>40265</v>
          </cell>
          <cell r="B44">
            <v>12767.86</v>
          </cell>
        </row>
        <row r="45">
          <cell r="A45">
            <v>40272</v>
          </cell>
          <cell r="B45">
            <v>12555.12</v>
          </cell>
        </row>
        <row r="46">
          <cell r="A46">
            <v>40279</v>
          </cell>
          <cell r="B46">
            <v>12416.86</v>
          </cell>
        </row>
        <row r="47">
          <cell r="A47">
            <v>40286</v>
          </cell>
          <cell r="B47">
            <v>11702.87</v>
          </cell>
        </row>
        <row r="48">
          <cell r="A48">
            <v>40293</v>
          </cell>
          <cell r="B48">
            <v>11162.54</v>
          </cell>
        </row>
        <row r="49">
          <cell r="A49">
            <v>40300</v>
          </cell>
          <cell r="B49">
            <v>10146.42</v>
          </cell>
        </row>
        <row r="50">
          <cell r="A50">
            <v>40307</v>
          </cell>
          <cell r="B50">
            <v>10330.14</v>
          </cell>
        </row>
        <row r="51">
          <cell r="A51">
            <v>40314</v>
          </cell>
          <cell r="B51">
            <v>10209.07</v>
          </cell>
        </row>
        <row r="52">
          <cell r="A52">
            <v>40321</v>
          </cell>
          <cell r="B52">
            <v>10495.65</v>
          </cell>
        </row>
        <row r="53">
          <cell r="A53">
            <v>40328</v>
          </cell>
          <cell r="B53">
            <v>10187.200000000001</v>
          </cell>
        </row>
        <row r="54">
          <cell r="A54">
            <v>40335</v>
          </cell>
          <cell r="B54">
            <v>10239.33</v>
          </cell>
        </row>
        <row r="55">
          <cell r="A55">
            <v>40342</v>
          </cell>
          <cell r="B55">
            <v>9966.5400000000009</v>
          </cell>
        </row>
        <row r="56">
          <cell r="A56">
            <v>40349</v>
          </cell>
          <cell r="B56">
            <v>10104.83</v>
          </cell>
        </row>
        <row r="57">
          <cell r="A57">
            <v>40356</v>
          </cell>
          <cell r="B57">
            <v>9227.89</v>
          </cell>
        </row>
        <row r="58">
          <cell r="A58">
            <v>40363</v>
          </cell>
          <cell r="B58">
            <v>9816.85</v>
          </cell>
        </row>
        <row r="59">
          <cell r="A59">
            <v>40370</v>
          </cell>
          <cell r="B59">
            <v>9806.64</v>
          </cell>
        </row>
        <row r="60">
          <cell r="A60">
            <v>40377</v>
          </cell>
          <cell r="B60">
            <v>10527.94</v>
          </cell>
        </row>
        <row r="61">
          <cell r="A61">
            <v>40384</v>
          </cell>
          <cell r="B61">
            <v>10785.35</v>
          </cell>
        </row>
        <row r="62">
          <cell r="A62">
            <v>40391</v>
          </cell>
          <cell r="B62">
            <v>10942.93</v>
          </cell>
        </row>
        <row r="63">
          <cell r="A63">
            <v>40398</v>
          </cell>
          <cell r="B63">
            <v>10886.57</v>
          </cell>
        </row>
        <row r="64">
          <cell r="A64">
            <v>40405</v>
          </cell>
          <cell r="B64">
            <v>11090.46</v>
          </cell>
        </row>
        <row r="65">
          <cell r="A65">
            <v>40412</v>
          </cell>
          <cell r="B65">
            <v>11034.73</v>
          </cell>
        </row>
        <row r="66">
          <cell r="A66">
            <v>40419</v>
          </cell>
          <cell r="B66">
            <v>11467.09</v>
          </cell>
        </row>
        <row r="67">
          <cell r="A67">
            <v>40426</v>
          </cell>
          <cell r="B67">
            <v>11530.99</v>
          </cell>
        </row>
        <row r="68">
          <cell r="A68">
            <v>40433</v>
          </cell>
          <cell r="B68">
            <v>11208.25</v>
          </cell>
        </row>
        <row r="69">
          <cell r="A69">
            <v>40440</v>
          </cell>
          <cell r="B69">
            <v>11210.74</v>
          </cell>
        </row>
        <row r="70">
          <cell r="A70">
            <v>40447</v>
          </cell>
          <cell r="B70">
            <v>11468.54</v>
          </cell>
        </row>
        <row r="71">
          <cell r="A71">
            <v>40454</v>
          </cell>
          <cell r="B71">
            <v>11911.37</v>
          </cell>
        </row>
        <row r="72">
          <cell r="A72">
            <v>40461</v>
          </cell>
          <cell r="B72">
            <v>12765.5</v>
          </cell>
        </row>
        <row r="73">
          <cell r="A73">
            <v>40468</v>
          </cell>
          <cell r="B73">
            <v>13224.98</v>
          </cell>
        </row>
        <row r="74">
          <cell r="A74">
            <v>40475</v>
          </cell>
          <cell r="B74">
            <v>13367.24</v>
          </cell>
        </row>
        <row r="75">
          <cell r="A75">
            <v>40482</v>
          </cell>
          <cell r="B75">
            <v>13733.36</v>
          </cell>
        </row>
        <row r="76">
          <cell r="A76">
            <v>40489</v>
          </cell>
          <cell r="B76">
            <v>12726.54</v>
          </cell>
        </row>
        <row r="77">
          <cell r="A77">
            <v>40496</v>
          </cell>
          <cell r="B77">
            <v>12295.85</v>
          </cell>
        </row>
        <row r="78">
          <cell r="A78">
            <v>40503</v>
          </cell>
          <cell r="B78">
            <v>12539.01</v>
          </cell>
        </row>
        <row r="79">
          <cell r="A79">
            <v>40510</v>
          </cell>
          <cell r="B79">
            <v>12443</v>
          </cell>
        </row>
        <row r="80">
          <cell r="A80">
            <v>40517</v>
          </cell>
          <cell r="B80">
            <v>12460.46</v>
          </cell>
        </row>
        <row r="81">
          <cell r="A81">
            <v>40524</v>
          </cell>
          <cell r="B81">
            <v>12759.6</v>
          </cell>
        </row>
        <row r="82">
          <cell r="A82">
            <v>40531</v>
          </cell>
          <cell r="B82">
            <v>12556.84</v>
          </cell>
        </row>
        <row r="83">
          <cell r="A83">
            <v>40538</v>
          </cell>
          <cell r="B83">
            <v>12458.55</v>
          </cell>
        </row>
        <row r="84">
          <cell r="A84">
            <v>40545</v>
          </cell>
          <cell r="B84">
            <v>12573.94</v>
          </cell>
        </row>
        <row r="85">
          <cell r="A85">
            <v>40552</v>
          </cell>
          <cell r="B85">
            <v>12294.17</v>
          </cell>
        </row>
        <row r="86">
          <cell r="A86">
            <v>40559</v>
          </cell>
          <cell r="B86">
            <v>11639.96</v>
          </cell>
        </row>
        <row r="87">
          <cell r="A87">
            <v>40566</v>
          </cell>
          <cell r="B87">
            <v>11894.23</v>
          </cell>
        </row>
        <row r="88">
          <cell r="A88">
            <v>40573</v>
          </cell>
          <cell r="B88">
            <v>11991.51</v>
          </cell>
        </row>
        <row r="89">
          <cell r="A89">
            <v>40580</v>
          </cell>
          <cell r="B89">
            <v>12292.49</v>
          </cell>
        </row>
        <row r="90">
          <cell r="A90">
            <v>40587</v>
          </cell>
          <cell r="B90">
            <v>12613.11</v>
          </cell>
        </row>
        <row r="91">
          <cell r="A91">
            <v>40594</v>
          </cell>
          <cell r="B91">
            <v>12633.88</v>
          </cell>
        </row>
        <row r="92">
          <cell r="A92">
            <v>40601</v>
          </cell>
          <cell r="B92">
            <v>12893.84</v>
          </cell>
        </row>
        <row r="93">
          <cell r="A93">
            <v>40608</v>
          </cell>
          <cell r="B93">
            <v>12848.02</v>
          </cell>
        </row>
        <row r="94">
          <cell r="A94">
            <v>40615</v>
          </cell>
          <cell r="B94">
            <v>12721.99</v>
          </cell>
        </row>
        <row r="95">
          <cell r="A95">
            <v>40622</v>
          </cell>
          <cell r="B95">
            <v>12942.07</v>
          </cell>
        </row>
        <row r="96">
          <cell r="A96">
            <v>40629</v>
          </cell>
          <cell r="B96">
            <v>12699.42</v>
          </cell>
        </row>
        <row r="97">
          <cell r="A97">
            <v>40636</v>
          </cell>
          <cell r="B97">
            <v>13036.23</v>
          </cell>
        </row>
        <row r="98">
          <cell r="A98">
            <v>40643</v>
          </cell>
          <cell r="B98">
            <v>12965.75</v>
          </cell>
        </row>
        <row r="99">
          <cell r="A99">
            <v>40650</v>
          </cell>
          <cell r="B99">
            <v>12708.42</v>
          </cell>
        </row>
        <row r="100">
          <cell r="A100">
            <v>40657</v>
          </cell>
          <cell r="B100">
            <v>12312.99</v>
          </cell>
        </row>
        <row r="101">
          <cell r="A101">
            <v>40664</v>
          </cell>
          <cell r="B101">
            <v>12067.61</v>
          </cell>
        </row>
        <row r="102">
          <cell r="A102">
            <v>40671</v>
          </cell>
          <cell r="B102">
            <v>12156.6</v>
          </cell>
        </row>
        <row r="103">
          <cell r="A103">
            <v>40678</v>
          </cell>
          <cell r="B103">
            <v>12161.03</v>
          </cell>
        </row>
        <row r="104">
          <cell r="A104">
            <v>40685</v>
          </cell>
          <cell r="B104">
            <v>11492.71</v>
          </cell>
        </row>
        <row r="105">
          <cell r="A105">
            <v>40692</v>
          </cell>
          <cell r="B105">
            <v>11642.4</v>
          </cell>
        </row>
        <row r="106">
          <cell r="A106">
            <v>40699</v>
          </cell>
          <cell r="B106">
            <v>11593.38</v>
          </cell>
        </row>
        <row r="107">
          <cell r="A107">
            <v>40706</v>
          </cell>
          <cell r="B107">
            <v>11409.16</v>
          </cell>
        </row>
        <row r="108">
          <cell r="A108">
            <v>40713</v>
          </cell>
          <cell r="B108">
            <v>11996.08</v>
          </cell>
        </row>
        <row r="109">
          <cell r="A109">
            <v>40720</v>
          </cell>
          <cell r="B109">
            <v>12178.08</v>
          </cell>
        </row>
        <row r="110">
          <cell r="A110">
            <v>40727</v>
          </cell>
          <cell r="B110">
            <v>12404.34</v>
          </cell>
        </row>
        <row r="111">
          <cell r="A111">
            <v>40734</v>
          </cell>
          <cell r="B111">
            <v>12506.94</v>
          </cell>
        </row>
        <row r="112">
          <cell r="A112">
            <v>40741</v>
          </cell>
          <cell r="B112">
            <v>12352.5</v>
          </cell>
        </row>
        <row r="113">
          <cell r="A113">
            <v>40748</v>
          </cell>
          <cell r="B113">
            <v>11990.43</v>
          </cell>
        </row>
        <row r="114">
          <cell r="A114">
            <v>40755</v>
          </cell>
          <cell r="B114">
            <v>11701.76</v>
          </cell>
        </row>
        <row r="115">
          <cell r="A115">
            <v>40762</v>
          </cell>
          <cell r="B115">
            <v>11651.29</v>
          </cell>
        </row>
        <row r="116">
          <cell r="A116">
            <v>40769</v>
          </cell>
          <cell r="B116">
            <v>11301.53</v>
          </cell>
        </row>
        <row r="117">
          <cell r="A117">
            <v>40776</v>
          </cell>
          <cell r="B117">
            <v>11568.17</v>
          </cell>
        </row>
        <row r="118">
          <cell r="A118">
            <v>40783</v>
          </cell>
          <cell r="B118">
            <v>11228.3</v>
          </cell>
        </row>
        <row r="119">
          <cell r="A119">
            <v>40790</v>
          </cell>
          <cell r="B119">
            <v>10892.39</v>
          </cell>
        </row>
        <row r="120">
          <cell r="A120">
            <v>40797</v>
          </cell>
          <cell r="B120">
            <v>10878.23</v>
          </cell>
        </row>
        <row r="121">
          <cell r="A121">
            <v>40804</v>
          </cell>
          <cell r="B121">
            <v>10538.4</v>
          </cell>
        </row>
        <row r="122">
          <cell r="A122">
            <v>40811</v>
          </cell>
          <cell r="B122">
            <v>10292.33</v>
          </cell>
        </row>
        <row r="123">
          <cell r="A123">
            <v>40825</v>
          </cell>
          <cell r="B123">
            <v>10438.26</v>
          </cell>
        </row>
        <row r="124">
          <cell r="A124">
            <v>40832</v>
          </cell>
          <cell r="B124">
            <v>9697.2099999999991</v>
          </cell>
        </row>
        <row r="125">
          <cell r="A125">
            <v>40839</v>
          </cell>
          <cell r="B125">
            <v>10561.99</v>
          </cell>
        </row>
        <row r="126">
          <cell r="A126">
            <v>40846</v>
          </cell>
          <cell r="B126">
            <v>10699.49</v>
          </cell>
        </row>
        <row r="127">
          <cell r="A127">
            <v>40853</v>
          </cell>
          <cell r="B127">
            <v>10418.93</v>
          </cell>
        </row>
        <row r="128">
          <cell r="A128">
            <v>40860</v>
          </cell>
          <cell r="B128">
            <v>10025.17</v>
          </cell>
        </row>
        <row r="129">
          <cell r="A129">
            <v>40867</v>
          </cell>
          <cell r="B129">
            <v>9886.25</v>
          </cell>
        </row>
        <row r="130">
          <cell r="A130">
            <v>40874</v>
          </cell>
          <cell r="B130">
            <v>9808.23</v>
          </cell>
        </row>
        <row r="131">
          <cell r="A131">
            <v>40881</v>
          </cell>
          <cell r="B131">
            <v>9480.27</v>
          </cell>
        </row>
        <row r="132">
          <cell r="A132">
            <v>40888</v>
          </cell>
          <cell r="B132">
            <v>9081.94</v>
          </cell>
        </row>
        <row r="133">
          <cell r="A133">
            <v>40895</v>
          </cell>
          <cell r="B133">
            <v>8976.52</v>
          </cell>
        </row>
        <row r="134">
          <cell r="A134">
            <v>40902</v>
          </cell>
          <cell r="B134">
            <v>8918.82</v>
          </cell>
        </row>
        <row r="135">
          <cell r="A135">
            <v>40909</v>
          </cell>
          <cell r="B135">
            <v>8634.42</v>
          </cell>
        </row>
        <row r="136">
          <cell r="A136">
            <v>40916</v>
          </cell>
          <cell r="B136">
            <v>9030.59</v>
          </cell>
        </row>
        <row r="137">
          <cell r="A137">
            <v>40923</v>
          </cell>
          <cell r="B137">
            <v>9466.14</v>
          </cell>
        </row>
        <row r="138">
          <cell r="A138">
            <v>40937</v>
          </cell>
          <cell r="B138">
            <v>9436.99</v>
          </cell>
        </row>
        <row r="139">
          <cell r="A139">
            <v>40944</v>
          </cell>
          <cell r="B139">
            <v>9590.9500000000007</v>
          </cell>
        </row>
        <row r="140">
          <cell r="A140">
            <v>40951</v>
          </cell>
          <cell r="B140">
            <v>9615.34</v>
          </cell>
        </row>
        <row r="141">
          <cell r="A141">
            <v>40958</v>
          </cell>
          <cell r="B141">
            <v>10124.15</v>
          </cell>
        </row>
        <row r="142">
          <cell r="A142">
            <v>40965</v>
          </cell>
          <cell r="B142">
            <v>10299.93</v>
          </cell>
        </row>
        <row r="143">
          <cell r="A143">
            <v>40972</v>
          </cell>
          <cell r="B143">
            <v>10334.379999999999</v>
          </cell>
        </row>
        <row r="144">
          <cell r="A144">
            <v>40979</v>
          </cell>
          <cell r="B144">
            <v>10279.299999999999</v>
          </cell>
        </row>
        <row r="145">
          <cell r="A145">
            <v>40986</v>
          </cell>
          <cell r="B145">
            <v>9885.25</v>
          </cell>
        </row>
        <row r="146">
          <cell r="A146">
            <v>40993</v>
          </cell>
          <cell r="B146">
            <v>9410.26</v>
          </cell>
        </row>
        <row r="147">
          <cell r="A147">
            <v>41000</v>
          </cell>
          <cell r="B147">
            <v>9786.19</v>
          </cell>
        </row>
        <row r="148">
          <cell r="A148">
            <v>41007</v>
          </cell>
          <cell r="B148">
            <v>10043.719999999999</v>
          </cell>
        </row>
        <row r="149">
          <cell r="A149">
            <v>41014</v>
          </cell>
          <cell r="B149">
            <v>10131.030000000001</v>
          </cell>
        </row>
        <row r="150">
          <cell r="A150">
            <v>41021</v>
          </cell>
          <cell r="B150">
            <v>10180.39</v>
          </cell>
        </row>
        <row r="151">
          <cell r="A151">
            <v>41028</v>
          </cell>
          <cell r="B151">
            <v>10573.6</v>
          </cell>
        </row>
        <row r="152">
          <cell r="A152">
            <v>41035</v>
          </cell>
          <cell r="B152">
            <v>10211.41</v>
          </cell>
        </row>
        <row r="153">
          <cell r="A153">
            <v>41042</v>
          </cell>
          <cell r="B153">
            <v>9903.09</v>
          </cell>
        </row>
        <row r="154">
          <cell r="A154">
            <v>41049</v>
          </cell>
          <cell r="B154">
            <v>9884.9599999999991</v>
          </cell>
        </row>
        <row r="155">
          <cell r="A155">
            <v>41056</v>
          </cell>
          <cell r="B155">
            <v>10145.799999999999</v>
          </cell>
        </row>
        <row r="156">
          <cell r="A156">
            <v>41063</v>
          </cell>
          <cell r="B156">
            <v>9707.18</v>
          </cell>
        </row>
        <row r="157">
          <cell r="A157">
            <v>41070</v>
          </cell>
          <cell r="B157">
            <v>9885.65</v>
          </cell>
        </row>
        <row r="158">
          <cell r="A158">
            <v>41077</v>
          </cell>
          <cell r="B158">
            <v>9682.69</v>
          </cell>
        </row>
        <row r="159">
          <cell r="A159">
            <v>41084</v>
          </cell>
          <cell r="B159">
            <v>9500.32</v>
          </cell>
        </row>
        <row r="160">
          <cell r="A160">
            <v>41091</v>
          </cell>
          <cell r="B160">
            <v>9690.16</v>
          </cell>
        </row>
        <row r="161">
          <cell r="A161">
            <v>41098</v>
          </cell>
          <cell r="B161">
            <v>9792.49</v>
          </cell>
        </row>
        <row r="162">
          <cell r="A162">
            <v>41105</v>
          </cell>
          <cell r="B162">
            <v>9333.2099999999991</v>
          </cell>
        </row>
        <row r="163">
          <cell r="A163">
            <v>41112</v>
          </cell>
          <cell r="B163">
            <v>9087.1299999999992</v>
          </cell>
        </row>
        <row r="164">
          <cell r="A164">
            <v>41119</v>
          </cell>
          <cell r="B164">
            <v>9076.6200000000008</v>
          </cell>
        </row>
        <row r="165">
          <cell r="A165">
            <v>41126</v>
          </cell>
          <cell r="B165">
            <v>9238.2000000000007</v>
          </cell>
        </row>
        <row r="166">
          <cell r="A166">
            <v>41133</v>
          </cell>
          <cell r="B166">
            <v>8883.6</v>
          </cell>
        </row>
        <row r="167">
          <cell r="A167">
            <v>41140</v>
          </cell>
          <cell r="B167">
            <v>8579.2800000000007</v>
          </cell>
        </row>
        <row r="168">
          <cell r="A168">
            <v>41147</v>
          </cell>
          <cell r="B168">
            <v>8210.99</v>
          </cell>
        </row>
        <row r="169">
          <cell r="A169">
            <v>41154</v>
          </cell>
          <cell r="B169">
            <v>8709.07</v>
          </cell>
        </row>
        <row r="170">
          <cell r="A170">
            <v>41161</v>
          </cell>
          <cell r="B170">
            <v>8740.0499999999993</v>
          </cell>
        </row>
        <row r="171">
          <cell r="A171">
            <v>41168</v>
          </cell>
          <cell r="B171">
            <v>8201.5300000000007</v>
          </cell>
        </row>
        <row r="172">
          <cell r="A172">
            <v>41175</v>
          </cell>
          <cell r="B172">
            <v>8679.2199999999993</v>
          </cell>
        </row>
        <row r="173">
          <cell r="A173">
            <v>41189</v>
          </cell>
          <cell r="B173">
            <v>8650.19</v>
          </cell>
        </row>
        <row r="174">
          <cell r="A174">
            <v>41196</v>
          </cell>
          <cell r="B174">
            <v>8796.42</v>
          </cell>
        </row>
        <row r="175">
          <cell r="A175">
            <v>41203</v>
          </cell>
          <cell r="B175">
            <v>8414.85</v>
          </cell>
        </row>
        <row r="176">
          <cell r="A176">
            <v>41210</v>
          </cell>
          <cell r="B176">
            <v>8679.68</v>
          </cell>
        </row>
        <row r="177">
          <cell r="A177">
            <v>41217</v>
          </cell>
          <cell r="B177">
            <v>8356.67</v>
          </cell>
        </row>
        <row r="178">
          <cell r="A178">
            <v>41224</v>
          </cell>
          <cell r="B178">
            <v>8118.15</v>
          </cell>
        </row>
        <row r="179">
          <cell r="A179">
            <v>41231</v>
          </cell>
          <cell r="B179">
            <v>8114.74</v>
          </cell>
        </row>
        <row r="180">
          <cell r="A180">
            <v>41238</v>
          </cell>
          <cell r="B180">
            <v>7903.25</v>
          </cell>
        </row>
        <row r="181">
          <cell r="A181">
            <v>41245</v>
          </cell>
          <cell r="B181">
            <v>8189.68</v>
          </cell>
        </row>
        <row r="182">
          <cell r="A182">
            <v>41252</v>
          </cell>
          <cell r="B182">
            <v>8530.9</v>
          </cell>
        </row>
        <row r="183">
          <cell r="A183">
            <v>41259</v>
          </cell>
          <cell r="B183">
            <v>8658.35</v>
          </cell>
        </row>
        <row r="184">
          <cell r="A184">
            <v>41266</v>
          </cell>
          <cell r="B184">
            <v>9026.99</v>
          </cell>
        </row>
        <row r="185">
          <cell r="A185">
            <v>41273</v>
          </cell>
          <cell r="B185">
            <v>9096.07</v>
          </cell>
        </row>
        <row r="186">
          <cell r="A186">
            <v>41280</v>
          </cell>
          <cell r="B186">
            <v>9017.73</v>
          </cell>
        </row>
        <row r="187">
          <cell r="A187">
            <v>41287</v>
          </cell>
          <cell r="B187">
            <v>9432.2999999999993</v>
          </cell>
        </row>
        <row r="188">
          <cell r="A188">
            <v>41294</v>
          </cell>
          <cell r="B188">
            <v>9357.1299999999992</v>
          </cell>
        </row>
        <row r="189">
          <cell r="A189">
            <v>41301</v>
          </cell>
          <cell r="B189">
            <v>9820.2900000000009</v>
          </cell>
        </row>
        <row r="190">
          <cell r="A190">
            <v>41308</v>
          </cell>
          <cell r="B190">
            <v>9989.09</v>
          </cell>
        </row>
        <row r="191">
          <cell r="A191">
            <v>41322</v>
          </cell>
          <cell r="B191">
            <v>9364.5400000000009</v>
          </cell>
        </row>
        <row r="192">
          <cell r="A192">
            <v>41329</v>
          </cell>
          <cell r="B192">
            <v>9650.14</v>
          </cell>
        </row>
        <row r="193">
          <cell r="A193">
            <v>41336</v>
          </cell>
          <cell r="B193">
            <v>9285.83</v>
          </cell>
        </row>
        <row r="194">
          <cell r="A194">
            <v>41343</v>
          </cell>
          <cell r="B194">
            <v>9099.2900000000009</v>
          </cell>
        </row>
        <row r="195">
          <cell r="A195">
            <v>41350</v>
          </cell>
          <cell r="B195">
            <v>9343.41</v>
          </cell>
        </row>
        <row r="196">
          <cell r="A196">
            <v>41357</v>
          </cell>
          <cell r="B196">
            <v>8889.77</v>
          </cell>
        </row>
        <row r="197">
          <cell r="A197">
            <v>41364</v>
          </cell>
          <cell r="B197">
            <v>8964.4699999999993</v>
          </cell>
        </row>
        <row r="198">
          <cell r="A198">
            <v>41371</v>
          </cell>
          <cell r="B198">
            <v>8835.15</v>
          </cell>
        </row>
        <row r="199">
          <cell r="A199">
            <v>41378</v>
          </cell>
          <cell r="B199">
            <v>9111.19</v>
          </cell>
        </row>
        <row r="200">
          <cell r="A200">
            <v>41385</v>
          </cell>
          <cell r="B200">
            <v>8691.39</v>
          </cell>
        </row>
        <row r="201">
          <cell r="A201">
            <v>41392</v>
          </cell>
          <cell r="B201">
            <v>8847.67</v>
          </cell>
        </row>
        <row r="202">
          <cell r="A202">
            <v>41399</v>
          </cell>
          <cell r="B202">
            <v>9071.16</v>
          </cell>
        </row>
        <row r="203">
          <cell r="A203">
            <v>41406</v>
          </cell>
          <cell r="B203">
            <v>9246.2800000000007</v>
          </cell>
        </row>
        <row r="204">
          <cell r="A204">
            <v>41413</v>
          </cell>
          <cell r="B204">
            <v>9304.86</v>
          </cell>
        </row>
        <row r="205">
          <cell r="A205">
            <v>41420</v>
          </cell>
          <cell r="B205">
            <v>9257.9500000000007</v>
          </cell>
        </row>
        <row r="206">
          <cell r="A206">
            <v>41427</v>
          </cell>
          <cell r="B206">
            <v>8763.61</v>
          </cell>
        </row>
        <row r="207">
          <cell r="A207">
            <v>41434</v>
          </cell>
          <cell r="B207">
            <v>8479.4599999999991</v>
          </cell>
        </row>
        <row r="208">
          <cell r="A208">
            <v>41441</v>
          </cell>
          <cell r="B208">
            <v>8136.05</v>
          </cell>
        </row>
        <row r="209">
          <cell r="A209">
            <v>41448</v>
          </cell>
          <cell r="B209">
            <v>7694.47</v>
          </cell>
        </row>
        <row r="210">
          <cell r="A210">
            <v>41455</v>
          </cell>
          <cell r="B210">
            <v>7856.59</v>
          </cell>
        </row>
        <row r="211">
          <cell r="A211">
            <v>41462</v>
          </cell>
          <cell r="B211">
            <v>8012.84</v>
          </cell>
        </row>
        <row r="212">
          <cell r="A212">
            <v>41469</v>
          </cell>
          <cell r="B212">
            <v>7663.99</v>
          </cell>
        </row>
        <row r="213">
          <cell r="A213">
            <v>41476</v>
          </cell>
          <cell r="B213">
            <v>7843.36</v>
          </cell>
        </row>
        <row r="214">
          <cell r="A214">
            <v>41483</v>
          </cell>
          <cell r="B214">
            <v>7961.47</v>
          </cell>
        </row>
        <row r="215">
          <cell r="A215">
            <v>41490</v>
          </cell>
          <cell r="B215">
            <v>8145.97</v>
          </cell>
        </row>
        <row r="216">
          <cell r="A216">
            <v>41497</v>
          </cell>
          <cell r="B216">
            <v>8168.09</v>
          </cell>
        </row>
        <row r="217">
          <cell r="A217">
            <v>41504</v>
          </cell>
          <cell r="B217">
            <v>8166.28</v>
          </cell>
        </row>
        <row r="218">
          <cell r="A218">
            <v>41511</v>
          </cell>
          <cell r="B218">
            <v>8202.48</v>
          </cell>
        </row>
        <row r="219">
          <cell r="A219">
            <v>41518</v>
          </cell>
          <cell r="B219">
            <v>8280.33</v>
          </cell>
        </row>
        <row r="220">
          <cell r="A220">
            <v>41525</v>
          </cell>
          <cell r="B220">
            <v>8687.5400000000009</v>
          </cell>
        </row>
        <row r="221">
          <cell r="A221">
            <v>41532</v>
          </cell>
          <cell r="B221">
            <v>8480.74</v>
          </cell>
        </row>
        <row r="222">
          <cell r="A222">
            <v>41539</v>
          </cell>
          <cell r="B222">
            <v>8472.2900000000009</v>
          </cell>
        </row>
        <row r="223">
          <cell r="A223">
            <v>41546</v>
          </cell>
          <cell r="B223">
            <v>8514.57</v>
          </cell>
        </row>
        <row r="224">
          <cell r="A224">
            <v>41553</v>
          </cell>
          <cell r="B224">
            <v>8737.9699999999993</v>
          </cell>
        </row>
        <row r="225">
          <cell r="A225">
            <v>41560</v>
          </cell>
          <cell r="B225">
            <v>8584.8700000000008</v>
          </cell>
        </row>
        <row r="226">
          <cell r="A226">
            <v>41567</v>
          </cell>
          <cell r="B226">
            <v>8379.61</v>
          </cell>
        </row>
        <row r="227">
          <cell r="A227">
            <v>41574</v>
          </cell>
          <cell r="B227">
            <v>8451.7199999999993</v>
          </cell>
        </row>
        <row r="228">
          <cell r="A228">
            <v>41581</v>
          </cell>
          <cell r="B228">
            <v>8155.4</v>
          </cell>
        </row>
        <row r="229">
          <cell r="A229">
            <v>41588</v>
          </cell>
          <cell r="B229">
            <v>8305.91</v>
          </cell>
        </row>
        <row r="230">
          <cell r="A230">
            <v>41595</v>
          </cell>
          <cell r="B230">
            <v>8413.34</v>
          </cell>
        </row>
        <row r="231">
          <cell r="A231">
            <v>41602</v>
          </cell>
          <cell r="B231">
            <v>8542.61</v>
          </cell>
        </row>
        <row r="232">
          <cell r="A232">
            <v>41609</v>
          </cell>
          <cell r="B232">
            <v>8526.68</v>
          </cell>
        </row>
        <row r="233">
          <cell r="A233">
            <v>41616</v>
          </cell>
          <cell r="B233">
            <v>8429.82</v>
          </cell>
        </row>
        <row r="234">
          <cell r="A234">
            <v>41623</v>
          </cell>
          <cell r="B234">
            <v>7966.72</v>
          </cell>
        </row>
        <row r="235">
          <cell r="A235">
            <v>41630</v>
          </cell>
          <cell r="B235">
            <v>8048.85</v>
          </cell>
        </row>
        <row r="236">
          <cell r="A236">
            <v>41637</v>
          </cell>
          <cell r="B236">
            <v>8028.33</v>
          </cell>
        </row>
        <row r="237">
          <cell r="A237">
            <v>41644</v>
          </cell>
          <cell r="B237">
            <v>7648.04</v>
          </cell>
        </row>
        <row r="238">
          <cell r="A238">
            <v>41651</v>
          </cell>
          <cell r="B238">
            <v>7544.56</v>
          </cell>
        </row>
        <row r="239">
          <cell r="A239">
            <v>41658</v>
          </cell>
          <cell r="B239">
            <v>7855.14</v>
          </cell>
        </row>
        <row r="240">
          <cell r="A240">
            <v>41665</v>
          </cell>
          <cell r="B240">
            <v>7572.63</v>
          </cell>
        </row>
        <row r="241">
          <cell r="A241">
            <v>41672</v>
          </cell>
          <cell r="B241">
            <v>7616.57</v>
          </cell>
        </row>
        <row r="242">
          <cell r="A242">
            <v>41679</v>
          </cell>
          <cell r="B242">
            <v>7883.75</v>
          </cell>
        </row>
        <row r="243">
          <cell r="A243">
            <v>41686</v>
          </cell>
          <cell r="B243">
            <v>7750.56</v>
          </cell>
        </row>
        <row r="244">
          <cell r="A244">
            <v>41693</v>
          </cell>
          <cell r="B244">
            <v>7365.93</v>
          </cell>
        </row>
        <row r="245">
          <cell r="A245">
            <v>41700</v>
          </cell>
          <cell r="B245">
            <v>7328.48</v>
          </cell>
        </row>
        <row r="246">
          <cell r="A246">
            <v>41707</v>
          </cell>
          <cell r="B246">
            <v>7239.06</v>
          </cell>
        </row>
        <row r="247">
          <cell r="A247">
            <v>41714</v>
          </cell>
          <cell r="B247">
            <v>7241.57</v>
          </cell>
        </row>
        <row r="248">
          <cell r="A248">
            <v>41721</v>
          </cell>
          <cell r="B248">
            <v>7165.57</v>
          </cell>
        </row>
        <row r="249">
          <cell r="A249">
            <v>41728</v>
          </cell>
          <cell r="B249">
            <v>7367.8</v>
          </cell>
        </row>
        <row r="250">
          <cell r="A250">
            <v>41735</v>
          </cell>
          <cell r="B250">
            <v>7586.82</v>
          </cell>
        </row>
        <row r="251">
          <cell r="A251">
            <v>41742</v>
          </cell>
          <cell r="B251">
            <v>7455.74</v>
          </cell>
        </row>
        <row r="252">
          <cell r="A252">
            <v>41749</v>
          </cell>
          <cell r="B252">
            <v>7323.65</v>
          </cell>
        </row>
        <row r="253">
          <cell r="A253">
            <v>41756</v>
          </cell>
          <cell r="B253">
            <v>7312.86</v>
          </cell>
        </row>
        <row r="254">
          <cell r="A254">
            <v>41763</v>
          </cell>
          <cell r="B254">
            <v>7162.44</v>
          </cell>
        </row>
        <row r="255">
          <cell r="A255">
            <v>41770</v>
          </cell>
          <cell r="B255">
            <v>7242.17</v>
          </cell>
        </row>
        <row r="256">
          <cell r="A256">
            <v>41777</v>
          </cell>
          <cell r="B256">
            <v>7240.92</v>
          </cell>
        </row>
        <row r="257">
          <cell r="A257">
            <v>41784</v>
          </cell>
          <cell r="B257">
            <v>7364.83</v>
          </cell>
        </row>
        <row r="258">
          <cell r="A258">
            <v>41791</v>
          </cell>
          <cell r="B258">
            <v>7235.39</v>
          </cell>
        </row>
        <row r="259">
          <cell r="A259">
            <v>41798</v>
          </cell>
          <cell r="B259">
            <v>7401.35</v>
          </cell>
        </row>
        <row r="260">
          <cell r="A260">
            <v>41805</v>
          </cell>
          <cell r="B260">
            <v>7195.69</v>
          </cell>
        </row>
        <row r="261">
          <cell r="A261">
            <v>41812</v>
          </cell>
          <cell r="B261">
            <v>7312.62</v>
          </cell>
        </row>
        <row r="262">
          <cell r="A262">
            <v>41819</v>
          </cell>
          <cell r="B262">
            <v>7333.91</v>
          </cell>
        </row>
        <row r="263">
          <cell r="A263">
            <v>41826</v>
          </cell>
          <cell r="B263">
            <v>7206.97</v>
          </cell>
        </row>
        <row r="264">
          <cell r="A264">
            <v>41833</v>
          </cell>
          <cell r="B264">
            <v>7259.45</v>
          </cell>
        </row>
        <row r="265">
          <cell r="A265">
            <v>41840</v>
          </cell>
          <cell r="B265">
            <v>7578.12</v>
          </cell>
        </row>
        <row r="266">
          <cell r="A266">
            <v>41847</v>
          </cell>
          <cell r="B266">
            <v>7880.98</v>
          </cell>
        </row>
        <row r="267">
          <cell r="A267">
            <v>41854</v>
          </cell>
          <cell r="B267">
            <v>7885.33</v>
          </cell>
        </row>
        <row r="268">
          <cell r="A268">
            <v>41861</v>
          </cell>
          <cell r="B268">
            <v>7982.07</v>
          </cell>
        </row>
        <row r="269">
          <cell r="A269">
            <v>41868</v>
          </cell>
          <cell r="B269">
            <v>8059.4</v>
          </cell>
        </row>
        <row r="270">
          <cell r="A270">
            <v>41875</v>
          </cell>
          <cell r="B270">
            <v>7841.7</v>
          </cell>
        </row>
        <row r="271">
          <cell r="A271">
            <v>41882</v>
          </cell>
          <cell r="B271">
            <v>8214.5300000000007</v>
          </cell>
        </row>
        <row r="272">
          <cell r="A272">
            <v>41889</v>
          </cell>
          <cell r="B272">
            <v>8146.99</v>
          </cell>
        </row>
        <row r="273">
          <cell r="A273">
            <v>41896</v>
          </cell>
          <cell r="B273">
            <v>8047.25</v>
          </cell>
        </row>
        <row r="274">
          <cell r="A274">
            <v>41903</v>
          </cell>
          <cell r="B274">
            <v>8072.88</v>
          </cell>
        </row>
        <row r="275">
          <cell r="A275">
            <v>41910</v>
          </cell>
          <cell r="B275">
            <v>8080.35</v>
          </cell>
        </row>
        <row r="276">
          <cell r="A276">
            <v>41917</v>
          </cell>
          <cell r="B276">
            <v>8211.5400000000009</v>
          </cell>
        </row>
        <row r="277">
          <cell r="A277">
            <v>41924</v>
          </cell>
          <cell r="B277">
            <v>8151.52</v>
          </cell>
        </row>
        <row r="278">
          <cell r="A278">
            <v>41931</v>
          </cell>
          <cell r="B278">
            <v>7921.13</v>
          </cell>
        </row>
        <row r="279">
          <cell r="A279">
            <v>41938</v>
          </cell>
          <cell r="B279">
            <v>8225.61</v>
          </cell>
        </row>
        <row r="280">
          <cell r="A280">
            <v>41945</v>
          </cell>
          <cell r="B280">
            <v>8234.8700000000008</v>
          </cell>
        </row>
        <row r="281">
          <cell r="A281">
            <v>41952</v>
          </cell>
          <cell r="B281">
            <v>8326.9</v>
          </cell>
        </row>
        <row r="282">
          <cell r="A282">
            <v>41959</v>
          </cell>
          <cell r="B282">
            <v>8332.2999999999993</v>
          </cell>
        </row>
        <row r="283">
          <cell r="A283">
            <v>41966</v>
          </cell>
          <cell r="B283">
            <v>9002.23</v>
          </cell>
        </row>
        <row r="284">
          <cell r="A284">
            <v>41973</v>
          </cell>
          <cell r="B284">
            <v>10067.280000000001</v>
          </cell>
        </row>
        <row r="285">
          <cell r="A285">
            <v>41980</v>
          </cell>
          <cell r="B285">
            <v>10462.31</v>
          </cell>
        </row>
        <row r="286">
          <cell r="A286">
            <v>41987</v>
          </cell>
          <cell r="B286">
            <v>10627.11</v>
          </cell>
        </row>
        <row r="287">
          <cell r="A287">
            <v>41994</v>
          </cell>
          <cell r="B287">
            <v>10802.64</v>
          </cell>
        </row>
        <row r="288">
          <cell r="A288">
            <v>42001</v>
          </cell>
          <cell r="B288">
            <v>11014.62</v>
          </cell>
        </row>
        <row r="289">
          <cell r="A289">
            <v>42008</v>
          </cell>
          <cell r="B289">
            <v>11324.76</v>
          </cell>
        </row>
        <row r="290">
          <cell r="A290">
            <v>42015</v>
          </cell>
          <cell r="B290">
            <v>11532.8</v>
          </cell>
        </row>
        <row r="291">
          <cell r="A291">
            <v>42022</v>
          </cell>
          <cell r="B291">
            <v>11436.29</v>
          </cell>
        </row>
        <row r="292">
          <cell r="A292">
            <v>42029</v>
          </cell>
          <cell r="B292">
            <v>11150.69</v>
          </cell>
        </row>
        <row r="293">
          <cell r="A293">
            <v>42036</v>
          </cell>
          <cell r="B293">
            <v>10791.1</v>
          </cell>
        </row>
        <row r="294">
          <cell r="A294">
            <v>42043</v>
          </cell>
          <cell r="B294">
            <v>11443.05</v>
          </cell>
        </row>
        <row r="295">
          <cell r="A295">
            <v>42050</v>
          </cell>
          <cell r="B295">
            <v>11718.56</v>
          </cell>
        </row>
        <row r="296">
          <cell r="A296">
            <v>42057</v>
          </cell>
          <cell r="B296">
            <v>11757.68</v>
          </cell>
        </row>
        <row r="297">
          <cell r="A297">
            <v>42064</v>
          </cell>
          <cell r="B297">
            <v>11392.4</v>
          </cell>
        </row>
        <row r="298">
          <cell r="A298">
            <v>42071</v>
          </cell>
          <cell r="B298">
            <v>11713.61</v>
          </cell>
        </row>
        <row r="299">
          <cell r="A299">
            <v>42078</v>
          </cell>
          <cell r="B299">
            <v>12544.45</v>
          </cell>
        </row>
        <row r="300">
          <cell r="A300">
            <v>42085</v>
          </cell>
          <cell r="B300">
            <v>12874.42</v>
          </cell>
        </row>
        <row r="301">
          <cell r="A301">
            <v>42092</v>
          </cell>
          <cell r="B301">
            <v>13494.64</v>
          </cell>
        </row>
        <row r="302">
          <cell r="A302">
            <v>42099</v>
          </cell>
          <cell r="B302">
            <v>14013.33</v>
          </cell>
        </row>
        <row r="303">
          <cell r="A303">
            <v>42106</v>
          </cell>
          <cell r="B303">
            <v>14149.34</v>
          </cell>
        </row>
        <row r="304">
          <cell r="A304">
            <v>42113</v>
          </cell>
          <cell r="B304">
            <v>14598.69</v>
          </cell>
        </row>
        <row r="305">
          <cell r="A305">
            <v>42120</v>
          </cell>
          <cell r="B305">
            <v>14818.64</v>
          </cell>
        </row>
        <row r="306">
          <cell r="A306">
            <v>42127</v>
          </cell>
          <cell r="B306">
            <v>14481.25</v>
          </cell>
        </row>
        <row r="307">
          <cell r="A307">
            <v>42134</v>
          </cell>
          <cell r="B307">
            <v>14694.95</v>
          </cell>
        </row>
        <row r="308">
          <cell r="A308">
            <v>42141</v>
          </cell>
          <cell r="B308">
            <v>16045.8</v>
          </cell>
        </row>
        <row r="309">
          <cell r="A309">
            <v>42148</v>
          </cell>
          <cell r="B309">
            <v>16100.45</v>
          </cell>
        </row>
        <row r="310">
          <cell r="A310">
            <v>42155</v>
          </cell>
          <cell r="B310">
            <v>17649.09</v>
          </cell>
        </row>
        <row r="311">
          <cell r="A311">
            <v>42162</v>
          </cell>
          <cell r="B311">
            <v>18098.27</v>
          </cell>
        </row>
        <row r="312">
          <cell r="A312">
            <v>42169</v>
          </cell>
          <cell r="B312">
            <v>15725.47</v>
          </cell>
        </row>
        <row r="313">
          <cell r="A313">
            <v>42176</v>
          </cell>
          <cell r="B313">
            <v>14398.78</v>
          </cell>
        </row>
        <row r="314">
          <cell r="A314">
            <v>42183</v>
          </cell>
          <cell r="B314">
            <v>12246.06</v>
          </cell>
        </row>
        <row r="315">
          <cell r="A315">
            <v>42190</v>
          </cell>
          <cell r="B315">
            <v>12038.15</v>
          </cell>
        </row>
        <row r="316">
          <cell r="A316">
            <v>42197</v>
          </cell>
          <cell r="B316">
            <v>13004.96</v>
          </cell>
        </row>
        <row r="317">
          <cell r="A317">
            <v>42204</v>
          </cell>
          <cell r="B317">
            <v>13518.51</v>
          </cell>
        </row>
        <row r="318">
          <cell r="A318">
            <v>42211</v>
          </cell>
          <cell r="B318">
            <v>12374.25</v>
          </cell>
        </row>
        <row r="319">
          <cell r="A319">
            <v>42218</v>
          </cell>
          <cell r="B319">
            <v>12753.05</v>
          </cell>
        </row>
        <row r="320">
          <cell r="A320">
            <v>42225</v>
          </cell>
          <cell r="B320">
            <v>13445.87</v>
          </cell>
        </row>
        <row r="321">
          <cell r="A321">
            <v>42232</v>
          </cell>
          <cell r="B321">
            <v>11902.05</v>
          </cell>
        </row>
        <row r="322">
          <cell r="A322">
            <v>42239</v>
          </cell>
          <cell r="B322">
            <v>10800</v>
          </cell>
        </row>
        <row r="323">
          <cell r="A323">
            <v>42246</v>
          </cell>
          <cell r="B323">
            <v>10054.799999999999</v>
          </cell>
        </row>
        <row r="324">
          <cell r="A324">
            <v>42253</v>
          </cell>
          <cell r="B324">
            <v>10463.69</v>
          </cell>
        </row>
        <row r="325">
          <cell r="A325">
            <v>42260</v>
          </cell>
          <cell r="B325">
            <v>9850.77</v>
          </cell>
        </row>
        <row r="326">
          <cell r="A326">
            <v>42267</v>
          </cell>
          <cell r="B326">
            <v>9904.76</v>
          </cell>
        </row>
        <row r="327">
          <cell r="A327">
            <v>42274</v>
          </cell>
          <cell r="B327">
            <v>9988.25</v>
          </cell>
        </row>
        <row r="328">
          <cell r="A328">
            <v>42281</v>
          </cell>
          <cell r="B328">
            <v>10540.19</v>
          </cell>
        </row>
        <row r="329">
          <cell r="A329">
            <v>42288</v>
          </cell>
          <cell r="B329">
            <v>11374.83</v>
          </cell>
        </row>
        <row r="330">
          <cell r="A330">
            <v>42295</v>
          </cell>
          <cell r="B330">
            <v>11603.46</v>
          </cell>
        </row>
        <row r="331">
          <cell r="A331">
            <v>42302</v>
          </cell>
          <cell r="B331">
            <v>11546.05</v>
          </cell>
        </row>
        <row r="332">
          <cell r="A332">
            <v>42309</v>
          </cell>
          <cell r="B332">
            <v>12273.35</v>
          </cell>
        </row>
        <row r="333">
          <cell r="A333">
            <v>42316</v>
          </cell>
          <cell r="B333">
            <v>12402.04</v>
          </cell>
        </row>
        <row r="334">
          <cell r="A334">
            <v>42323</v>
          </cell>
          <cell r="B334">
            <v>12702.03</v>
          </cell>
        </row>
        <row r="335">
          <cell r="A335">
            <v>42330</v>
          </cell>
          <cell r="B335">
            <v>11961.7</v>
          </cell>
        </row>
        <row r="336">
          <cell r="A336">
            <v>42337</v>
          </cell>
          <cell r="B336">
            <v>12329.18</v>
          </cell>
        </row>
        <row r="337">
          <cell r="A337">
            <v>42344</v>
          </cell>
          <cell r="B337">
            <v>12134.02</v>
          </cell>
        </row>
        <row r="338">
          <cell r="A338">
            <v>42351</v>
          </cell>
          <cell r="B338">
            <v>12830.25</v>
          </cell>
        </row>
        <row r="339">
          <cell r="A339">
            <v>42358</v>
          </cell>
          <cell r="B339">
            <v>12980.57</v>
          </cell>
        </row>
        <row r="340">
          <cell r="A340">
            <v>42365</v>
          </cell>
          <cell r="B340">
            <v>12664.89</v>
          </cell>
        </row>
        <row r="341">
          <cell r="A341">
            <v>42372</v>
          </cell>
          <cell r="B341">
            <v>10888.91</v>
          </cell>
        </row>
        <row r="342">
          <cell r="A342">
            <v>42379</v>
          </cell>
          <cell r="B342">
            <v>9997.92</v>
          </cell>
        </row>
        <row r="343">
          <cell r="A343">
            <v>42386</v>
          </cell>
          <cell r="B343">
            <v>10111.57</v>
          </cell>
        </row>
        <row r="344">
          <cell r="A344">
            <v>42393</v>
          </cell>
          <cell r="B344">
            <v>9418.2000000000007</v>
          </cell>
        </row>
        <row r="345">
          <cell r="A345">
            <v>42400</v>
          </cell>
          <cell r="B345">
            <v>9673.48</v>
          </cell>
        </row>
        <row r="346">
          <cell r="A346">
            <v>42414</v>
          </cell>
          <cell r="B346">
            <v>10162.32</v>
          </cell>
        </row>
        <row r="347">
          <cell r="A347">
            <v>42421</v>
          </cell>
          <cell r="B347">
            <v>9573.7000000000007</v>
          </cell>
        </row>
        <row r="348">
          <cell r="A348">
            <v>42428</v>
          </cell>
          <cell r="B348">
            <v>9536.7099999999991</v>
          </cell>
        </row>
        <row r="349">
          <cell r="A349">
            <v>42435</v>
          </cell>
          <cell r="B349">
            <v>9363.41</v>
          </cell>
        </row>
        <row r="350">
          <cell r="A350">
            <v>42442</v>
          </cell>
          <cell r="B350">
            <v>10126.59</v>
          </cell>
        </row>
        <row r="351">
          <cell r="A351">
            <v>42449</v>
          </cell>
          <cell r="B351">
            <v>10339.68</v>
          </cell>
        </row>
        <row r="352">
          <cell r="A352">
            <v>42456</v>
          </cell>
          <cell r="B352">
            <v>10379.65</v>
          </cell>
        </row>
        <row r="353">
          <cell r="A353">
            <v>42463</v>
          </cell>
          <cell r="B353">
            <v>10413.540000000001</v>
          </cell>
        </row>
        <row r="354">
          <cell r="A354">
            <v>42470</v>
          </cell>
          <cell r="B354">
            <v>10733.64</v>
          </cell>
        </row>
        <row r="355">
          <cell r="A355">
            <v>42477</v>
          </cell>
          <cell r="B355">
            <v>10151.76</v>
          </cell>
        </row>
        <row r="356">
          <cell r="A356">
            <v>42484</v>
          </cell>
          <cell r="B356">
            <v>10141.540000000001</v>
          </cell>
        </row>
        <row r="357">
          <cell r="A357">
            <v>42491</v>
          </cell>
          <cell r="B357">
            <v>10100.530000000001</v>
          </cell>
        </row>
        <row r="358">
          <cell r="A358">
            <v>42498</v>
          </cell>
          <cell r="B358">
            <v>9759.27</v>
          </cell>
        </row>
        <row r="359">
          <cell r="A359">
            <v>42505</v>
          </cell>
          <cell r="B359">
            <v>9816.75</v>
          </cell>
        </row>
        <row r="360">
          <cell r="A360">
            <v>42512</v>
          </cell>
          <cell r="B360">
            <v>9813.6299999999992</v>
          </cell>
        </row>
        <row r="361">
          <cell r="A361">
            <v>42519</v>
          </cell>
          <cell r="B361">
            <v>10344.91</v>
          </cell>
        </row>
        <row r="362">
          <cell r="A362">
            <v>42526</v>
          </cell>
          <cell r="B362">
            <v>10316.82</v>
          </cell>
        </row>
        <row r="363">
          <cell r="A363">
            <v>42533</v>
          </cell>
          <cell r="B363">
            <v>10182.530000000001</v>
          </cell>
        </row>
        <row r="364">
          <cell r="A364">
            <v>42540</v>
          </cell>
          <cell r="B364">
            <v>10147.700000000001</v>
          </cell>
        </row>
        <row r="365">
          <cell r="A365">
            <v>42547</v>
          </cell>
          <cell r="B365">
            <v>10458.43</v>
          </cell>
        </row>
        <row r="366">
          <cell r="A366">
            <v>42554</v>
          </cell>
          <cell r="B366">
            <v>10611.8</v>
          </cell>
        </row>
        <row r="367">
          <cell r="A367">
            <v>42561</v>
          </cell>
          <cell r="B367">
            <v>10823.21</v>
          </cell>
        </row>
        <row r="368">
          <cell r="A368">
            <v>42568</v>
          </cell>
          <cell r="B368">
            <v>10709.07</v>
          </cell>
        </row>
        <row r="369">
          <cell r="A369">
            <v>42575</v>
          </cell>
          <cell r="B369">
            <v>10329.43</v>
          </cell>
        </row>
        <row r="370">
          <cell r="A370">
            <v>42582</v>
          </cell>
          <cell r="B370">
            <v>10342.280000000001</v>
          </cell>
        </row>
        <row r="371">
          <cell r="A371">
            <v>42589</v>
          </cell>
          <cell r="B371">
            <v>10528.1</v>
          </cell>
        </row>
        <row r="372">
          <cell r="A372">
            <v>42596</v>
          </cell>
          <cell r="B372">
            <v>10872.71</v>
          </cell>
        </row>
        <row r="373">
          <cell r="A373">
            <v>42603</v>
          </cell>
          <cell r="B373">
            <v>10693.75</v>
          </cell>
        </row>
        <row r="374">
          <cell r="A374">
            <v>42610</v>
          </cell>
          <cell r="B374">
            <v>10640.42</v>
          </cell>
        </row>
        <row r="375">
          <cell r="A375">
            <v>42617</v>
          </cell>
          <cell r="B375">
            <v>10762.79</v>
          </cell>
        </row>
        <row r="376">
          <cell r="A376">
            <v>42624</v>
          </cell>
          <cell r="B376">
            <v>10454.24</v>
          </cell>
        </row>
        <row r="377">
          <cell r="A377">
            <v>42631</v>
          </cell>
          <cell r="B377">
            <v>10609.7</v>
          </cell>
        </row>
        <row r="378">
          <cell r="A378">
            <v>42638</v>
          </cell>
          <cell r="B378">
            <v>10567.58</v>
          </cell>
        </row>
        <row r="379">
          <cell r="A379">
            <v>42652</v>
          </cell>
          <cell r="B379">
            <v>10759.68</v>
          </cell>
        </row>
        <row r="380">
          <cell r="A380">
            <v>42659</v>
          </cell>
          <cell r="B380">
            <v>10748.9</v>
          </cell>
        </row>
        <row r="381">
          <cell r="A381">
            <v>42666</v>
          </cell>
          <cell r="B381">
            <v>10711.04</v>
          </cell>
        </row>
        <row r="382">
          <cell r="A382">
            <v>42673</v>
          </cell>
          <cell r="B382">
            <v>10702.57</v>
          </cell>
        </row>
        <row r="383">
          <cell r="A383">
            <v>42680</v>
          </cell>
          <cell r="B383">
            <v>10878.14</v>
          </cell>
        </row>
        <row r="384">
          <cell r="A384">
            <v>42687</v>
          </cell>
          <cell r="B384">
            <v>10889.11</v>
          </cell>
        </row>
        <row r="385">
          <cell r="A385">
            <v>42694</v>
          </cell>
          <cell r="B385">
            <v>11036.53</v>
          </cell>
        </row>
        <row r="386">
          <cell r="A386">
            <v>42701</v>
          </cell>
          <cell r="B386">
            <v>10912.63</v>
          </cell>
        </row>
        <row r="387">
          <cell r="A387">
            <v>42708</v>
          </cell>
          <cell r="B387">
            <v>10789.62</v>
          </cell>
        </row>
        <row r="388">
          <cell r="A388">
            <v>42715</v>
          </cell>
          <cell r="B388">
            <v>10334.76</v>
          </cell>
        </row>
        <row r="389">
          <cell r="A389">
            <v>42722</v>
          </cell>
          <cell r="B389">
            <v>10199.86</v>
          </cell>
        </row>
        <row r="390">
          <cell r="A390">
            <v>42729</v>
          </cell>
          <cell r="B390">
            <v>10177.14</v>
          </cell>
        </row>
        <row r="391">
          <cell r="A391">
            <v>42736</v>
          </cell>
          <cell r="B391">
            <v>10289.36</v>
          </cell>
        </row>
        <row r="392">
          <cell r="A392">
            <v>42743</v>
          </cell>
          <cell r="B392">
            <v>10008.299999999999</v>
          </cell>
        </row>
        <row r="393">
          <cell r="A393">
            <v>42750</v>
          </cell>
          <cell r="B393">
            <v>9906.14</v>
          </cell>
        </row>
        <row r="394">
          <cell r="A394">
            <v>42757</v>
          </cell>
          <cell r="B394">
            <v>10052.049999999999</v>
          </cell>
        </row>
        <row r="395">
          <cell r="A395">
            <v>42764</v>
          </cell>
          <cell r="B395">
            <v>10004.84</v>
          </cell>
        </row>
        <row r="396">
          <cell r="A396">
            <v>42771</v>
          </cell>
          <cell r="B396">
            <v>10186.379999999999</v>
          </cell>
        </row>
        <row r="397">
          <cell r="A397">
            <v>42778</v>
          </cell>
          <cell r="B397">
            <v>10197.92</v>
          </cell>
        </row>
        <row r="398">
          <cell r="A398">
            <v>42785</v>
          </cell>
          <cell r="B398">
            <v>10443.73</v>
          </cell>
        </row>
        <row r="399">
          <cell r="A399">
            <v>42792</v>
          </cell>
          <cell r="B399">
            <v>10397.049999999999</v>
          </cell>
        </row>
        <row r="400">
          <cell r="A400">
            <v>42799</v>
          </cell>
          <cell r="B400">
            <v>10451.01</v>
          </cell>
        </row>
        <row r="401">
          <cell r="A401">
            <v>42806</v>
          </cell>
          <cell r="B401">
            <v>10515.41</v>
          </cell>
        </row>
        <row r="402">
          <cell r="A402">
            <v>42813</v>
          </cell>
          <cell r="B402">
            <v>10646.72</v>
          </cell>
        </row>
        <row r="403">
          <cell r="A403">
            <v>42820</v>
          </cell>
          <cell r="B403">
            <v>10428.719999999999</v>
          </cell>
        </row>
        <row r="404">
          <cell r="A404">
            <v>42827</v>
          </cell>
          <cell r="B404">
            <v>10669.48</v>
          </cell>
        </row>
        <row r="405">
          <cell r="A405">
            <v>42834</v>
          </cell>
          <cell r="B405">
            <v>10519.86</v>
          </cell>
        </row>
        <row r="406">
          <cell r="A406">
            <v>42841</v>
          </cell>
          <cell r="B406">
            <v>10314.35</v>
          </cell>
        </row>
        <row r="407">
          <cell r="A407">
            <v>42848</v>
          </cell>
          <cell r="B407">
            <v>10234.65</v>
          </cell>
        </row>
        <row r="408">
          <cell r="A408">
            <v>42855</v>
          </cell>
          <cell r="B408">
            <v>10024.44</v>
          </cell>
        </row>
        <row r="409">
          <cell r="A409">
            <v>42862</v>
          </cell>
          <cell r="B409">
            <v>9787.99</v>
          </cell>
        </row>
        <row r="410">
          <cell r="A410">
            <v>42869</v>
          </cell>
          <cell r="B410">
            <v>9970.9599999999991</v>
          </cell>
        </row>
        <row r="411">
          <cell r="A411">
            <v>42876</v>
          </cell>
          <cell r="B411">
            <v>9859.23</v>
          </cell>
        </row>
        <row r="412">
          <cell r="A412">
            <v>42883</v>
          </cell>
          <cell r="B412">
            <v>9794.89</v>
          </cell>
        </row>
        <row r="413">
          <cell r="A413">
            <v>42890</v>
          </cell>
          <cell r="B413">
            <v>10177.450000000001</v>
          </cell>
        </row>
        <row r="414">
          <cell r="A414">
            <v>42897</v>
          </cell>
          <cell r="B414">
            <v>10191.24</v>
          </cell>
        </row>
        <row r="415">
          <cell r="A415">
            <v>42904</v>
          </cell>
          <cell r="B415">
            <v>10366.780000000001</v>
          </cell>
        </row>
        <row r="416">
          <cell r="A416">
            <v>42911</v>
          </cell>
          <cell r="B416">
            <v>10529.61</v>
          </cell>
        </row>
        <row r="417">
          <cell r="A417">
            <v>42918</v>
          </cell>
          <cell r="B417">
            <v>10563.72</v>
          </cell>
        </row>
        <row r="418">
          <cell r="A418">
            <v>42925</v>
          </cell>
          <cell r="B418">
            <v>10427.790000000001</v>
          </cell>
        </row>
        <row r="419">
          <cell r="A419">
            <v>42932</v>
          </cell>
          <cell r="B419">
            <v>10364.82</v>
          </cell>
        </row>
        <row r="420">
          <cell r="A420">
            <v>42939</v>
          </cell>
          <cell r="B420">
            <v>10437.94</v>
          </cell>
        </row>
        <row r="421">
          <cell r="A421">
            <v>42946</v>
          </cell>
          <cell r="B421">
            <v>10361.23</v>
          </cell>
        </row>
        <row r="422">
          <cell r="A422">
            <v>42953</v>
          </cell>
          <cell r="B422">
            <v>10291.35</v>
          </cell>
        </row>
        <row r="423">
          <cell r="A423">
            <v>42960</v>
          </cell>
          <cell r="B423">
            <v>10614.08</v>
          </cell>
        </row>
        <row r="424">
          <cell r="A424">
            <v>42967</v>
          </cell>
          <cell r="B424">
            <v>10659.01</v>
          </cell>
        </row>
        <row r="425">
          <cell r="A425">
            <v>42974</v>
          </cell>
          <cell r="B425">
            <v>10880.56</v>
          </cell>
        </row>
        <row r="426">
          <cell r="A426">
            <v>42981</v>
          </cell>
          <cell r="B426">
            <v>10970.77</v>
          </cell>
        </row>
        <row r="427">
          <cell r="A427">
            <v>42988</v>
          </cell>
          <cell r="B427">
            <v>11063.1</v>
          </cell>
        </row>
        <row r="428">
          <cell r="A428">
            <v>42995</v>
          </cell>
          <cell r="B428">
            <v>11069.82</v>
          </cell>
        </row>
        <row r="429">
          <cell r="A429">
            <v>43002</v>
          </cell>
          <cell r="B429">
            <v>11087.19</v>
          </cell>
        </row>
        <row r="430">
          <cell r="A430">
            <v>43009</v>
          </cell>
          <cell r="B430">
            <v>11087.19</v>
          </cell>
        </row>
        <row r="431">
          <cell r="A431">
            <v>43016</v>
          </cell>
          <cell r="B431">
            <v>11399.09</v>
          </cell>
        </row>
        <row r="432">
          <cell r="A432">
            <v>43023</v>
          </cell>
          <cell r="B432">
            <v>11238.88</v>
          </cell>
        </row>
        <row r="433">
          <cell r="A433">
            <v>43030</v>
          </cell>
          <cell r="B433">
            <v>11444.52</v>
          </cell>
        </row>
        <row r="434">
          <cell r="A434">
            <v>43037</v>
          </cell>
          <cell r="B434">
            <v>11215.19</v>
          </cell>
        </row>
        <row r="435">
          <cell r="A435">
            <v>43044</v>
          </cell>
          <cell r="B435">
            <v>11645.05</v>
          </cell>
        </row>
        <row r="436">
          <cell r="A436">
            <v>43051</v>
          </cell>
          <cell r="B436">
            <v>11292.93</v>
          </cell>
        </row>
        <row r="437">
          <cell r="A437">
            <v>43058</v>
          </cell>
          <cell r="B437">
            <v>11168.39</v>
          </cell>
        </row>
        <row r="438">
          <cell r="A438">
            <v>43065</v>
          </cell>
          <cell r="B438">
            <v>11013.15</v>
          </cell>
        </row>
        <row r="439">
          <cell r="A439">
            <v>43072</v>
          </cell>
          <cell r="B439">
            <v>10935.06</v>
          </cell>
        </row>
        <row r="440">
          <cell r="A440">
            <v>43079</v>
          </cell>
          <cell r="B440">
            <v>10998.12</v>
          </cell>
        </row>
        <row r="441">
          <cell r="A441">
            <v>43086</v>
          </cell>
          <cell r="B441">
            <v>11094.16</v>
          </cell>
        </row>
        <row r="442">
          <cell r="A442">
            <v>43093</v>
          </cell>
          <cell r="B442">
            <v>11040.45</v>
          </cell>
        </row>
        <row r="443">
          <cell r="A443">
            <v>43100</v>
          </cell>
          <cell r="B443">
            <v>11342.85</v>
          </cell>
        </row>
        <row r="444">
          <cell r="A444">
            <v>43107</v>
          </cell>
          <cell r="B444">
            <v>11461.99</v>
          </cell>
        </row>
        <row r="445">
          <cell r="A445">
            <v>43114</v>
          </cell>
          <cell r="B445">
            <v>11296.27</v>
          </cell>
        </row>
        <row r="446">
          <cell r="A446">
            <v>43121</v>
          </cell>
          <cell r="B446">
            <v>11557.82</v>
          </cell>
        </row>
        <row r="447">
          <cell r="A447">
            <v>43128</v>
          </cell>
          <cell r="B447">
            <v>10925.16</v>
          </cell>
        </row>
        <row r="448">
          <cell r="A448">
            <v>43135</v>
          </cell>
          <cell r="B448">
            <v>10001.23</v>
          </cell>
        </row>
        <row r="449">
          <cell r="A449">
            <v>43142</v>
          </cell>
          <cell r="B449">
            <v>10431.91</v>
          </cell>
        </row>
        <row r="450">
          <cell r="A450">
            <v>43149</v>
          </cell>
          <cell r="B450">
            <v>10662.79</v>
          </cell>
        </row>
        <row r="451">
          <cell r="A451">
            <v>43156</v>
          </cell>
          <cell r="B451">
            <v>10856.25</v>
          </cell>
        </row>
        <row r="452">
          <cell r="A452">
            <v>43163</v>
          </cell>
          <cell r="B452">
            <v>11194.91</v>
          </cell>
        </row>
        <row r="453">
          <cell r="A453">
            <v>43170</v>
          </cell>
          <cell r="B453">
            <v>11051.12</v>
          </cell>
        </row>
        <row r="454">
          <cell r="A454">
            <v>43177</v>
          </cell>
          <cell r="B454">
            <v>10439.99</v>
          </cell>
        </row>
        <row r="455">
          <cell r="A455">
            <v>43184</v>
          </cell>
          <cell r="B455">
            <v>10868.66</v>
          </cell>
        </row>
        <row r="456">
          <cell r="A456">
            <v>43191</v>
          </cell>
          <cell r="B456">
            <v>10684.56</v>
          </cell>
        </row>
        <row r="457">
          <cell r="A457">
            <v>43198</v>
          </cell>
          <cell r="B457">
            <v>10687.02</v>
          </cell>
        </row>
        <row r="458">
          <cell r="A458">
            <v>43205</v>
          </cell>
          <cell r="B458">
            <v>10408.91</v>
          </cell>
        </row>
        <row r="459">
          <cell r="A459">
            <v>43212</v>
          </cell>
          <cell r="B459">
            <v>10324.469999999999</v>
          </cell>
        </row>
        <row r="460">
          <cell r="A460">
            <v>43219</v>
          </cell>
          <cell r="B460">
            <v>10426.19</v>
          </cell>
        </row>
        <row r="461">
          <cell r="A461">
            <v>43226</v>
          </cell>
          <cell r="B461">
            <v>10634.3</v>
          </cell>
        </row>
        <row r="462">
          <cell r="A462">
            <v>43233</v>
          </cell>
          <cell r="B462">
            <v>10672.52</v>
          </cell>
        </row>
        <row r="463">
          <cell r="A463">
            <v>43240</v>
          </cell>
          <cell r="B463">
            <v>10448.219999999999</v>
          </cell>
        </row>
        <row r="464">
          <cell r="A464">
            <v>43247</v>
          </cell>
          <cell r="B464">
            <v>10169.35</v>
          </cell>
        </row>
        <row r="465">
          <cell r="A465">
            <v>43254</v>
          </cell>
          <cell r="B465">
            <v>10205.52</v>
          </cell>
        </row>
        <row r="466">
          <cell r="A466">
            <v>43261</v>
          </cell>
          <cell r="B466">
            <v>9943.1299999999992</v>
          </cell>
        </row>
        <row r="467">
          <cell r="A467">
            <v>43268</v>
          </cell>
          <cell r="B467">
            <v>9409.9500000000007</v>
          </cell>
        </row>
        <row r="468">
          <cell r="A468">
            <v>43275</v>
          </cell>
          <cell r="B468">
            <v>9379.4699999999993</v>
          </cell>
        </row>
        <row r="469">
          <cell r="A469">
            <v>43282</v>
          </cell>
          <cell r="B469">
            <v>8911.34</v>
          </cell>
        </row>
        <row r="470">
          <cell r="A470">
            <v>43289</v>
          </cell>
          <cell r="B470">
            <v>9326.9699999999993</v>
          </cell>
        </row>
        <row r="471">
          <cell r="A471">
            <v>43296</v>
          </cell>
          <cell r="B471">
            <v>9251.48</v>
          </cell>
        </row>
        <row r="472">
          <cell r="A472">
            <v>43303</v>
          </cell>
          <cell r="B472">
            <v>9295.93</v>
          </cell>
        </row>
        <row r="473">
          <cell r="A473">
            <v>43310</v>
          </cell>
          <cell r="B473">
            <v>8602.1200000000008</v>
          </cell>
        </row>
        <row r="474">
          <cell r="A474">
            <v>43317</v>
          </cell>
          <cell r="B474">
            <v>8813.49</v>
          </cell>
        </row>
        <row r="475">
          <cell r="A475">
            <v>43324</v>
          </cell>
          <cell r="B475">
            <v>8357.0400000000009</v>
          </cell>
        </row>
        <row r="476">
          <cell r="A476">
            <v>43331</v>
          </cell>
          <cell r="B476">
            <v>8484.74</v>
          </cell>
        </row>
        <row r="477">
          <cell r="A477">
            <v>43338</v>
          </cell>
          <cell r="B477">
            <v>8465.4699999999993</v>
          </cell>
        </row>
        <row r="478">
          <cell r="A478">
            <v>43345</v>
          </cell>
          <cell r="B478">
            <v>8322.36</v>
          </cell>
        </row>
        <row r="479">
          <cell r="A479">
            <v>43352</v>
          </cell>
          <cell r="B479">
            <v>8113.88</v>
          </cell>
        </row>
        <row r="480">
          <cell r="A480">
            <v>43359</v>
          </cell>
          <cell r="B480">
            <v>8409.18</v>
          </cell>
        </row>
        <row r="481">
          <cell r="A481">
            <v>43366</v>
          </cell>
          <cell r="B481">
            <v>8401.09</v>
          </cell>
        </row>
        <row r="482">
          <cell r="A482">
            <v>43380</v>
          </cell>
          <cell r="B482">
            <v>7558.28</v>
          </cell>
        </row>
        <row r="483">
          <cell r="A483">
            <v>43387</v>
          </cell>
          <cell r="B483">
            <v>7387.74</v>
          </cell>
        </row>
        <row r="484">
          <cell r="A484">
            <v>43394</v>
          </cell>
          <cell r="B484">
            <v>7504.72</v>
          </cell>
        </row>
        <row r="485">
          <cell r="A485">
            <v>43401</v>
          </cell>
          <cell r="B485">
            <v>7867.54</v>
          </cell>
        </row>
        <row r="486">
          <cell r="A486">
            <v>43408</v>
          </cell>
          <cell r="B486">
            <v>7648.55</v>
          </cell>
        </row>
        <row r="487">
          <cell r="A487">
            <v>43415</v>
          </cell>
          <cell r="B487">
            <v>8062.29</v>
          </cell>
        </row>
        <row r="488">
          <cell r="A488">
            <v>43422</v>
          </cell>
          <cell r="B488">
            <v>7636.7</v>
          </cell>
        </row>
        <row r="489">
          <cell r="A489">
            <v>43429</v>
          </cell>
          <cell r="B489">
            <v>7681.75</v>
          </cell>
        </row>
        <row r="490">
          <cell r="A490">
            <v>43436</v>
          </cell>
          <cell r="B490">
            <v>7733.89</v>
          </cell>
        </row>
        <row r="491">
          <cell r="A491">
            <v>43443</v>
          </cell>
          <cell r="B491">
            <v>7629.65</v>
          </cell>
        </row>
        <row r="492">
          <cell r="A492">
            <v>43450</v>
          </cell>
          <cell r="B492">
            <v>7337.6</v>
          </cell>
        </row>
        <row r="493">
          <cell r="A493">
            <v>43457</v>
          </cell>
          <cell r="B493">
            <v>7239.79</v>
          </cell>
        </row>
        <row r="494">
          <cell r="A494">
            <v>43464</v>
          </cell>
          <cell r="B494">
            <v>7284.84</v>
          </cell>
        </row>
        <row r="495">
          <cell r="A495">
            <v>43471</v>
          </cell>
          <cell r="B495">
            <v>7474.01</v>
          </cell>
        </row>
        <row r="496">
          <cell r="A496">
            <v>43478</v>
          </cell>
          <cell r="B496">
            <v>7581.39</v>
          </cell>
        </row>
        <row r="497">
          <cell r="A497">
            <v>43485</v>
          </cell>
          <cell r="B497">
            <v>7595.45</v>
          </cell>
        </row>
        <row r="498">
          <cell r="A498">
            <v>43492</v>
          </cell>
          <cell r="B498">
            <v>7684</v>
          </cell>
        </row>
        <row r="499">
          <cell r="A499">
            <v>43499</v>
          </cell>
          <cell r="B499">
            <v>7684</v>
          </cell>
        </row>
        <row r="500">
          <cell r="A500">
            <v>43506</v>
          </cell>
          <cell r="B500">
            <v>8125.63</v>
          </cell>
        </row>
        <row r="501">
          <cell r="A501">
            <v>43513</v>
          </cell>
          <cell r="B501">
            <v>8651.2000000000007</v>
          </cell>
        </row>
        <row r="502">
          <cell r="A502">
            <v>43520</v>
          </cell>
          <cell r="B502">
            <v>9167.65</v>
          </cell>
        </row>
        <row r="503">
          <cell r="A503">
            <v>43527</v>
          </cell>
          <cell r="B503">
            <v>9363.7199999999993</v>
          </cell>
        </row>
        <row r="504">
          <cell r="A504">
            <v>43534</v>
          </cell>
          <cell r="B504">
            <v>9550.5400000000009</v>
          </cell>
        </row>
        <row r="505">
          <cell r="A505">
            <v>43541</v>
          </cell>
          <cell r="B505">
            <v>9879.2199999999993</v>
          </cell>
        </row>
        <row r="506">
          <cell r="A506">
            <v>43548</v>
          </cell>
          <cell r="B506">
            <v>9906.86</v>
          </cell>
        </row>
        <row r="507">
          <cell r="A507">
            <v>43555</v>
          </cell>
          <cell r="B507">
            <v>10415.799999999999</v>
          </cell>
        </row>
        <row r="508">
          <cell r="A508">
            <v>43562</v>
          </cell>
          <cell r="B508">
            <v>10132.34</v>
          </cell>
        </row>
        <row r="509">
          <cell r="A509">
            <v>43569</v>
          </cell>
          <cell r="B509">
            <v>10418.24</v>
          </cell>
        </row>
        <row r="510">
          <cell r="A510">
            <v>43576</v>
          </cell>
          <cell r="B510">
            <v>9780.82</v>
          </cell>
        </row>
        <row r="511">
          <cell r="A511">
            <v>43583</v>
          </cell>
          <cell r="B511">
            <v>9674.5300000000007</v>
          </cell>
        </row>
        <row r="512">
          <cell r="A512">
            <v>43590</v>
          </cell>
          <cell r="B512">
            <v>9235.39</v>
          </cell>
        </row>
        <row r="513">
          <cell r="A513">
            <v>43597</v>
          </cell>
          <cell r="B513">
            <v>9000.19</v>
          </cell>
        </row>
        <row r="514">
          <cell r="A514">
            <v>43604</v>
          </cell>
          <cell r="B514">
            <v>8776.77</v>
          </cell>
        </row>
        <row r="515">
          <cell r="A515">
            <v>43611</v>
          </cell>
          <cell r="B515">
            <v>8922.69</v>
          </cell>
        </row>
        <row r="516">
          <cell r="A516">
            <v>43618</v>
          </cell>
          <cell r="B516">
            <v>8584.94</v>
          </cell>
        </row>
        <row r="517">
          <cell r="A517">
            <v>43625</v>
          </cell>
          <cell r="B517">
            <v>8810.1299999999992</v>
          </cell>
        </row>
        <row r="518">
          <cell r="A518">
            <v>43632</v>
          </cell>
          <cell r="B518">
            <v>9214.27</v>
          </cell>
        </row>
        <row r="519">
          <cell r="A519">
            <v>43639</v>
          </cell>
          <cell r="B519">
            <v>9178.31</v>
          </cell>
        </row>
        <row r="520">
          <cell r="A520">
            <v>43646</v>
          </cell>
          <cell r="B520">
            <v>9443.2099999999991</v>
          </cell>
        </row>
        <row r="521">
          <cell r="A521">
            <v>43653</v>
          </cell>
          <cell r="B521">
            <v>9213.3799999999992</v>
          </cell>
        </row>
        <row r="522">
          <cell r="A522">
            <v>43660</v>
          </cell>
          <cell r="B522">
            <v>9228.5499999999993</v>
          </cell>
        </row>
        <row r="523">
          <cell r="A523">
            <v>43667</v>
          </cell>
          <cell r="B523">
            <v>9349</v>
          </cell>
        </row>
        <row r="524">
          <cell r="A524">
            <v>43674</v>
          </cell>
          <cell r="B524">
            <v>9136.4599999999991</v>
          </cell>
        </row>
        <row r="525">
          <cell r="A525">
            <v>43681</v>
          </cell>
          <cell r="B525">
            <v>8795.18</v>
          </cell>
        </row>
        <row r="526">
          <cell r="A526">
            <v>43688</v>
          </cell>
          <cell r="B526">
            <v>9060.92</v>
          </cell>
        </row>
        <row r="527">
          <cell r="A527">
            <v>43695</v>
          </cell>
          <cell r="B527">
            <v>9362.5499999999993</v>
          </cell>
        </row>
        <row r="528">
          <cell r="A528">
            <v>43702</v>
          </cell>
          <cell r="B528">
            <v>9365.68</v>
          </cell>
        </row>
        <row r="529">
          <cell r="A529">
            <v>43709</v>
          </cell>
          <cell r="B529">
            <v>9823.42</v>
          </cell>
        </row>
        <row r="530">
          <cell r="A530">
            <v>43716</v>
          </cell>
          <cell r="B530">
            <v>9919.7999999999993</v>
          </cell>
        </row>
        <row r="531">
          <cell r="A531">
            <v>43723</v>
          </cell>
          <cell r="B531">
            <v>9881.25</v>
          </cell>
        </row>
        <row r="532">
          <cell r="A532">
            <v>43730</v>
          </cell>
          <cell r="B532">
            <v>9548.9599999999991</v>
          </cell>
        </row>
        <row r="533">
          <cell r="A533">
            <v>43737</v>
          </cell>
          <cell r="B533">
            <v>9446.24</v>
          </cell>
        </row>
        <row r="534">
          <cell r="A534">
            <v>43744</v>
          </cell>
          <cell r="B534">
            <v>9666.58</v>
          </cell>
        </row>
        <row r="535">
          <cell r="A535">
            <v>43751</v>
          </cell>
          <cell r="B535">
            <v>9533.5</v>
          </cell>
        </row>
        <row r="536">
          <cell r="A536">
            <v>43758</v>
          </cell>
          <cell r="B536">
            <v>9660.44</v>
          </cell>
        </row>
        <row r="537">
          <cell r="A537">
            <v>43765</v>
          </cell>
          <cell r="B537">
            <v>9802.33</v>
          </cell>
        </row>
        <row r="538">
          <cell r="A538">
            <v>43772</v>
          </cell>
          <cell r="B538">
            <v>9895.34</v>
          </cell>
        </row>
        <row r="539">
          <cell r="A539">
            <v>43779</v>
          </cell>
          <cell r="B539">
            <v>9647.99</v>
          </cell>
        </row>
        <row r="540">
          <cell r="A540">
            <v>43786</v>
          </cell>
          <cell r="B540">
            <v>9626.9</v>
          </cell>
        </row>
        <row r="541">
          <cell r="A541">
            <v>43793</v>
          </cell>
          <cell r="B541">
            <v>9582.16</v>
          </cell>
        </row>
        <row r="542">
          <cell r="A542">
            <v>43800</v>
          </cell>
          <cell r="B542">
            <v>9878.6200000000008</v>
          </cell>
        </row>
        <row r="543">
          <cell r="A543">
            <v>43807</v>
          </cell>
          <cell r="B543">
            <v>10004.620000000001</v>
          </cell>
        </row>
        <row r="544">
          <cell r="A544">
            <v>43814</v>
          </cell>
          <cell r="B544">
            <v>10229.49</v>
          </cell>
        </row>
        <row r="545">
          <cell r="A545">
            <v>43821</v>
          </cell>
          <cell r="B545">
            <v>10233.77</v>
          </cell>
        </row>
        <row r="546">
          <cell r="A546">
            <v>43828</v>
          </cell>
          <cell r="B546">
            <v>10656.41</v>
          </cell>
        </row>
        <row r="547">
          <cell r="A547">
            <v>43835</v>
          </cell>
          <cell r="B547">
            <v>10879.84</v>
          </cell>
        </row>
        <row r="548">
          <cell r="A548">
            <v>43842</v>
          </cell>
          <cell r="B548">
            <v>10954.39</v>
          </cell>
        </row>
        <row r="549">
          <cell r="A549">
            <v>43849</v>
          </cell>
          <cell r="B549">
            <v>10681.9</v>
          </cell>
        </row>
        <row r="550">
          <cell r="A550">
            <v>43863</v>
          </cell>
          <cell r="B550">
            <v>10611.55</v>
          </cell>
        </row>
        <row r="551">
          <cell r="A551">
            <v>43870</v>
          </cell>
          <cell r="B551">
            <v>10916.31</v>
          </cell>
        </row>
        <row r="552">
          <cell r="A552">
            <v>43877</v>
          </cell>
          <cell r="B552">
            <v>11629.7</v>
          </cell>
        </row>
        <row r="553">
          <cell r="A553">
            <v>43884</v>
          </cell>
          <cell r="B553">
            <v>10980.77</v>
          </cell>
        </row>
        <row r="554">
          <cell r="A554">
            <v>43891</v>
          </cell>
          <cell r="B554">
            <v>11582.82</v>
          </cell>
        </row>
        <row r="555">
          <cell r="A555">
            <v>43898</v>
          </cell>
          <cell r="B555">
            <v>10831.13</v>
          </cell>
        </row>
        <row r="556">
          <cell r="A556">
            <v>43905</v>
          </cell>
          <cell r="B556">
            <v>10150.129999999999</v>
          </cell>
        </row>
        <row r="557">
          <cell r="A557">
            <v>43912</v>
          </cell>
          <cell r="B557">
            <v>10109.91</v>
          </cell>
        </row>
        <row r="558">
          <cell r="A558">
            <v>43919</v>
          </cell>
          <cell r="B558">
            <v>10110.11</v>
          </cell>
        </row>
        <row r="559">
          <cell r="A559">
            <v>43926</v>
          </cell>
          <cell r="B559">
            <v>10298.41</v>
          </cell>
        </row>
        <row r="560">
          <cell r="A560">
            <v>43933</v>
          </cell>
          <cell r="B560">
            <v>10527.99</v>
          </cell>
        </row>
        <row r="561">
          <cell r="A561">
            <v>43940</v>
          </cell>
          <cell r="B561">
            <v>10423.459999999999</v>
          </cell>
        </row>
        <row r="562">
          <cell r="A562">
            <v>43947</v>
          </cell>
          <cell r="B562">
            <v>10721.78</v>
          </cell>
        </row>
        <row r="563">
          <cell r="A563">
            <v>43954</v>
          </cell>
          <cell r="B563">
            <v>11001.58</v>
          </cell>
        </row>
        <row r="564">
          <cell r="A564">
            <v>43961</v>
          </cell>
          <cell r="B564">
            <v>10964.89</v>
          </cell>
        </row>
        <row r="565">
          <cell r="A565">
            <v>43968</v>
          </cell>
          <cell r="B565">
            <v>10604.97</v>
          </cell>
        </row>
        <row r="566">
          <cell r="A566">
            <v>43975</v>
          </cell>
          <cell r="B566">
            <v>10746.08</v>
          </cell>
        </row>
        <row r="567">
          <cell r="A567">
            <v>43982</v>
          </cell>
          <cell r="B567">
            <v>11180.6</v>
          </cell>
        </row>
        <row r="568">
          <cell r="A568">
            <v>43989</v>
          </cell>
          <cell r="B568">
            <v>11251.71</v>
          </cell>
        </row>
        <row r="569">
          <cell r="A569">
            <v>43996</v>
          </cell>
          <cell r="B569">
            <v>11668.13</v>
          </cell>
        </row>
        <row r="570">
          <cell r="A570">
            <v>44003</v>
          </cell>
          <cell r="B570">
            <v>11813.53</v>
          </cell>
        </row>
        <row r="571">
          <cell r="A571">
            <v>44010</v>
          </cell>
          <cell r="B571">
            <v>12433.26</v>
          </cell>
        </row>
        <row r="572">
          <cell r="A572">
            <v>44017</v>
          </cell>
          <cell r="B572">
            <v>13671.24</v>
          </cell>
        </row>
        <row r="573">
          <cell r="A573">
            <v>44024</v>
          </cell>
          <cell r="B573">
            <v>13114.94</v>
          </cell>
        </row>
        <row r="574">
          <cell r="A574">
            <v>44031</v>
          </cell>
          <cell r="B574">
            <v>12935.7</v>
          </cell>
        </row>
        <row r="575">
          <cell r="A575">
            <v>44038</v>
          </cell>
          <cell r="B575">
            <v>13637.88</v>
          </cell>
        </row>
        <row r="576">
          <cell r="A576">
            <v>44045</v>
          </cell>
          <cell r="B576">
            <v>13648.5</v>
          </cell>
        </row>
        <row r="577">
          <cell r="A577">
            <v>44052</v>
          </cell>
          <cell r="B577">
            <v>13489.01</v>
          </cell>
        </row>
        <row r="578">
          <cell r="A578">
            <v>44059</v>
          </cell>
          <cell r="B578">
            <v>13478</v>
          </cell>
        </row>
        <row r="579">
          <cell r="A579">
            <v>44066</v>
          </cell>
          <cell r="B579">
            <v>13851.32</v>
          </cell>
        </row>
        <row r="580">
          <cell r="A580">
            <v>44073</v>
          </cell>
          <cell r="B580">
            <v>13656.66</v>
          </cell>
        </row>
        <row r="581">
          <cell r="A581">
            <v>44080</v>
          </cell>
          <cell r="B581">
            <v>12942.95</v>
          </cell>
        </row>
        <row r="582">
          <cell r="A582">
            <v>44087</v>
          </cell>
          <cell r="B582">
            <v>13245.09</v>
          </cell>
        </row>
        <row r="583">
          <cell r="A583">
            <v>44094</v>
          </cell>
          <cell r="B583">
            <v>12814.17</v>
          </cell>
        </row>
        <row r="584">
          <cell r="A584">
            <v>44101</v>
          </cell>
          <cell r="B584">
            <v>12907.45</v>
          </cell>
        </row>
        <row r="585">
          <cell r="A585">
            <v>44108</v>
          </cell>
          <cell r="B585">
            <v>13289.26</v>
          </cell>
        </row>
        <row r="586">
          <cell r="A586">
            <v>44115</v>
          </cell>
          <cell r="B586">
            <v>13532.73</v>
          </cell>
        </row>
        <row r="587">
          <cell r="A587">
            <v>44122</v>
          </cell>
          <cell r="B587">
            <v>13128.46</v>
          </cell>
        </row>
        <row r="588">
          <cell r="A588">
            <v>44129</v>
          </cell>
          <cell r="B588">
            <v>13236.6</v>
          </cell>
        </row>
        <row r="589">
          <cell r="A589">
            <v>44136</v>
          </cell>
          <cell r="B589">
            <v>13838.42</v>
          </cell>
        </row>
        <row r="590">
          <cell r="A590">
            <v>44143</v>
          </cell>
          <cell r="B590">
            <v>13754.55</v>
          </cell>
        </row>
        <row r="591">
          <cell r="A591">
            <v>44150</v>
          </cell>
          <cell r="B591">
            <v>13852.42</v>
          </cell>
        </row>
        <row r="592">
          <cell r="A592">
            <v>44157</v>
          </cell>
          <cell r="B592">
            <v>13690.88</v>
          </cell>
        </row>
        <row r="593">
          <cell r="A593">
            <v>44164</v>
          </cell>
          <cell r="B593">
            <v>14026.66</v>
          </cell>
        </row>
        <row r="594">
          <cell r="A594">
            <v>44171</v>
          </cell>
          <cell r="B594">
            <v>13555.14</v>
          </cell>
        </row>
        <row r="595">
          <cell r="A595">
            <v>44178</v>
          </cell>
          <cell r="B595">
            <v>13854.12</v>
          </cell>
        </row>
        <row r="596">
          <cell r="A596">
            <v>44185</v>
          </cell>
          <cell r="B596">
            <v>14017.06</v>
          </cell>
        </row>
        <row r="597">
          <cell r="A597">
            <v>44192</v>
          </cell>
          <cell r="B597">
            <v>14470.68</v>
          </cell>
        </row>
        <row r="598">
          <cell r="A598">
            <v>44199</v>
          </cell>
          <cell r="B598">
            <v>15319.29</v>
          </cell>
        </row>
        <row r="599">
          <cell r="A599">
            <v>44206</v>
          </cell>
          <cell r="B599">
            <v>15031.7</v>
          </cell>
        </row>
        <row r="600">
          <cell r="A600">
            <v>44213</v>
          </cell>
          <cell r="B600">
            <v>15628.73</v>
          </cell>
        </row>
        <row r="601">
          <cell r="A601">
            <v>44220</v>
          </cell>
          <cell r="B601">
            <v>14821.99</v>
          </cell>
        </row>
        <row r="602">
          <cell r="A602">
            <v>44227</v>
          </cell>
          <cell r="B602">
            <v>15007.29</v>
          </cell>
        </row>
        <row r="603">
          <cell r="A603">
            <v>44234</v>
          </cell>
          <cell r="B603">
            <v>15962.25</v>
          </cell>
        </row>
        <row r="604">
          <cell r="A604">
            <v>44241</v>
          </cell>
          <cell r="B604">
            <v>15823.11</v>
          </cell>
        </row>
        <row r="605">
          <cell r="A605">
            <v>44248</v>
          </cell>
          <cell r="B605">
            <v>14507.45</v>
          </cell>
        </row>
        <row r="606">
          <cell r="A606">
            <v>44255</v>
          </cell>
          <cell r="B606">
            <v>14412.31</v>
          </cell>
        </row>
        <row r="607">
          <cell r="A607">
            <v>44262</v>
          </cell>
          <cell r="B607">
            <v>13897.03</v>
          </cell>
        </row>
        <row r="608">
          <cell r="A608">
            <v>44269</v>
          </cell>
          <cell r="B608">
            <v>13606</v>
          </cell>
        </row>
        <row r="609">
          <cell r="A609">
            <v>44276</v>
          </cell>
          <cell r="B609">
            <v>13769.68</v>
          </cell>
        </row>
        <row r="610">
          <cell r="A610">
            <v>44283</v>
          </cell>
          <cell r="B610">
            <v>14122.61</v>
          </cell>
        </row>
        <row r="611">
          <cell r="A611">
            <v>44290</v>
          </cell>
          <cell r="B611">
            <v>13813.31</v>
          </cell>
        </row>
        <row r="612">
          <cell r="A612">
            <v>44297</v>
          </cell>
          <cell r="B612">
            <v>13720.74</v>
          </cell>
        </row>
        <row r="613">
          <cell r="A613">
            <v>44304</v>
          </cell>
          <cell r="B613">
            <v>14351.86</v>
          </cell>
        </row>
        <row r="614">
          <cell r="A614">
            <v>44311</v>
          </cell>
          <cell r="B614">
            <v>14438.57</v>
          </cell>
        </row>
        <row r="615">
          <cell r="A615">
            <v>44318</v>
          </cell>
          <cell r="B615">
            <v>13933.81</v>
          </cell>
        </row>
        <row r="616">
          <cell r="A616">
            <v>44325</v>
          </cell>
          <cell r="B616">
            <v>14208.78</v>
          </cell>
        </row>
        <row r="617">
          <cell r="A617">
            <v>44332</v>
          </cell>
          <cell r="B617">
            <v>14417.46</v>
          </cell>
        </row>
        <row r="618">
          <cell r="A618">
            <v>44339</v>
          </cell>
          <cell r="B618">
            <v>14852.88</v>
          </cell>
        </row>
        <row r="619">
          <cell r="A619">
            <v>44346</v>
          </cell>
          <cell r="B619">
            <v>14870.91</v>
          </cell>
        </row>
        <row r="620">
          <cell r="A620">
            <v>44353</v>
          </cell>
          <cell r="B620">
            <v>14801.24</v>
          </cell>
        </row>
        <row r="621">
          <cell r="A621">
            <v>44360</v>
          </cell>
          <cell r="B621">
            <v>14583.67</v>
          </cell>
        </row>
        <row r="622">
          <cell r="A622">
            <v>44367</v>
          </cell>
          <cell r="B622">
            <v>15003.85</v>
          </cell>
        </row>
        <row r="623">
          <cell r="A623">
            <v>44374</v>
          </cell>
          <cell r="B623">
            <v>14670.71</v>
          </cell>
        </row>
        <row r="624">
          <cell r="A624">
            <v>44381</v>
          </cell>
          <cell r="B624">
            <v>14844.36</v>
          </cell>
        </row>
        <row r="625">
          <cell r="A625">
            <v>44388</v>
          </cell>
          <cell r="B625">
            <v>14972.21</v>
          </cell>
        </row>
        <row r="626">
          <cell r="A626">
            <v>44395</v>
          </cell>
          <cell r="B626">
            <v>15028.57</v>
          </cell>
        </row>
        <row r="627">
          <cell r="A627">
            <v>44402</v>
          </cell>
          <cell r="B627">
            <v>14473.21</v>
          </cell>
        </row>
        <row r="628">
          <cell r="A628">
            <v>44409</v>
          </cell>
          <cell r="B628">
            <v>14827.41</v>
          </cell>
        </row>
        <row r="629">
          <cell r="A629">
            <v>44416</v>
          </cell>
          <cell r="B629">
            <v>14799.03</v>
          </cell>
        </row>
        <row r="630">
          <cell r="A630">
            <v>44423</v>
          </cell>
          <cell r="B630">
            <v>14253.54</v>
          </cell>
        </row>
        <row r="631">
          <cell r="A631">
            <v>44430</v>
          </cell>
          <cell r="B631">
            <v>14436.9</v>
          </cell>
        </row>
        <row r="632">
          <cell r="A632">
            <v>44437</v>
          </cell>
          <cell r="B632">
            <v>14179.86</v>
          </cell>
        </row>
        <row r="633">
          <cell r="A633">
            <v>44444</v>
          </cell>
          <cell r="B633">
            <v>14771.87</v>
          </cell>
        </row>
        <row r="634">
          <cell r="A634">
            <v>44451</v>
          </cell>
          <cell r="B634">
            <v>14359.36</v>
          </cell>
        </row>
        <row r="635">
          <cell r="A635">
            <v>44458</v>
          </cell>
          <cell r="B635">
            <v>14357.85</v>
          </cell>
        </row>
        <row r="636">
          <cell r="A636">
            <v>44465</v>
          </cell>
          <cell r="B636">
            <v>14309.01</v>
          </cell>
        </row>
        <row r="637">
          <cell r="A637">
            <v>44472</v>
          </cell>
          <cell r="B637">
            <v>14414.16</v>
          </cell>
        </row>
        <row r="638">
          <cell r="A638">
            <v>44479</v>
          </cell>
          <cell r="B638">
            <v>14415.99</v>
          </cell>
        </row>
        <row r="639">
          <cell r="A639">
            <v>44486</v>
          </cell>
          <cell r="B639">
            <v>14492.82</v>
          </cell>
        </row>
        <row r="640">
          <cell r="A640">
            <v>44493</v>
          </cell>
          <cell r="B640">
            <v>14451.38</v>
          </cell>
        </row>
        <row r="641">
          <cell r="A641">
            <v>44500</v>
          </cell>
          <cell r="B641">
            <v>14462.62</v>
          </cell>
        </row>
        <row r="642">
          <cell r="A642">
            <v>44507</v>
          </cell>
          <cell r="B642">
            <v>14705.37</v>
          </cell>
        </row>
        <row r="643">
          <cell r="A643">
            <v>44514</v>
          </cell>
          <cell r="B643">
            <v>14752.49</v>
          </cell>
        </row>
        <row r="644">
          <cell r="A644">
            <v>44521</v>
          </cell>
          <cell r="B644">
            <v>14777.17</v>
          </cell>
        </row>
        <row r="645">
          <cell r="A645">
            <v>44528</v>
          </cell>
          <cell r="B645">
            <v>14892.05</v>
          </cell>
        </row>
        <row r="646">
          <cell r="A646">
            <v>44535</v>
          </cell>
          <cell r="B646">
            <v>15111.56</v>
          </cell>
        </row>
        <row r="647">
          <cell r="A647">
            <v>44542</v>
          </cell>
          <cell r="B647">
            <v>14867.55</v>
          </cell>
        </row>
        <row r="648">
          <cell r="A648">
            <v>44549</v>
          </cell>
          <cell r="B648">
            <v>14710.33</v>
          </cell>
        </row>
        <row r="649">
          <cell r="A649">
            <v>44556</v>
          </cell>
          <cell r="B649">
            <v>14857.35</v>
          </cell>
        </row>
        <row r="650">
          <cell r="A650">
            <v>44563</v>
          </cell>
          <cell r="B650">
            <v>14343.65</v>
          </cell>
        </row>
        <row r="651">
          <cell r="A651">
            <v>44570</v>
          </cell>
          <cell r="B651">
            <v>14150.57</v>
          </cell>
        </row>
        <row r="652">
          <cell r="A652">
            <v>44577</v>
          </cell>
          <cell r="B652">
            <v>14029.55</v>
          </cell>
        </row>
        <row r="653">
          <cell r="A653">
            <v>44584</v>
          </cell>
          <cell r="B653">
            <v>13328.06</v>
          </cell>
        </row>
        <row r="654">
          <cell r="A654">
            <v>44591</v>
          </cell>
          <cell r="B654">
            <v>13328.06</v>
          </cell>
        </row>
        <row r="655">
          <cell r="A655">
            <v>44598</v>
          </cell>
          <cell r="B655">
            <v>13224.38</v>
          </cell>
        </row>
        <row r="656">
          <cell r="A656">
            <v>44605</v>
          </cell>
          <cell r="B656">
            <v>13459.68</v>
          </cell>
        </row>
        <row r="657">
          <cell r="A657">
            <v>44612</v>
          </cell>
          <cell r="B657">
            <v>13412.92</v>
          </cell>
        </row>
        <row r="658">
          <cell r="A658">
            <v>44619</v>
          </cell>
          <cell r="B658">
            <v>13020.46</v>
          </cell>
        </row>
        <row r="659">
          <cell r="A659">
            <v>44626</v>
          </cell>
          <cell r="B659">
            <v>12447.37</v>
          </cell>
        </row>
        <row r="660">
          <cell r="A660">
            <v>44633</v>
          </cell>
          <cell r="B660">
            <v>12328.65</v>
          </cell>
        </row>
        <row r="661">
          <cell r="A661">
            <v>44640</v>
          </cell>
          <cell r="B661">
            <v>12072.73</v>
          </cell>
        </row>
        <row r="662">
          <cell r="A662">
            <v>44647</v>
          </cell>
          <cell r="B662">
            <v>12227.93</v>
          </cell>
        </row>
        <row r="663">
          <cell r="A663">
            <v>44654</v>
          </cell>
          <cell r="B663">
            <v>11959.27</v>
          </cell>
        </row>
        <row r="664">
          <cell r="A664">
            <v>44661</v>
          </cell>
          <cell r="B664">
            <v>11648.57</v>
          </cell>
        </row>
        <row r="665">
          <cell r="A665">
            <v>44668</v>
          </cell>
          <cell r="B665">
            <v>11051.7</v>
          </cell>
        </row>
        <row r="666">
          <cell r="A666">
            <v>44675</v>
          </cell>
          <cell r="B666">
            <v>11021.44</v>
          </cell>
        </row>
        <row r="667">
          <cell r="A667">
            <v>44682</v>
          </cell>
          <cell r="B667">
            <v>10809.88</v>
          </cell>
        </row>
        <row r="668">
          <cell r="A668">
            <v>44689</v>
          </cell>
          <cell r="B668">
            <v>11159.79</v>
          </cell>
        </row>
        <row r="669">
          <cell r="A669">
            <v>44696</v>
          </cell>
          <cell r="B669">
            <v>11454.53</v>
          </cell>
        </row>
        <row r="670">
          <cell r="A670">
            <v>44703</v>
          </cell>
          <cell r="B670">
            <v>11193.59</v>
          </cell>
        </row>
        <row r="671">
          <cell r="A671">
            <v>44710</v>
          </cell>
          <cell r="B671">
            <v>11628.31</v>
          </cell>
        </row>
        <row r="672">
          <cell r="A672">
            <v>44717</v>
          </cell>
          <cell r="B672">
            <v>12035.15</v>
          </cell>
        </row>
        <row r="673">
          <cell r="A673">
            <v>44724</v>
          </cell>
          <cell r="B673">
            <v>12331.14</v>
          </cell>
        </row>
        <row r="674">
          <cell r="A674">
            <v>44731</v>
          </cell>
          <cell r="B674">
            <v>12686.03</v>
          </cell>
        </row>
        <row r="675">
          <cell r="A675">
            <v>44738</v>
          </cell>
          <cell r="B675">
            <v>12860.36</v>
          </cell>
        </row>
        <row r="676">
          <cell r="A676">
            <v>44745</v>
          </cell>
          <cell r="B676">
            <v>12857.13</v>
          </cell>
        </row>
        <row r="677">
          <cell r="A677">
            <v>44752</v>
          </cell>
          <cell r="B677">
            <v>12411.01</v>
          </cell>
        </row>
        <row r="678">
          <cell r="A678">
            <v>44759</v>
          </cell>
          <cell r="B678">
            <v>12394.02</v>
          </cell>
        </row>
        <row r="679">
          <cell r="A679">
            <v>44766</v>
          </cell>
          <cell r="B679">
            <v>12266.92</v>
          </cell>
        </row>
        <row r="680">
          <cell r="A680">
            <v>44773</v>
          </cell>
          <cell r="B680">
            <v>12269.21</v>
          </cell>
        </row>
        <row r="681">
          <cell r="A681">
            <v>44780</v>
          </cell>
          <cell r="B681">
            <v>12419.39</v>
          </cell>
        </row>
        <row r="682">
          <cell r="A682">
            <v>44787</v>
          </cell>
          <cell r="B682">
            <v>12358.54</v>
          </cell>
        </row>
        <row r="683">
          <cell r="A683">
            <v>44794</v>
          </cell>
          <cell r="B683">
            <v>12059.71</v>
          </cell>
        </row>
        <row r="684">
          <cell r="A684">
            <v>44801</v>
          </cell>
          <cell r="B684">
            <v>11702.39</v>
          </cell>
        </row>
        <row r="685">
          <cell r="A685">
            <v>44808</v>
          </cell>
          <cell r="B685">
            <v>11877.79</v>
          </cell>
        </row>
        <row r="686">
          <cell r="A686">
            <v>44815</v>
          </cell>
          <cell r="B686">
            <v>11261.5</v>
          </cell>
        </row>
        <row r="687">
          <cell r="A687">
            <v>44822</v>
          </cell>
          <cell r="B687">
            <v>11006.41</v>
          </cell>
        </row>
        <row r="688">
          <cell r="A688">
            <v>44829</v>
          </cell>
          <cell r="B688">
            <v>10778.61</v>
          </cell>
        </row>
        <row r="689">
          <cell r="A689">
            <v>44843</v>
          </cell>
          <cell r="B689">
            <v>11121.71</v>
          </cell>
        </row>
        <row r="690">
          <cell r="A690">
            <v>44850</v>
          </cell>
          <cell r="B690">
            <v>10918.97</v>
          </cell>
        </row>
        <row r="691">
          <cell r="A691">
            <v>44857</v>
          </cell>
          <cell r="B691">
            <v>10401.84</v>
          </cell>
        </row>
        <row r="692">
          <cell r="A692">
            <v>44864</v>
          </cell>
          <cell r="B692">
            <v>11187.43</v>
          </cell>
        </row>
        <row r="693">
          <cell r="A693">
            <v>44871</v>
          </cell>
          <cell r="B693">
            <v>11139.77</v>
          </cell>
        </row>
        <row r="694">
          <cell r="A694">
            <v>44878</v>
          </cell>
          <cell r="B694">
            <v>11180.43</v>
          </cell>
        </row>
        <row r="695">
          <cell r="A695">
            <v>44885</v>
          </cell>
          <cell r="B695">
            <v>10904.27</v>
          </cell>
        </row>
        <row r="696">
          <cell r="A696">
            <v>44892</v>
          </cell>
          <cell r="B696">
            <v>11219.79</v>
          </cell>
        </row>
        <row r="697">
          <cell r="A697">
            <v>44899</v>
          </cell>
          <cell r="B697">
            <v>11501.58</v>
          </cell>
        </row>
        <row r="698">
          <cell r="A698">
            <v>44906</v>
          </cell>
          <cell r="B698">
            <v>11295.03</v>
          </cell>
        </row>
        <row r="699">
          <cell r="A699">
            <v>44913</v>
          </cell>
          <cell r="B699">
            <v>10849.64</v>
          </cell>
        </row>
        <row r="700">
          <cell r="A700">
            <v>44920</v>
          </cell>
          <cell r="B700">
            <v>11015.99</v>
          </cell>
        </row>
        <row r="701">
          <cell r="A701">
            <v>44927</v>
          </cell>
          <cell r="B701">
            <v>11367.73</v>
          </cell>
        </row>
        <row r="702">
          <cell r="A702">
            <v>44934</v>
          </cell>
          <cell r="B702">
            <v>11602.3</v>
          </cell>
        </row>
        <row r="703">
          <cell r="A703">
            <v>44941</v>
          </cell>
          <cell r="B703">
            <v>11980.62</v>
          </cell>
        </row>
        <row r="704">
          <cell r="A704">
            <v>44955</v>
          </cell>
          <cell r="B704">
            <v>12054.29</v>
          </cell>
        </row>
        <row r="705">
          <cell r="A705">
            <v>44962</v>
          </cell>
          <cell r="B705">
            <v>11976.85</v>
          </cell>
        </row>
        <row r="706">
          <cell r="A706">
            <v>44969</v>
          </cell>
          <cell r="B706">
            <v>11715.77</v>
          </cell>
        </row>
        <row r="707">
          <cell r="A707">
            <v>44976</v>
          </cell>
          <cell r="B707">
            <v>11787.45</v>
          </cell>
        </row>
        <row r="708">
          <cell r="A708">
            <v>44983</v>
          </cell>
          <cell r="B708">
            <v>11851.92</v>
          </cell>
        </row>
        <row r="709">
          <cell r="A709">
            <v>44990</v>
          </cell>
          <cell r="B709">
            <v>11442.54</v>
          </cell>
        </row>
        <row r="710">
          <cell r="A710">
            <v>44997</v>
          </cell>
          <cell r="B710">
            <v>11278.05</v>
          </cell>
        </row>
        <row r="711">
          <cell r="A711">
            <v>45004</v>
          </cell>
          <cell r="B711">
            <v>11634.22</v>
          </cell>
        </row>
        <row r="712">
          <cell r="A712">
            <v>45011</v>
          </cell>
          <cell r="B712">
            <v>11726.4</v>
          </cell>
        </row>
        <row r="713">
          <cell r="A713">
            <v>45018</v>
          </cell>
          <cell r="B713">
            <v>11967.74</v>
          </cell>
        </row>
        <row r="714">
          <cell r="A714">
            <v>45025</v>
          </cell>
          <cell r="B714">
            <v>11800.09</v>
          </cell>
        </row>
        <row r="715">
          <cell r="A715">
            <v>45032</v>
          </cell>
          <cell r="B715">
            <v>11450.43</v>
          </cell>
        </row>
        <row r="716">
          <cell r="A716">
            <v>45039</v>
          </cell>
          <cell r="B716">
            <v>11338.67</v>
          </cell>
        </row>
        <row r="717">
          <cell r="A717">
            <v>45046</v>
          </cell>
          <cell r="B717">
            <v>11180.87</v>
          </cell>
        </row>
        <row r="718">
          <cell r="A718">
            <v>45053</v>
          </cell>
          <cell r="B718">
            <v>11005.64</v>
          </cell>
        </row>
        <row r="719">
          <cell r="A719">
            <v>45060</v>
          </cell>
          <cell r="B719">
            <v>11091.36</v>
          </cell>
        </row>
        <row r="720">
          <cell r="A720">
            <v>45067</v>
          </cell>
          <cell r="B720">
            <v>10909.65</v>
          </cell>
        </row>
        <row r="721">
          <cell r="A721">
            <v>45074</v>
          </cell>
          <cell r="B721">
            <v>10998.08</v>
          </cell>
        </row>
        <row r="722">
          <cell r="A722">
            <v>45081</v>
          </cell>
          <cell r="B722">
            <v>10793.93</v>
          </cell>
        </row>
        <row r="723">
          <cell r="A723">
            <v>45088</v>
          </cell>
          <cell r="B723">
            <v>11306.53</v>
          </cell>
        </row>
        <row r="724">
          <cell r="A724">
            <v>45095</v>
          </cell>
          <cell r="B724">
            <v>11058.63</v>
          </cell>
        </row>
        <row r="725">
          <cell r="A725">
            <v>45102</v>
          </cell>
          <cell r="B725">
            <v>11026.59</v>
          </cell>
        </row>
        <row r="726">
          <cell r="A726">
            <v>45109</v>
          </cell>
          <cell r="B726">
            <v>10968.12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台湾加权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6856.74</v>
          </cell>
        </row>
        <row r="3">
          <cell r="A3">
            <v>39971</v>
          </cell>
          <cell r="B3">
            <v>6448.23</v>
          </cell>
        </row>
        <row r="4">
          <cell r="A4">
            <v>39978</v>
          </cell>
          <cell r="B4">
            <v>6231.15</v>
          </cell>
        </row>
        <row r="5">
          <cell r="A5">
            <v>39985</v>
          </cell>
          <cell r="B5">
            <v>6463.56</v>
          </cell>
        </row>
        <row r="6">
          <cell r="A6">
            <v>39992</v>
          </cell>
          <cell r="B6">
            <v>6665.4</v>
          </cell>
        </row>
        <row r="7">
          <cell r="A7">
            <v>39999</v>
          </cell>
          <cell r="B7">
            <v>6769.86</v>
          </cell>
        </row>
        <row r="8">
          <cell r="A8">
            <v>40006</v>
          </cell>
          <cell r="B8">
            <v>6850.99</v>
          </cell>
        </row>
        <row r="9">
          <cell r="A9">
            <v>40013</v>
          </cell>
          <cell r="B9">
            <v>6973.28</v>
          </cell>
        </row>
        <row r="10">
          <cell r="A10">
            <v>40020</v>
          </cell>
          <cell r="B10">
            <v>7077.71</v>
          </cell>
        </row>
        <row r="11">
          <cell r="A11">
            <v>40027</v>
          </cell>
          <cell r="B11">
            <v>6868.65</v>
          </cell>
        </row>
        <row r="12">
          <cell r="A12">
            <v>40034</v>
          </cell>
          <cell r="B12">
            <v>7069.51</v>
          </cell>
        </row>
        <row r="13">
          <cell r="A13">
            <v>40041</v>
          </cell>
          <cell r="B13">
            <v>6654.8</v>
          </cell>
        </row>
        <row r="14">
          <cell r="A14">
            <v>40048</v>
          </cell>
          <cell r="B14">
            <v>6809.86</v>
          </cell>
        </row>
        <row r="15">
          <cell r="A15">
            <v>40055</v>
          </cell>
          <cell r="B15">
            <v>7153.13</v>
          </cell>
        </row>
        <row r="16">
          <cell r="A16">
            <v>40062</v>
          </cell>
          <cell r="B16">
            <v>7337.14</v>
          </cell>
        </row>
        <row r="17">
          <cell r="A17">
            <v>40069</v>
          </cell>
          <cell r="B17">
            <v>7526.55</v>
          </cell>
        </row>
        <row r="18">
          <cell r="A18">
            <v>40076</v>
          </cell>
          <cell r="B18">
            <v>7345.22</v>
          </cell>
        </row>
        <row r="19">
          <cell r="A19">
            <v>40083</v>
          </cell>
          <cell r="B19">
            <v>7411.88</v>
          </cell>
        </row>
        <row r="20">
          <cell r="A20">
            <v>40090</v>
          </cell>
          <cell r="B20">
            <v>7571.96</v>
          </cell>
        </row>
        <row r="21">
          <cell r="A21">
            <v>40097</v>
          </cell>
          <cell r="B21">
            <v>7715.1</v>
          </cell>
        </row>
        <row r="22">
          <cell r="A22">
            <v>40104</v>
          </cell>
          <cell r="B22">
            <v>7649.28</v>
          </cell>
        </row>
        <row r="23">
          <cell r="A23">
            <v>40111</v>
          </cell>
          <cell r="B23">
            <v>7340.08</v>
          </cell>
        </row>
        <row r="24">
          <cell r="A24">
            <v>40118</v>
          </cell>
          <cell r="B24">
            <v>7463.05</v>
          </cell>
        </row>
        <row r="25">
          <cell r="A25">
            <v>40125</v>
          </cell>
          <cell r="B25">
            <v>7665.63</v>
          </cell>
        </row>
        <row r="26">
          <cell r="A26">
            <v>40132</v>
          </cell>
          <cell r="B26">
            <v>7682.97</v>
          </cell>
        </row>
        <row r="27">
          <cell r="A27">
            <v>40139</v>
          </cell>
          <cell r="B27">
            <v>7490.91</v>
          </cell>
        </row>
        <row r="28">
          <cell r="A28">
            <v>40146</v>
          </cell>
          <cell r="B28">
            <v>7650.91</v>
          </cell>
        </row>
        <row r="29">
          <cell r="A29">
            <v>40153</v>
          </cell>
          <cell r="B29">
            <v>7795.07</v>
          </cell>
        </row>
        <row r="30">
          <cell r="A30">
            <v>40160</v>
          </cell>
          <cell r="B30">
            <v>7753.63</v>
          </cell>
        </row>
        <row r="31">
          <cell r="A31">
            <v>40167</v>
          </cell>
          <cell r="B31">
            <v>7972.59</v>
          </cell>
        </row>
        <row r="32">
          <cell r="A32">
            <v>40174</v>
          </cell>
          <cell r="B32">
            <v>8188.11</v>
          </cell>
        </row>
        <row r="33">
          <cell r="A33">
            <v>40181</v>
          </cell>
          <cell r="B33">
            <v>8280.9</v>
          </cell>
        </row>
        <row r="34">
          <cell r="A34">
            <v>40188</v>
          </cell>
          <cell r="B34">
            <v>8356.89</v>
          </cell>
        </row>
        <row r="35">
          <cell r="A35">
            <v>40195</v>
          </cell>
          <cell r="B35">
            <v>7927.31</v>
          </cell>
        </row>
        <row r="36">
          <cell r="A36">
            <v>40202</v>
          </cell>
          <cell r="B36">
            <v>7640.44</v>
          </cell>
        </row>
        <row r="37">
          <cell r="A37">
            <v>40209</v>
          </cell>
          <cell r="B37">
            <v>7212.87</v>
          </cell>
        </row>
        <row r="38">
          <cell r="A38">
            <v>40216</v>
          </cell>
          <cell r="B38">
            <v>7441.84</v>
          </cell>
        </row>
        <row r="39">
          <cell r="A39">
            <v>40230</v>
          </cell>
          <cell r="B39">
            <v>7436.1</v>
          </cell>
        </row>
        <row r="40">
          <cell r="A40">
            <v>40237</v>
          </cell>
          <cell r="B40">
            <v>7666.26</v>
          </cell>
        </row>
        <row r="41">
          <cell r="A41">
            <v>40244</v>
          </cell>
          <cell r="B41">
            <v>7748.33</v>
          </cell>
        </row>
        <row r="42">
          <cell r="A42">
            <v>40251</v>
          </cell>
          <cell r="B42">
            <v>7897.91</v>
          </cell>
        </row>
        <row r="43">
          <cell r="A43">
            <v>40258</v>
          </cell>
          <cell r="B43">
            <v>7876.86</v>
          </cell>
        </row>
        <row r="44">
          <cell r="A44">
            <v>40265</v>
          </cell>
          <cell r="B44">
            <v>8025.93</v>
          </cell>
        </row>
        <row r="45">
          <cell r="A45">
            <v>40272</v>
          </cell>
          <cell r="B45">
            <v>8092.03</v>
          </cell>
        </row>
        <row r="46">
          <cell r="A46">
            <v>40279</v>
          </cell>
          <cell r="B46">
            <v>8111.57</v>
          </cell>
        </row>
        <row r="47">
          <cell r="A47">
            <v>40286</v>
          </cell>
          <cell r="B47">
            <v>8004.89</v>
          </cell>
        </row>
        <row r="48">
          <cell r="A48">
            <v>40293</v>
          </cell>
          <cell r="B48">
            <v>8004.25</v>
          </cell>
        </row>
        <row r="49">
          <cell r="A49">
            <v>40300</v>
          </cell>
          <cell r="B49">
            <v>7567.1</v>
          </cell>
        </row>
        <row r="50">
          <cell r="A50">
            <v>40307</v>
          </cell>
          <cell r="B50">
            <v>7772.13</v>
          </cell>
        </row>
        <row r="51">
          <cell r="A51">
            <v>40314</v>
          </cell>
          <cell r="B51">
            <v>7237.71</v>
          </cell>
        </row>
        <row r="52">
          <cell r="A52">
            <v>40321</v>
          </cell>
          <cell r="B52">
            <v>7295.32</v>
          </cell>
        </row>
        <row r="53">
          <cell r="A53">
            <v>40328</v>
          </cell>
          <cell r="B53">
            <v>7344.59</v>
          </cell>
        </row>
        <row r="54">
          <cell r="A54">
            <v>40335</v>
          </cell>
          <cell r="B54">
            <v>7299.49</v>
          </cell>
        </row>
        <row r="55">
          <cell r="A55">
            <v>40342</v>
          </cell>
          <cell r="B55">
            <v>7493.11</v>
          </cell>
        </row>
        <row r="56">
          <cell r="A56">
            <v>40349</v>
          </cell>
          <cell r="B56">
            <v>7474.71</v>
          </cell>
        </row>
        <row r="57">
          <cell r="A57">
            <v>40356</v>
          </cell>
          <cell r="B57">
            <v>7330.74</v>
          </cell>
        </row>
        <row r="58">
          <cell r="A58">
            <v>40363</v>
          </cell>
          <cell r="B58">
            <v>7647.25</v>
          </cell>
        </row>
        <row r="59">
          <cell r="A59">
            <v>40370</v>
          </cell>
          <cell r="B59">
            <v>7664.57</v>
          </cell>
        </row>
        <row r="60">
          <cell r="A60">
            <v>40377</v>
          </cell>
          <cell r="B60">
            <v>7761.22</v>
          </cell>
        </row>
        <row r="61">
          <cell r="A61">
            <v>40384</v>
          </cell>
          <cell r="B61">
            <v>7760.63</v>
          </cell>
        </row>
        <row r="62">
          <cell r="A62">
            <v>40391</v>
          </cell>
          <cell r="B62">
            <v>7963.3</v>
          </cell>
        </row>
        <row r="63">
          <cell r="A63">
            <v>40398</v>
          </cell>
          <cell r="B63">
            <v>7891.58</v>
          </cell>
        </row>
        <row r="64">
          <cell r="A64">
            <v>40405</v>
          </cell>
          <cell r="B64">
            <v>7927.31</v>
          </cell>
        </row>
        <row r="65">
          <cell r="A65">
            <v>40412</v>
          </cell>
          <cell r="B65">
            <v>7722.91</v>
          </cell>
        </row>
        <row r="66">
          <cell r="A66">
            <v>40419</v>
          </cell>
          <cell r="B66">
            <v>7830.21</v>
          </cell>
        </row>
        <row r="67">
          <cell r="A67">
            <v>40426</v>
          </cell>
          <cell r="B67">
            <v>7890.11</v>
          </cell>
        </row>
        <row r="68">
          <cell r="A68">
            <v>40433</v>
          </cell>
          <cell r="B68">
            <v>8158.33</v>
          </cell>
        </row>
        <row r="69">
          <cell r="A69">
            <v>40440</v>
          </cell>
          <cell r="B69">
            <v>8166.62</v>
          </cell>
        </row>
        <row r="70">
          <cell r="A70">
            <v>40447</v>
          </cell>
          <cell r="B70">
            <v>8244.18</v>
          </cell>
        </row>
        <row r="71">
          <cell r="A71">
            <v>40454</v>
          </cell>
          <cell r="B71">
            <v>8244.19</v>
          </cell>
        </row>
        <row r="72">
          <cell r="A72">
            <v>40461</v>
          </cell>
          <cell r="B72">
            <v>8205.2999999999993</v>
          </cell>
        </row>
        <row r="73">
          <cell r="A73">
            <v>40468</v>
          </cell>
          <cell r="B73">
            <v>8168.06</v>
          </cell>
        </row>
        <row r="74">
          <cell r="A74">
            <v>40475</v>
          </cell>
          <cell r="B74">
            <v>8287.09</v>
          </cell>
        </row>
        <row r="75">
          <cell r="A75">
            <v>40482</v>
          </cell>
          <cell r="B75">
            <v>8449.34</v>
          </cell>
        </row>
        <row r="76">
          <cell r="A76">
            <v>40489</v>
          </cell>
          <cell r="B76">
            <v>8316.0499999999993</v>
          </cell>
        </row>
        <row r="77">
          <cell r="A77">
            <v>40496</v>
          </cell>
          <cell r="B77">
            <v>8306.1200000000008</v>
          </cell>
        </row>
        <row r="78">
          <cell r="A78">
            <v>40503</v>
          </cell>
          <cell r="B78">
            <v>8312.15</v>
          </cell>
        </row>
        <row r="79">
          <cell r="A79">
            <v>40510</v>
          </cell>
          <cell r="B79">
            <v>8624.01</v>
          </cell>
        </row>
        <row r="80">
          <cell r="A80">
            <v>40517</v>
          </cell>
          <cell r="B80">
            <v>8718.83</v>
          </cell>
        </row>
        <row r="81">
          <cell r="A81">
            <v>40524</v>
          </cell>
          <cell r="B81">
            <v>8817.9</v>
          </cell>
        </row>
        <row r="82">
          <cell r="A82">
            <v>40531</v>
          </cell>
          <cell r="B82">
            <v>8861.1</v>
          </cell>
        </row>
        <row r="83">
          <cell r="A83">
            <v>40538</v>
          </cell>
          <cell r="B83">
            <v>8972.5</v>
          </cell>
        </row>
        <row r="84">
          <cell r="A84">
            <v>40545</v>
          </cell>
          <cell r="B84">
            <v>8782.7199999999993</v>
          </cell>
        </row>
        <row r="85">
          <cell r="A85">
            <v>40552</v>
          </cell>
          <cell r="B85">
            <v>8972.51</v>
          </cell>
        </row>
        <row r="86">
          <cell r="A86">
            <v>40559</v>
          </cell>
          <cell r="B86">
            <v>8954.3799999999992</v>
          </cell>
        </row>
        <row r="87">
          <cell r="A87">
            <v>40566</v>
          </cell>
          <cell r="B87">
            <v>9145.35</v>
          </cell>
        </row>
        <row r="88">
          <cell r="A88">
            <v>40580</v>
          </cell>
          <cell r="B88">
            <v>8609.86</v>
          </cell>
        </row>
        <row r="89">
          <cell r="A89">
            <v>40587</v>
          </cell>
          <cell r="B89">
            <v>8843.84</v>
          </cell>
        </row>
        <row r="90">
          <cell r="A90">
            <v>40594</v>
          </cell>
          <cell r="B90">
            <v>8599.65</v>
          </cell>
        </row>
        <row r="91">
          <cell r="A91">
            <v>40601</v>
          </cell>
          <cell r="B91">
            <v>8784.4</v>
          </cell>
        </row>
        <row r="92">
          <cell r="A92">
            <v>40608</v>
          </cell>
          <cell r="B92">
            <v>8567.82</v>
          </cell>
        </row>
        <row r="93">
          <cell r="A93">
            <v>40615</v>
          </cell>
          <cell r="B93">
            <v>8394.75</v>
          </cell>
        </row>
        <row r="94">
          <cell r="A94">
            <v>40622</v>
          </cell>
          <cell r="B94">
            <v>8610.39</v>
          </cell>
        </row>
        <row r="95">
          <cell r="A95">
            <v>40629</v>
          </cell>
          <cell r="B95">
            <v>8705.1299999999992</v>
          </cell>
        </row>
        <row r="96">
          <cell r="A96">
            <v>40636</v>
          </cell>
          <cell r="B96">
            <v>8894.5400000000009</v>
          </cell>
        </row>
        <row r="97">
          <cell r="A97">
            <v>40643</v>
          </cell>
          <cell r="B97">
            <v>8718.1200000000008</v>
          </cell>
        </row>
        <row r="98">
          <cell r="A98">
            <v>40650</v>
          </cell>
          <cell r="B98">
            <v>8969.43</v>
          </cell>
        </row>
        <row r="99">
          <cell r="A99">
            <v>40657</v>
          </cell>
          <cell r="B99">
            <v>9007.8700000000008</v>
          </cell>
        </row>
        <row r="100">
          <cell r="A100">
            <v>40664</v>
          </cell>
          <cell r="B100">
            <v>8977.23</v>
          </cell>
        </row>
        <row r="101">
          <cell r="A101">
            <v>40671</v>
          </cell>
          <cell r="B101">
            <v>9006.61</v>
          </cell>
        </row>
        <row r="102">
          <cell r="A102">
            <v>40678</v>
          </cell>
          <cell r="B102">
            <v>8837.0300000000007</v>
          </cell>
        </row>
        <row r="103">
          <cell r="A103">
            <v>40685</v>
          </cell>
          <cell r="B103">
            <v>8810</v>
          </cell>
        </row>
        <row r="104">
          <cell r="A104">
            <v>40692</v>
          </cell>
          <cell r="B104">
            <v>9046.2800000000007</v>
          </cell>
        </row>
        <row r="105">
          <cell r="A105">
            <v>40699</v>
          </cell>
          <cell r="B105">
            <v>8837.82</v>
          </cell>
        </row>
        <row r="106">
          <cell r="A106">
            <v>40706</v>
          </cell>
          <cell r="B106">
            <v>8636.1</v>
          </cell>
        </row>
        <row r="107">
          <cell r="A107">
            <v>40713</v>
          </cell>
          <cell r="B107">
            <v>8532.83</v>
          </cell>
        </row>
        <row r="108">
          <cell r="A108">
            <v>40720</v>
          </cell>
          <cell r="B108">
            <v>8739.82</v>
          </cell>
        </row>
        <row r="109">
          <cell r="A109">
            <v>40727</v>
          </cell>
          <cell r="B109">
            <v>8749.5499999999993</v>
          </cell>
        </row>
        <row r="110">
          <cell r="A110">
            <v>40734</v>
          </cell>
          <cell r="B110">
            <v>8574.91</v>
          </cell>
        </row>
        <row r="111">
          <cell r="A111">
            <v>40741</v>
          </cell>
          <cell r="B111">
            <v>8765.32</v>
          </cell>
        </row>
        <row r="112">
          <cell r="A112">
            <v>40748</v>
          </cell>
          <cell r="B112">
            <v>8644.18</v>
          </cell>
        </row>
        <row r="113">
          <cell r="A113">
            <v>40755</v>
          </cell>
          <cell r="B113">
            <v>7853.13</v>
          </cell>
        </row>
        <row r="114">
          <cell r="A114">
            <v>40762</v>
          </cell>
          <cell r="B114">
            <v>7637.02</v>
          </cell>
        </row>
        <row r="115">
          <cell r="A115">
            <v>40769</v>
          </cell>
          <cell r="B115">
            <v>7342.96</v>
          </cell>
        </row>
        <row r="116">
          <cell r="A116">
            <v>40776</v>
          </cell>
          <cell r="B116">
            <v>7445.1</v>
          </cell>
        </row>
        <row r="117">
          <cell r="A117">
            <v>40783</v>
          </cell>
          <cell r="B117">
            <v>7757.06</v>
          </cell>
        </row>
        <row r="118">
          <cell r="A118">
            <v>40790</v>
          </cell>
          <cell r="B118">
            <v>7610.57</v>
          </cell>
        </row>
        <row r="119">
          <cell r="A119">
            <v>40797</v>
          </cell>
          <cell r="B119">
            <v>7577.4</v>
          </cell>
        </row>
        <row r="120">
          <cell r="A120">
            <v>40804</v>
          </cell>
          <cell r="B120">
            <v>7046.22</v>
          </cell>
        </row>
        <row r="121">
          <cell r="A121">
            <v>40811</v>
          </cell>
          <cell r="B121">
            <v>7225.38</v>
          </cell>
        </row>
        <row r="122">
          <cell r="A122">
            <v>40818</v>
          </cell>
          <cell r="B122">
            <v>7211.96</v>
          </cell>
        </row>
        <row r="123">
          <cell r="A123">
            <v>40825</v>
          </cell>
          <cell r="B123">
            <v>7358.08</v>
          </cell>
        </row>
        <row r="124">
          <cell r="A124">
            <v>40832</v>
          </cell>
          <cell r="B124">
            <v>7254.51</v>
          </cell>
        </row>
        <row r="125">
          <cell r="A125">
            <v>40839</v>
          </cell>
          <cell r="B125">
            <v>7616.06</v>
          </cell>
        </row>
        <row r="126">
          <cell r="A126">
            <v>40846</v>
          </cell>
          <cell r="B126">
            <v>7603.23</v>
          </cell>
        </row>
        <row r="127">
          <cell r="A127">
            <v>40853</v>
          </cell>
          <cell r="B127">
            <v>7367.29</v>
          </cell>
        </row>
        <row r="128">
          <cell r="A128">
            <v>40860</v>
          </cell>
          <cell r="B128">
            <v>7233.78</v>
          </cell>
        </row>
        <row r="129">
          <cell r="A129">
            <v>40867</v>
          </cell>
          <cell r="B129">
            <v>6784.52</v>
          </cell>
        </row>
        <row r="130">
          <cell r="A130">
            <v>40874</v>
          </cell>
          <cell r="B130">
            <v>7140.68</v>
          </cell>
        </row>
        <row r="131">
          <cell r="A131">
            <v>40881</v>
          </cell>
          <cell r="B131">
            <v>6893.3</v>
          </cell>
        </row>
        <row r="132">
          <cell r="A132">
            <v>40888</v>
          </cell>
          <cell r="B132">
            <v>6785.09</v>
          </cell>
        </row>
        <row r="133">
          <cell r="A133">
            <v>40895</v>
          </cell>
          <cell r="B133">
            <v>7110.73</v>
          </cell>
        </row>
        <row r="134">
          <cell r="A134">
            <v>40902</v>
          </cell>
          <cell r="B134">
            <v>7072.08</v>
          </cell>
        </row>
        <row r="135">
          <cell r="A135">
            <v>40909</v>
          </cell>
          <cell r="B135">
            <v>7120.51</v>
          </cell>
        </row>
        <row r="136">
          <cell r="A136">
            <v>40916</v>
          </cell>
          <cell r="B136">
            <v>7181.54</v>
          </cell>
        </row>
        <row r="137">
          <cell r="A137">
            <v>40923</v>
          </cell>
          <cell r="B137">
            <v>7233.69</v>
          </cell>
        </row>
        <row r="138">
          <cell r="A138">
            <v>40937</v>
          </cell>
          <cell r="B138">
            <v>7741.24</v>
          </cell>
        </row>
        <row r="139">
          <cell r="A139">
            <v>40944</v>
          </cell>
          <cell r="B139">
            <v>7862.27</v>
          </cell>
        </row>
        <row r="140">
          <cell r="A140">
            <v>40951</v>
          </cell>
          <cell r="B140">
            <v>7894.36</v>
          </cell>
        </row>
        <row r="141">
          <cell r="A141">
            <v>40958</v>
          </cell>
          <cell r="B141">
            <v>7959.34</v>
          </cell>
        </row>
        <row r="142">
          <cell r="A142">
            <v>40965</v>
          </cell>
          <cell r="B142">
            <v>8114.44</v>
          </cell>
        </row>
        <row r="143">
          <cell r="A143">
            <v>40972</v>
          </cell>
          <cell r="B143">
            <v>8016.01</v>
          </cell>
        </row>
        <row r="144">
          <cell r="A144">
            <v>40979</v>
          </cell>
          <cell r="B144">
            <v>8054.94</v>
          </cell>
        </row>
        <row r="145">
          <cell r="A145">
            <v>40986</v>
          </cell>
          <cell r="B145">
            <v>8076.61</v>
          </cell>
        </row>
        <row r="146">
          <cell r="A146">
            <v>40993</v>
          </cell>
          <cell r="B146">
            <v>7933</v>
          </cell>
        </row>
        <row r="147">
          <cell r="A147">
            <v>41000</v>
          </cell>
          <cell r="B147">
            <v>7706.26</v>
          </cell>
        </row>
        <row r="148">
          <cell r="A148">
            <v>41007</v>
          </cell>
          <cell r="B148">
            <v>7788.27</v>
          </cell>
        </row>
        <row r="149">
          <cell r="A149">
            <v>41014</v>
          </cell>
          <cell r="B149">
            <v>7507.15</v>
          </cell>
        </row>
        <row r="150">
          <cell r="A150">
            <v>41021</v>
          </cell>
          <cell r="B150">
            <v>7480.5</v>
          </cell>
        </row>
        <row r="151">
          <cell r="A151">
            <v>41028</v>
          </cell>
          <cell r="B151">
            <v>7700.95</v>
          </cell>
        </row>
        <row r="152">
          <cell r="A152">
            <v>41035</v>
          </cell>
          <cell r="B152">
            <v>7401.37</v>
          </cell>
        </row>
        <row r="153">
          <cell r="A153">
            <v>41042</v>
          </cell>
          <cell r="B153">
            <v>7151.19</v>
          </cell>
        </row>
        <row r="154">
          <cell r="A154">
            <v>41049</v>
          </cell>
          <cell r="B154">
            <v>7071.63</v>
          </cell>
        </row>
        <row r="155">
          <cell r="A155">
            <v>41056</v>
          </cell>
          <cell r="B155">
            <v>7106.09</v>
          </cell>
        </row>
        <row r="156">
          <cell r="A156">
            <v>41063</v>
          </cell>
          <cell r="B156">
            <v>6999.65</v>
          </cell>
        </row>
        <row r="157">
          <cell r="A157">
            <v>41070</v>
          </cell>
          <cell r="B157">
            <v>7155.83</v>
          </cell>
        </row>
        <row r="158">
          <cell r="A158">
            <v>41077</v>
          </cell>
          <cell r="B158">
            <v>7222.05</v>
          </cell>
        </row>
        <row r="159">
          <cell r="A159">
            <v>41084</v>
          </cell>
          <cell r="B159">
            <v>7296.28</v>
          </cell>
        </row>
        <row r="160">
          <cell r="A160">
            <v>41091</v>
          </cell>
          <cell r="B160">
            <v>7368.59</v>
          </cell>
        </row>
        <row r="161">
          <cell r="A161">
            <v>41098</v>
          </cell>
          <cell r="B161">
            <v>7104.27</v>
          </cell>
        </row>
        <row r="162">
          <cell r="A162">
            <v>41105</v>
          </cell>
          <cell r="B162">
            <v>7164.68</v>
          </cell>
        </row>
        <row r="163">
          <cell r="A163">
            <v>41112</v>
          </cell>
          <cell r="B163">
            <v>7124.49</v>
          </cell>
        </row>
        <row r="164">
          <cell r="A164">
            <v>41119</v>
          </cell>
          <cell r="B164">
            <v>7217.51</v>
          </cell>
        </row>
        <row r="165">
          <cell r="A165">
            <v>41126</v>
          </cell>
          <cell r="B165">
            <v>7441.12</v>
          </cell>
        </row>
        <row r="166">
          <cell r="A166">
            <v>41133</v>
          </cell>
          <cell r="B166">
            <v>7467.92</v>
          </cell>
        </row>
        <row r="167">
          <cell r="A167">
            <v>41140</v>
          </cell>
          <cell r="B167">
            <v>7477.53</v>
          </cell>
        </row>
        <row r="168">
          <cell r="A168">
            <v>41147</v>
          </cell>
          <cell r="B168">
            <v>7397.06</v>
          </cell>
        </row>
        <row r="169">
          <cell r="A169">
            <v>41154</v>
          </cell>
          <cell r="B169">
            <v>7424.91</v>
          </cell>
        </row>
        <row r="170">
          <cell r="A170">
            <v>41161</v>
          </cell>
          <cell r="B170">
            <v>7738.05</v>
          </cell>
        </row>
        <row r="171">
          <cell r="A171">
            <v>41168</v>
          </cell>
          <cell r="B171">
            <v>7754.59</v>
          </cell>
        </row>
        <row r="172">
          <cell r="A172">
            <v>41175</v>
          </cell>
          <cell r="B172">
            <v>7715.16</v>
          </cell>
        </row>
        <row r="173">
          <cell r="A173">
            <v>41182</v>
          </cell>
          <cell r="B173">
            <v>7690.65</v>
          </cell>
        </row>
        <row r="174">
          <cell r="A174">
            <v>41189</v>
          </cell>
          <cell r="B174">
            <v>7437.04</v>
          </cell>
        </row>
        <row r="175">
          <cell r="A175">
            <v>41196</v>
          </cell>
          <cell r="B175">
            <v>7408.76</v>
          </cell>
        </row>
        <row r="176">
          <cell r="A176">
            <v>41203</v>
          </cell>
          <cell r="B176">
            <v>7134.06</v>
          </cell>
        </row>
        <row r="177">
          <cell r="A177">
            <v>41210</v>
          </cell>
          <cell r="B177">
            <v>7210.47</v>
          </cell>
        </row>
        <row r="178">
          <cell r="A178">
            <v>41217</v>
          </cell>
          <cell r="B178">
            <v>7293.22</v>
          </cell>
        </row>
        <row r="179">
          <cell r="A179">
            <v>41224</v>
          </cell>
          <cell r="B179">
            <v>7130.07</v>
          </cell>
        </row>
        <row r="180">
          <cell r="A180">
            <v>41231</v>
          </cell>
          <cell r="B180">
            <v>7326.01</v>
          </cell>
        </row>
        <row r="181">
          <cell r="A181">
            <v>41238</v>
          </cell>
          <cell r="B181">
            <v>7580.17</v>
          </cell>
        </row>
        <row r="182">
          <cell r="A182">
            <v>41245</v>
          </cell>
          <cell r="B182">
            <v>7642.26</v>
          </cell>
        </row>
        <row r="183">
          <cell r="A183">
            <v>41252</v>
          </cell>
          <cell r="B183">
            <v>7698.77</v>
          </cell>
        </row>
        <row r="184">
          <cell r="A184">
            <v>41259</v>
          </cell>
          <cell r="B184">
            <v>7540.14</v>
          </cell>
        </row>
        <row r="185">
          <cell r="A185">
            <v>41266</v>
          </cell>
          <cell r="B185">
            <v>7699.5</v>
          </cell>
        </row>
        <row r="186">
          <cell r="A186">
            <v>41273</v>
          </cell>
          <cell r="B186">
            <v>7805.99</v>
          </cell>
        </row>
        <row r="187">
          <cell r="A187">
            <v>41280</v>
          </cell>
          <cell r="B187">
            <v>7819.15</v>
          </cell>
        </row>
        <row r="188">
          <cell r="A188">
            <v>41287</v>
          </cell>
          <cell r="B188">
            <v>7732.87</v>
          </cell>
        </row>
        <row r="189">
          <cell r="A189">
            <v>41294</v>
          </cell>
          <cell r="B189">
            <v>7672.58</v>
          </cell>
        </row>
        <row r="190">
          <cell r="A190">
            <v>41301</v>
          </cell>
          <cell r="B190">
            <v>7855.97</v>
          </cell>
        </row>
        <row r="191">
          <cell r="A191">
            <v>41308</v>
          </cell>
          <cell r="B191">
            <v>7906.65</v>
          </cell>
        </row>
        <row r="192">
          <cell r="A192">
            <v>41322</v>
          </cell>
          <cell r="B192">
            <v>7986.89</v>
          </cell>
        </row>
        <row r="193">
          <cell r="A193">
            <v>41329</v>
          </cell>
          <cell r="B193">
            <v>7964.63</v>
          </cell>
        </row>
        <row r="194">
          <cell r="A194">
            <v>41336</v>
          </cell>
          <cell r="B194">
            <v>8015.14</v>
          </cell>
        </row>
        <row r="195">
          <cell r="A195">
            <v>41343</v>
          </cell>
          <cell r="B195">
            <v>7927.49</v>
          </cell>
        </row>
        <row r="196">
          <cell r="A196">
            <v>41350</v>
          </cell>
          <cell r="B196">
            <v>7796.22</v>
          </cell>
        </row>
        <row r="197">
          <cell r="A197">
            <v>41357</v>
          </cell>
          <cell r="B197">
            <v>7918.61</v>
          </cell>
        </row>
        <row r="198">
          <cell r="A198">
            <v>41364</v>
          </cell>
          <cell r="B198">
            <v>7942.35</v>
          </cell>
        </row>
        <row r="199">
          <cell r="A199">
            <v>41371</v>
          </cell>
          <cell r="B199">
            <v>7821.63</v>
          </cell>
        </row>
        <row r="200">
          <cell r="A200">
            <v>41378</v>
          </cell>
          <cell r="B200">
            <v>7930.8</v>
          </cell>
        </row>
        <row r="201">
          <cell r="A201">
            <v>41385</v>
          </cell>
          <cell r="B201">
            <v>8022.06</v>
          </cell>
        </row>
        <row r="202">
          <cell r="A202">
            <v>41392</v>
          </cell>
          <cell r="B202">
            <v>8135.03</v>
          </cell>
        </row>
        <row r="203">
          <cell r="A203">
            <v>41399</v>
          </cell>
          <cell r="B203">
            <v>8280.26</v>
          </cell>
        </row>
        <row r="204">
          <cell r="A204">
            <v>41406</v>
          </cell>
          <cell r="B204">
            <v>8368.19</v>
          </cell>
        </row>
        <row r="205">
          <cell r="A205">
            <v>41413</v>
          </cell>
          <cell r="B205">
            <v>8209.7800000000007</v>
          </cell>
        </row>
        <row r="206">
          <cell r="A206">
            <v>41420</v>
          </cell>
          <cell r="B206">
            <v>8254.7999999999993</v>
          </cell>
        </row>
        <row r="207">
          <cell r="A207">
            <v>41427</v>
          </cell>
          <cell r="B207">
            <v>8095.2</v>
          </cell>
        </row>
        <row r="208">
          <cell r="A208">
            <v>41434</v>
          </cell>
          <cell r="B208">
            <v>7937.74</v>
          </cell>
        </row>
        <row r="209">
          <cell r="A209">
            <v>41441</v>
          </cell>
          <cell r="B209">
            <v>7793.31</v>
          </cell>
        </row>
        <row r="210">
          <cell r="A210">
            <v>41448</v>
          </cell>
          <cell r="B210">
            <v>8062.21</v>
          </cell>
        </row>
        <row r="211">
          <cell r="A211">
            <v>41455</v>
          </cell>
          <cell r="B211">
            <v>8001.82</v>
          </cell>
        </row>
        <row r="212">
          <cell r="A212">
            <v>41462</v>
          </cell>
          <cell r="B212">
            <v>8220.49</v>
          </cell>
        </row>
        <row r="213">
          <cell r="A213">
            <v>41469</v>
          </cell>
          <cell r="B213">
            <v>8062.03</v>
          </cell>
        </row>
        <row r="214">
          <cell r="A214">
            <v>41476</v>
          </cell>
          <cell r="B214">
            <v>8149.4</v>
          </cell>
        </row>
        <row r="215">
          <cell r="A215">
            <v>41483</v>
          </cell>
          <cell r="B215">
            <v>8099.88</v>
          </cell>
        </row>
        <row r="216">
          <cell r="A216">
            <v>41490</v>
          </cell>
          <cell r="B216">
            <v>7856.14</v>
          </cell>
        </row>
        <row r="217">
          <cell r="A217">
            <v>41497</v>
          </cell>
          <cell r="B217">
            <v>7925</v>
          </cell>
        </row>
        <row r="218">
          <cell r="A218">
            <v>41504</v>
          </cell>
          <cell r="B218">
            <v>7873.31</v>
          </cell>
        </row>
        <row r="219">
          <cell r="A219">
            <v>41511</v>
          </cell>
          <cell r="B219">
            <v>8021.89</v>
          </cell>
        </row>
        <row r="220">
          <cell r="A220">
            <v>41518</v>
          </cell>
          <cell r="B220">
            <v>8164.2</v>
          </cell>
        </row>
        <row r="221">
          <cell r="A221">
            <v>41525</v>
          </cell>
          <cell r="B221">
            <v>8142.48</v>
          </cell>
        </row>
        <row r="222">
          <cell r="A222">
            <v>41532</v>
          </cell>
          <cell r="B222">
            <v>8209.18</v>
          </cell>
        </row>
        <row r="223">
          <cell r="A223">
            <v>41539</v>
          </cell>
          <cell r="B223">
            <v>8230.68</v>
          </cell>
        </row>
        <row r="224">
          <cell r="A224">
            <v>41546</v>
          </cell>
          <cell r="B224">
            <v>8364.5499999999993</v>
          </cell>
        </row>
        <row r="225">
          <cell r="A225">
            <v>41553</v>
          </cell>
          <cell r="B225">
            <v>8349.3700000000008</v>
          </cell>
        </row>
        <row r="226">
          <cell r="A226">
            <v>41560</v>
          </cell>
          <cell r="B226">
            <v>8441.19</v>
          </cell>
        </row>
        <row r="227">
          <cell r="A227">
            <v>41567</v>
          </cell>
          <cell r="B227">
            <v>8346.6200000000008</v>
          </cell>
        </row>
        <row r="228">
          <cell r="A228">
            <v>41574</v>
          </cell>
          <cell r="B228">
            <v>8388.18</v>
          </cell>
        </row>
        <row r="229">
          <cell r="A229">
            <v>41581</v>
          </cell>
          <cell r="B229">
            <v>8229.59</v>
          </cell>
        </row>
        <row r="230">
          <cell r="A230">
            <v>41588</v>
          </cell>
          <cell r="B230">
            <v>8177.12</v>
          </cell>
        </row>
        <row r="231">
          <cell r="A231">
            <v>41595</v>
          </cell>
          <cell r="B231">
            <v>8116.78</v>
          </cell>
        </row>
        <row r="232">
          <cell r="A232">
            <v>41602</v>
          </cell>
          <cell r="B232">
            <v>8406.83</v>
          </cell>
        </row>
        <row r="233">
          <cell r="A233">
            <v>41609</v>
          </cell>
          <cell r="B233">
            <v>8367.7199999999993</v>
          </cell>
        </row>
        <row r="234">
          <cell r="A234">
            <v>41616</v>
          </cell>
          <cell r="B234">
            <v>8376.94</v>
          </cell>
        </row>
        <row r="235">
          <cell r="A235">
            <v>41623</v>
          </cell>
          <cell r="B235">
            <v>8408.5300000000007</v>
          </cell>
        </row>
        <row r="236">
          <cell r="A236">
            <v>41630</v>
          </cell>
          <cell r="B236">
            <v>8535.0400000000009</v>
          </cell>
        </row>
        <row r="237">
          <cell r="A237">
            <v>41637</v>
          </cell>
          <cell r="B237">
            <v>8546.5400000000009</v>
          </cell>
        </row>
        <row r="238">
          <cell r="A238">
            <v>41644</v>
          </cell>
          <cell r="B238">
            <v>8529.35</v>
          </cell>
        </row>
        <row r="239">
          <cell r="A239">
            <v>41651</v>
          </cell>
          <cell r="B239">
            <v>8596</v>
          </cell>
        </row>
        <row r="240">
          <cell r="A240">
            <v>41658</v>
          </cell>
          <cell r="B240">
            <v>8598.31</v>
          </cell>
        </row>
        <row r="241">
          <cell r="A241">
            <v>41665</v>
          </cell>
          <cell r="B241">
            <v>8462.57</v>
          </cell>
        </row>
        <row r="242">
          <cell r="A242">
            <v>41672</v>
          </cell>
          <cell r="B242">
            <v>8387.35</v>
          </cell>
        </row>
        <row r="243">
          <cell r="A243">
            <v>41679</v>
          </cell>
          <cell r="B243">
            <v>8513.68</v>
          </cell>
        </row>
        <row r="244">
          <cell r="A244">
            <v>41686</v>
          </cell>
          <cell r="B244">
            <v>8601.86</v>
          </cell>
        </row>
        <row r="245">
          <cell r="A245">
            <v>41693</v>
          </cell>
          <cell r="B245">
            <v>8639.58</v>
          </cell>
        </row>
        <row r="246">
          <cell r="A246">
            <v>41700</v>
          </cell>
          <cell r="B246">
            <v>8713.9599999999991</v>
          </cell>
        </row>
        <row r="247">
          <cell r="A247">
            <v>41707</v>
          </cell>
          <cell r="B247">
            <v>8687.6299999999992</v>
          </cell>
        </row>
        <row r="248">
          <cell r="A248">
            <v>41714</v>
          </cell>
          <cell r="B248">
            <v>8577.17</v>
          </cell>
        </row>
        <row r="249">
          <cell r="A249">
            <v>41721</v>
          </cell>
          <cell r="B249">
            <v>8774.64</v>
          </cell>
        </row>
        <row r="250">
          <cell r="A250">
            <v>41728</v>
          </cell>
          <cell r="B250">
            <v>8888.5400000000009</v>
          </cell>
        </row>
        <row r="251">
          <cell r="A251">
            <v>41735</v>
          </cell>
          <cell r="B251">
            <v>8908.0499999999993</v>
          </cell>
        </row>
        <row r="252">
          <cell r="A252">
            <v>41742</v>
          </cell>
          <cell r="B252">
            <v>8966.66</v>
          </cell>
        </row>
        <row r="253">
          <cell r="A253">
            <v>41749</v>
          </cell>
          <cell r="B253">
            <v>8774.1200000000008</v>
          </cell>
        </row>
        <row r="254">
          <cell r="A254">
            <v>41756</v>
          </cell>
          <cell r="B254">
            <v>8867.32</v>
          </cell>
        </row>
        <row r="255">
          <cell r="A255">
            <v>41763</v>
          </cell>
          <cell r="B255">
            <v>8889.69</v>
          </cell>
        </row>
        <row r="256">
          <cell r="A256">
            <v>41770</v>
          </cell>
          <cell r="B256">
            <v>8888.4500000000007</v>
          </cell>
        </row>
        <row r="257">
          <cell r="A257">
            <v>41777</v>
          </cell>
          <cell r="B257">
            <v>9008.2199999999993</v>
          </cell>
        </row>
        <row r="258">
          <cell r="A258">
            <v>41784</v>
          </cell>
          <cell r="B258">
            <v>9075.91</v>
          </cell>
        </row>
        <row r="259">
          <cell r="A259">
            <v>41791</v>
          </cell>
          <cell r="B259">
            <v>9134.4599999999991</v>
          </cell>
        </row>
        <row r="260">
          <cell r="A260">
            <v>41798</v>
          </cell>
          <cell r="B260">
            <v>9196.39</v>
          </cell>
        </row>
        <row r="261">
          <cell r="A261">
            <v>41805</v>
          </cell>
          <cell r="B261">
            <v>9273.7900000000009</v>
          </cell>
        </row>
        <row r="262">
          <cell r="A262">
            <v>41812</v>
          </cell>
          <cell r="B262">
            <v>9306.83</v>
          </cell>
        </row>
        <row r="263">
          <cell r="A263">
            <v>41819</v>
          </cell>
          <cell r="B263">
            <v>9510.0499999999993</v>
          </cell>
        </row>
        <row r="264">
          <cell r="A264">
            <v>41826</v>
          </cell>
          <cell r="B264">
            <v>9495.84</v>
          </cell>
        </row>
        <row r="265">
          <cell r="A265">
            <v>41833</v>
          </cell>
          <cell r="B265">
            <v>9400.9699999999993</v>
          </cell>
        </row>
        <row r="266">
          <cell r="A266">
            <v>41840</v>
          </cell>
          <cell r="B266">
            <v>9439.2900000000009</v>
          </cell>
        </row>
        <row r="267">
          <cell r="A267">
            <v>41847</v>
          </cell>
          <cell r="B267">
            <v>9266.51</v>
          </cell>
        </row>
        <row r="268">
          <cell r="A268">
            <v>41854</v>
          </cell>
          <cell r="B268">
            <v>9085.9599999999991</v>
          </cell>
        </row>
        <row r="269">
          <cell r="A269">
            <v>41861</v>
          </cell>
          <cell r="B269">
            <v>9206.81</v>
          </cell>
        </row>
        <row r="270">
          <cell r="A270">
            <v>41868</v>
          </cell>
          <cell r="B270">
            <v>9380.1</v>
          </cell>
        </row>
        <row r="271">
          <cell r="A271">
            <v>41875</v>
          </cell>
          <cell r="B271">
            <v>9436.27</v>
          </cell>
        </row>
        <row r="272">
          <cell r="A272">
            <v>41882</v>
          </cell>
          <cell r="B272">
            <v>9407.94</v>
          </cell>
        </row>
        <row r="273">
          <cell r="A273">
            <v>41889</v>
          </cell>
          <cell r="B273">
            <v>9223.18</v>
          </cell>
        </row>
        <row r="274">
          <cell r="A274">
            <v>41896</v>
          </cell>
          <cell r="B274">
            <v>9240.4500000000007</v>
          </cell>
        </row>
        <row r="275">
          <cell r="A275">
            <v>41903</v>
          </cell>
          <cell r="B275">
            <v>8989.82</v>
          </cell>
        </row>
        <row r="276">
          <cell r="A276">
            <v>41910</v>
          </cell>
          <cell r="B276">
            <v>9106.2800000000007</v>
          </cell>
        </row>
        <row r="277">
          <cell r="A277">
            <v>41917</v>
          </cell>
          <cell r="B277">
            <v>8966.44</v>
          </cell>
        </row>
        <row r="278">
          <cell r="A278">
            <v>41924</v>
          </cell>
          <cell r="B278">
            <v>8512.8799999999992</v>
          </cell>
        </row>
        <row r="279">
          <cell r="A279">
            <v>41931</v>
          </cell>
          <cell r="B279">
            <v>8646.01</v>
          </cell>
        </row>
        <row r="280">
          <cell r="A280">
            <v>41938</v>
          </cell>
          <cell r="B280">
            <v>8974.76</v>
          </cell>
        </row>
        <row r="281">
          <cell r="A281">
            <v>41945</v>
          </cell>
          <cell r="B281">
            <v>8912.6200000000008</v>
          </cell>
        </row>
        <row r="282">
          <cell r="A282">
            <v>41952</v>
          </cell>
          <cell r="B282">
            <v>8982.8799999999992</v>
          </cell>
        </row>
        <row r="283">
          <cell r="A283">
            <v>41959</v>
          </cell>
          <cell r="B283">
            <v>9091.5300000000007</v>
          </cell>
        </row>
        <row r="284">
          <cell r="A284">
            <v>41966</v>
          </cell>
          <cell r="B284">
            <v>9187.15</v>
          </cell>
        </row>
        <row r="285">
          <cell r="A285">
            <v>41973</v>
          </cell>
          <cell r="B285">
            <v>9206.57</v>
          </cell>
        </row>
        <row r="286">
          <cell r="A286">
            <v>41980</v>
          </cell>
          <cell r="B286">
            <v>9027.33</v>
          </cell>
        </row>
        <row r="287">
          <cell r="A287">
            <v>41987</v>
          </cell>
          <cell r="B287">
            <v>8999.52</v>
          </cell>
        </row>
        <row r="288">
          <cell r="A288">
            <v>41994</v>
          </cell>
          <cell r="B288">
            <v>9218.5</v>
          </cell>
        </row>
        <row r="289">
          <cell r="A289">
            <v>42001</v>
          </cell>
          <cell r="B289">
            <v>9307.26</v>
          </cell>
        </row>
        <row r="290">
          <cell r="A290">
            <v>42008</v>
          </cell>
          <cell r="B290">
            <v>9215.58</v>
          </cell>
        </row>
        <row r="291">
          <cell r="A291">
            <v>42015</v>
          </cell>
          <cell r="B291">
            <v>9138.2900000000009</v>
          </cell>
        </row>
        <row r="292">
          <cell r="A292">
            <v>42022</v>
          </cell>
          <cell r="B292">
            <v>9470.94</v>
          </cell>
        </row>
        <row r="293">
          <cell r="A293">
            <v>42029</v>
          </cell>
          <cell r="B293">
            <v>9361.91</v>
          </cell>
        </row>
        <row r="294">
          <cell r="A294">
            <v>42036</v>
          </cell>
          <cell r="B294">
            <v>9456.18</v>
          </cell>
        </row>
        <row r="295">
          <cell r="A295">
            <v>42043</v>
          </cell>
          <cell r="B295">
            <v>9529.51</v>
          </cell>
        </row>
        <row r="296">
          <cell r="A296">
            <v>42057</v>
          </cell>
          <cell r="B296">
            <v>9622.1</v>
          </cell>
        </row>
        <row r="297">
          <cell r="A297">
            <v>42064</v>
          </cell>
          <cell r="B297">
            <v>9645.77</v>
          </cell>
        </row>
        <row r="298">
          <cell r="A298">
            <v>42071</v>
          </cell>
          <cell r="B298">
            <v>9579.35</v>
          </cell>
        </row>
        <row r="299">
          <cell r="A299">
            <v>42078</v>
          </cell>
          <cell r="B299">
            <v>9749.69</v>
          </cell>
        </row>
        <row r="300">
          <cell r="A300">
            <v>42085</v>
          </cell>
          <cell r="B300">
            <v>9503.7199999999993</v>
          </cell>
        </row>
        <row r="301">
          <cell r="A301">
            <v>42092</v>
          </cell>
          <cell r="B301">
            <v>9600.32</v>
          </cell>
        </row>
        <row r="302">
          <cell r="A302">
            <v>42099</v>
          </cell>
          <cell r="B302">
            <v>9617.7000000000007</v>
          </cell>
        </row>
        <row r="303">
          <cell r="A303">
            <v>42106</v>
          </cell>
          <cell r="B303">
            <v>9570.93</v>
          </cell>
        </row>
        <row r="304">
          <cell r="A304">
            <v>42113</v>
          </cell>
          <cell r="B304">
            <v>9913.2800000000007</v>
          </cell>
        </row>
        <row r="305">
          <cell r="A305">
            <v>42120</v>
          </cell>
          <cell r="B305">
            <v>9820.0499999999993</v>
          </cell>
        </row>
        <row r="306">
          <cell r="A306">
            <v>42127</v>
          </cell>
          <cell r="B306">
            <v>9692</v>
          </cell>
        </row>
        <row r="307">
          <cell r="A307">
            <v>42134</v>
          </cell>
          <cell r="B307">
            <v>9579.48</v>
          </cell>
        </row>
        <row r="308">
          <cell r="A308">
            <v>42141</v>
          </cell>
          <cell r="B308">
            <v>9638.7999999999993</v>
          </cell>
        </row>
        <row r="309">
          <cell r="A309">
            <v>42148</v>
          </cell>
          <cell r="B309">
            <v>9701.07</v>
          </cell>
        </row>
        <row r="310">
          <cell r="A310">
            <v>42155</v>
          </cell>
          <cell r="B310">
            <v>9340.1299999999992</v>
          </cell>
        </row>
        <row r="311">
          <cell r="A311">
            <v>42162</v>
          </cell>
          <cell r="B311">
            <v>9301.93</v>
          </cell>
        </row>
        <row r="312">
          <cell r="A312">
            <v>42169</v>
          </cell>
          <cell r="B312">
            <v>9218.3700000000008</v>
          </cell>
        </row>
        <row r="313">
          <cell r="A313">
            <v>42176</v>
          </cell>
          <cell r="B313">
            <v>9462.57</v>
          </cell>
        </row>
        <row r="314">
          <cell r="A314">
            <v>42183</v>
          </cell>
          <cell r="B314">
            <v>9358.23</v>
          </cell>
        </row>
        <row r="315">
          <cell r="A315">
            <v>42190</v>
          </cell>
          <cell r="B315">
            <v>8914.1299999999992</v>
          </cell>
        </row>
        <row r="316">
          <cell r="A316">
            <v>42197</v>
          </cell>
          <cell r="B316">
            <v>9045.98</v>
          </cell>
        </row>
        <row r="317">
          <cell r="A317">
            <v>42204</v>
          </cell>
          <cell r="B317">
            <v>8767.86</v>
          </cell>
        </row>
        <row r="318">
          <cell r="A318">
            <v>42211</v>
          </cell>
          <cell r="B318">
            <v>8665.34</v>
          </cell>
        </row>
        <row r="319">
          <cell r="A319">
            <v>42218</v>
          </cell>
          <cell r="B319">
            <v>8442.2900000000009</v>
          </cell>
        </row>
        <row r="320">
          <cell r="A320">
            <v>42225</v>
          </cell>
          <cell r="B320">
            <v>8305.64</v>
          </cell>
        </row>
        <row r="321">
          <cell r="A321">
            <v>42232</v>
          </cell>
          <cell r="B321">
            <v>7786.92</v>
          </cell>
        </row>
        <row r="322">
          <cell r="A322">
            <v>42239</v>
          </cell>
          <cell r="B322">
            <v>8019.18</v>
          </cell>
        </row>
        <row r="323">
          <cell r="A323">
            <v>42246</v>
          </cell>
          <cell r="B323">
            <v>8000.6</v>
          </cell>
        </row>
        <row r="324">
          <cell r="A324">
            <v>42253</v>
          </cell>
          <cell r="B324">
            <v>8305.82</v>
          </cell>
        </row>
        <row r="325">
          <cell r="A325">
            <v>42260</v>
          </cell>
          <cell r="B325">
            <v>8462.14</v>
          </cell>
        </row>
        <row r="326">
          <cell r="A326">
            <v>42267</v>
          </cell>
          <cell r="B326">
            <v>8132.35</v>
          </cell>
        </row>
        <row r="327">
          <cell r="A327">
            <v>42274</v>
          </cell>
          <cell r="B327">
            <v>8305.0300000000007</v>
          </cell>
        </row>
        <row r="328">
          <cell r="A328">
            <v>42281</v>
          </cell>
          <cell r="B328">
            <v>8445.9599999999991</v>
          </cell>
        </row>
        <row r="329">
          <cell r="A329">
            <v>42288</v>
          </cell>
          <cell r="B329">
            <v>8604.9500000000007</v>
          </cell>
        </row>
        <row r="330">
          <cell r="A330">
            <v>42295</v>
          </cell>
          <cell r="B330">
            <v>8673.81</v>
          </cell>
        </row>
        <row r="331">
          <cell r="A331">
            <v>42302</v>
          </cell>
          <cell r="B331">
            <v>8554.31</v>
          </cell>
        </row>
        <row r="332">
          <cell r="A332">
            <v>42309</v>
          </cell>
          <cell r="B332">
            <v>8693.57</v>
          </cell>
        </row>
        <row r="333">
          <cell r="A333">
            <v>42316</v>
          </cell>
          <cell r="B333">
            <v>8329.5</v>
          </cell>
        </row>
        <row r="334">
          <cell r="A334">
            <v>42323</v>
          </cell>
          <cell r="B334">
            <v>8465.4500000000007</v>
          </cell>
        </row>
        <row r="335">
          <cell r="A335">
            <v>42330</v>
          </cell>
          <cell r="B335">
            <v>8398.4</v>
          </cell>
        </row>
        <row r="336">
          <cell r="A336">
            <v>42337</v>
          </cell>
          <cell r="B336">
            <v>8398.6</v>
          </cell>
        </row>
        <row r="337">
          <cell r="A337">
            <v>42344</v>
          </cell>
          <cell r="B337">
            <v>8115.89</v>
          </cell>
        </row>
        <row r="338">
          <cell r="A338">
            <v>42351</v>
          </cell>
          <cell r="B338">
            <v>8257.32</v>
          </cell>
        </row>
        <row r="339">
          <cell r="A339">
            <v>42358</v>
          </cell>
          <cell r="B339">
            <v>8363.2800000000007</v>
          </cell>
        </row>
        <row r="340">
          <cell r="A340">
            <v>42365</v>
          </cell>
          <cell r="B340">
            <v>8338.06</v>
          </cell>
        </row>
        <row r="341">
          <cell r="A341">
            <v>42372</v>
          </cell>
          <cell r="B341">
            <v>7893.97</v>
          </cell>
        </row>
        <row r="342">
          <cell r="A342">
            <v>42379</v>
          </cell>
          <cell r="B342">
            <v>7762.01</v>
          </cell>
        </row>
        <row r="343">
          <cell r="A343">
            <v>42386</v>
          </cell>
          <cell r="B343">
            <v>7756.18</v>
          </cell>
        </row>
        <row r="344">
          <cell r="A344">
            <v>42393</v>
          </cell>
          <cell r="B344">
            <v>8145.21</v>
          </cell>
        </row>
        <row r="345">
          <cell r="A345">
            <v>42400</v>
          </cell>
          <cell r="B345">
            <v>8063</v>
          </cell>
        </row>
        <row r="346">
          <cell r="A346">
            <v>42414</v>
          </cell>
          <cell r="B346">
            <v>8325.0400000000009</v>
          </cell>
        </row>
        <row r="347">
          <cell r="A347">
            <v>42421</v>
          </cell>
          <cell r="B347">
            <v>8411.16</v>
          </cell>
        </row>
        <row r="348">
          <cell r="A348">
            <v>42428</v>
          </cell>
          <cell r="B348">
            <v>8643.5499999999993</v>
          </cell>
        </row>
        <row r="349">
          <cell r="A349">
            <v>42435</v>
          </cell>
          <cell r="B349">
            <v>8706.14</v>
          </cell>
        </row>
        <row r="350">
          <cell r="A350">
            <v>42442</v>
          </cell>
          <cell r="B350">
            <v>8810.7099999999991</v>
          </cell>
        </row>
        <row r="351">
          <cell r="A351">
            <v>42449</v>
          </cell>
          <cell r="B351">
            <v>8704.9699999999993</v>
          </cell>
        </row>
        <row r="352">
          <cell r="A352">
            <v>42456</v>
          </cell>
          <cell r="B352">
            <v>8657.5499999999993</v>
          </cell>
        </row>
        <row r="353">
          <cell r="A353">
            <v>42463</v>
          </cell>
          <cell r="B353">
            <v>8541.5</v>
          </cell>
        </row>
        <row r="354">
          <cell r="A354">
            <v>42470</v>
          </cell>
          <cell r="B354">
            <v>8700.39</v>
          </cell>
        </row>
        <row r="355">
          <cell r="A355">
            <v>42477</v>
          </cell>
          <cell r="B355">
            <v>8535.75</v>
          </cell>
        </row>
        <row r="356">
          <cell r="A356">
            <v>42484</v>
          </cell>
          <cell r="B356">
            <v>8377.9</v>
          </cell>
        </row>
        <row r="357">
          <cell r="A357">
            <v>42491</v>
          </cell>
          <cell r="B357">
            <v>8146.43</v>
          </cell>
        </row>
        <row r="358">
          <cell r="A358">
            <v>42498</v>
          </cell>
          <cell r="B358">
            <v>8053.69</v>
          </cell>
        </row>
        <row r="359">
          <cell r="A359">
            <v>42505</v>
          </cell>
          <cell r="B359">
            <v>8131.26</v>
          </cell>
        </row>
        <row r="360">
          <cell r="A360">
            <v>42512</v>
          </cell>
          <cell r="B360">
            <v>8463.61</v>
          </cell>
        </row>
        <row r="361">
          <cell r="A361">
            <v>42519</v>
          </cell>
          <cell r="B361">
            <v>8591.57</v>
          </cell>
        </row>
        <row r="362">
          <cell r="A362">
            <v>42526</v>
          </cell>
          <cell r="B362">
            <v>8715.48</v>
          </cell>
        </row>
        <row r="363">
          <cell r="A363">
            <v>42533</v>
          </cell>
          <cell r="B363">
            <v>8568.08</v>
          </cell>
        </row>
        <row r="364">
          <cell r="A364">
            <v>42540</v>
          </cell>
          <cell r="B364">
            <v>8476.99</v>
          </cell>
        </row>
        <row r="365">
          <cell r="A365">
            <v>42547</v>
          </cell>
          <cell r="B365">
            <v>8738.24</v>
          </cell>
        </row>
        <row r="366">
          <cell r="A366">
            <v>42554</v>
          </cell>
          <cell r="B366">
            <v>8640.91</v>
          </cell>
        </row>
        <row r="367">
          <cell r="A367">
            <v>42561</v>
          </cell>
          <cell r="B367">
            <v>8949.85</v>
          </cell>
        </row>
        <row r="368">
          <cell r="A368">
            <v>42568</v>
          </cell>
          <cell r="B368">
            <v>9013.14</v>
          </cell>
        </row>
        <row r="369">
          <cell r="A369">
            <v>42575</v>
          </cell>
          <cell r="B369">
            <v>8984.41</v>
          </cell>
        </row>
        <row r="370">
          <cell r="A370">
            <v>42582</v>
          </cell>
          <cell r="B370">
            <v>9092.1200000000008</v>
          </cell>
        </row>
        <row r="371">
          <cell r="A371">
            <v>42589</v>
          </cell>
          <cell r="B371">
            <v>9150.39</v>
          </cell>
        </row>
        <row r="372">
          <cell r="A372">
            <v>42596</v>
          </cell>
          <cell r="B372">
            <v>9034.27</v>
          </cell>
        </row>
        <row r="373">
          <cell r="A373">
            <v>42603</v>
          </cell>
          <cell r="B373">
            <v>9131.7199999999993</v>
          </cell>
        </row>
        <row r="374">
          <cell r="A374">
            <v>42610</v>
          </cell>
          <cell r="B374">
            <v>8987.5499999999993</v>
          </cell>
        </row>
        <row r="375">
          <cell r="A375">
            <v>42617</v>
          </cell>
          <cell r="B375">
            <v>9053.69</v>
          </cell>
        </row>
        <row r="376">
          <cell r="A376">
            <v>42624</v>
          </cell>
          <cell r="B376">
            <v>8902.2999999999993</v>
          </cell>
        </row>
        <row r="377">
          <cell r="A377">
            <v>42631</v>
          </cell>
          <cell r="B377">
            <v>9284.6200000000008</v>
          </cell>
        </row>
        <row r="378">
          <cell r="A378">
            <v>42638</v>
          </cell>
          <cell r="B378">
            <v>9166.85</v>
          </cell>
        </row>
        <row r="379">
          <cell r="A379">
            <v>42645</v>
          </cell>
          <cell r="B379">
            <v>9265.81</v>
          </cell>
        </row>
        <row r="380">
          <cell r="A380">
            <v>42652</v>
          </cell>
          <cell r="B380">
            <v>9165.17</v>
          </cell>
        </row>
        <row r="381">
          <cell r="A381">
            <v>42659</v>
          </cell>
          <cell r="B381">
            <v>9306.57</v>
          </cell>
        </row>
        <row r="382">
          <cell r="A382">
            <v>42666</v>
          </cell>
          <cell r="B382">
            <v>9306.92</v>
          </cell>
        </row>
        <row r="383">
          <cell r="A383">
            <v>42673</v>
          </cell>
          <cell r="B383">
            <v>9068.15</v>
          </cell>
        </row>
        <row r="384">
          <cell r="A384">
            <v>42680</v>
          </cell>
          <cell r="B384">
            <v>8957.76</v>
          </cell>
        </row>
        <row r="385">
          <cell r="A385">
            <v>42687</v>
          </cell>
          <cell r="B385">
            <v>9008.7900000000009</v>
          </cell>
        </row>
        <row r="386">
          <cell r="A386">
            <v>42694</v>
          </cell>
          <cell r="B386">
            <v>9159.07</v>
          </cell>
        </row>
        <row r="387">
          <cell r="A387">
            <v>42701</v>
          </cell>
          <cell r="B387">
            <v>9189.49</v>
          </cell>
        </row>
        <row r="388">
          <cell r="A388">
            <v>42708</v>
          </cell>
          <cell r="B388">
            <v>9392.68</v>
          </cell>
        </row>
        <row r="389">
          <cell r="A389">
            <v>42715</v>
          </cell>
          <cell r="B389">
            <v>9326.7800000000007</v>
          </cell>
        </row>
        <row r="390">
          <cell r="A390">
            <v>42722</v>
          </cell>
          <cell r="B390">
            <v>9078.64</v>
          </cell>
        </row>
        <row r="391">
          <cell r="A391">
            <v>42729</v>
          </cell>
          <cell r="B391">
            <v>9253.5</v>
          </cell>
        </row>
        <row r="392">
          <cell r="A392">
            <v>42736</v>
          </cell>
          <cell r="B392">
            <v>9372.2199999999993</v>
          </cell>
        </row>
        <row r="393">
          <cell r="A393">
            <v>42743</v>
          </cell>
          <cell r="B393">
            <v>9378.83</v>
          </cell>
        </row>
        <row r="394">
          <cell r="A394">
            <v>42750</v>
          </cell>
          <cell r="B394">
            <v>9331.4599999999991</v>
          </cell>
        </row>
        <row r="395">
          <cell r="A395">
            <v>42757</v>
          </cell>
          <cell r="B395">
            <v>9447.9500000000007</v>
          </cell>
        </row>
        <row r="396">
          <cell r="A396">
            <v>42764</v>
          </cell>
          <cell r="B396">
            <v>9455.56</v>
          </cell>
        </row>
        <row r="397">
          <cell r="A397">
            <v>42771</v>
          </cell>
          <cell r="B397">
            <v>9665.59</v>
          </cell>
        </row>
        <row r="398">
          <cell r="A398">
            <v>42778</v>
          </cell>
          <cell r="B398">
            <v>9779.92</v>
          </cell>
        </row>
        <row r="399">
          <cell r="A399">
            <v>42785</v>
          </cell>
          <cell r="B399">
            <v>9750.4699999999993</v>
          </cell>
        </row>
        <row r="400">
          <cell r="A400">
            <v>42792</v>
          </cell>
          <cell r="B400">
            <v>9648.2099999999991</v>
          </cell>
        </row>
        <row r="401">
          <cell r="A401">
            <v>42799</v>
          </cell>
          <cell r="B401">
            <v>9627.89</v>
          </cell>
        </row>
        <row r="402">
          <cell r="A402">
            <v>42806</v>
          </cell>
          <cell r="B402">
            <v>9908.69</v>
          </cell>
        </row>
        <row r="403">
          <cell r="A403">
            <v>42813</v>
          </cell>
          <cell r="B403">
            <v>9902.98</v>
          </cell>
        </row>
        <row r="404">
          <cell r="A404">
            <v>42820</v>
          </cell>
          <cell r="B404">
            <v>9811.52</v>
          </cell>
        </row>
        <row r="405">
          <cell r="A405">
            <v>42827</v>
          </cell>
          <cell r="B405">
            <v>9873.3700000000008</v>
          </cell>
        </row>
        <row r="406">
          <cell r="A406">
            <v>42834</v>
          </cell>
          <cell r="B406">
            <v>9732.93</v>
          </cell>
        </row>
        <row r="407">
          <cell r="A407">
            <v>42841</v>
          </cell>
          <cell r="B407">
            <v>9717.41</v>
          </cell>
        </row>
        <row r="408">
          <cell r="A408">
            <v>42848</v>
          </cell>
          <cell r="B408">
            <v>9872</v>
          </cell>
        </row>
        <row r="409">
          <cell r="A409">
            <v>42855</v>
          </cell>
          <cell r="B409">
            <v>9899.94</v>
          </cell>
        </row>
        <row r="410">
          <cell r="A410">
            <v>42862</v>
          </cell>
          <cell r="B410">
            <v>9986.82</v>
          </cell>
        </row>
        <row r="411">
          <cell r="A411">
            <v>42869</v>
          </cell>
          <cell r="B411">
            <v>9947.6200000000008</v>
          </cell>
        </row>
        <row r="412">
          <cell r="A412">
            <v>42876</v>
          </cell>
          <cell r="B412">
            <v>10101.950000000001</v>
          </cell>
        </row>
        <row r="413">
          <cell r="A413">
            <v>42883</v>
          </cell>
          <cell r="B413">
            <v>10158.15</v>
          </cell>
        </row>
        <row r="414">
          <cell r="A414">
            <v>42890</v>
          </cell>
          <cell r="B414">
            <v>10199.65</v>
          </cell>
        </row>
        <row r="415">
          <cell r="A415">
            <v>42897</v>
          </cell>
          <cell r="B415">
            <v>10156.73</v>
          </cell>
        </row>
        <row r="416">
          <cell r="A416">
            <v>42904</v>
          </cell>
          <cell r="B416">
            <v>10377.700000000001</v>
          </cell>
        </row>
        <row r="417">
          <cell r="A417">
            <v>42911</v>
          </cell>
          <cell r="B417">
            <v>10395.07</v>
          </cell>
        </row>
        <row r="418">
          <cell r="A418">
            <v>42918</v>
          </cell>
          <cell r="B418">
            <v>10297.25</v>
          </cell>
        </row>
        <row r="419">
          <cell r="A419">
            <v>42925</v>
          </cell>
          <cell r="B419">
            <v>10443.91</v>
          </cell>
        </row>
        <row r="420">
          <cell r="A420">
            <v>42932</v>
          </cell>
          <cell r="B420">
            <v>10436.700000000001</v>
          </cell>
        </row>
        <row r="421">
          <cell r="A421">
            <v>42939</v>
          </cell>
          <cell r="B421">
            <v>10423.049999999999</v>
          </cell>
        </row>
        <row r="422">
          <cell r="A422">
            <v>42946</v>
          </cell>
          <cell r="B422">
            <v>10506.56</v>
          </cell>
        </row>
        <row r="423">
          <cell r="A423">
            <v>42953</v>
          </cell>
          <cell r="B423">
            <v>10329.57</v>
          </cell>
        </row>
        <row r="424">
          <cell r="A424">
            <v>42960</v>
          </cell>
          <cell r="B424">
            <v>10321.33</v>
          </cell>
        </row>
        <row r="425">
          <cell r="A425">
            <v>42967</v>
          </cell>
          <cell r="B425">
            <v>10515.51</v>
          </cell>
        </row>
        <row r="426">
          <cell r="A426">
            <v>42974</v>
          </cell>
          <cell r="B426">
            <v>10594.82</v>
          </cell>
        </row>
        <row r="427">
          <cell r="A427">
            <v>42981</v>
          </cell>
          <cell r="B427">
            <v>10609.95</v>
          </cell>
        </row>
        <row r="428">
          <cell r="A428">
            <v>42988</v>
          </cell>
          <cell r="B428">
            <v>10580.41</v>
          </cell>
        </row>
        <row r="429">
          <cell r="A429">
            <v>42995</v>
          </cell>
          <cell r="B429">
            <v>10449.68</v>
          </cell>
        </row>
        <row r="430">
          <cell r="A430">
            <v>43002</v>
          </cell>
          <cell r="B430">
            <v>10383.94</v>
          </cell>
        </row>
        <row r="431">
          <cell r="A431">
            <v>43009</v>
          </cell>
          <cell r="B431">
            <v>10532.81</v>
          </cell>
        </row>
        <row r="432">
          <cell r="A432">
            <v>43016</v>
          </cell>
          <cell r="B432">
            <v>10724.09</v>
          </cell>
        </row>
        <row r="433">
          <cell r="A433">
            <v>43023</v>
          </cell>
          <cell r="B433">
            <v>10728.88</v>
          </cell>
        </row>
        <row r="434">
          <cell r="A434">
            <v>43030</v>
          </cell>
          <cell r="B434">
            <v>10709.11</v>
          </cell>
        </row>
        <row r="435">
          <cell r="A435">
            <v>43037</v>
          </cell>
          <cell r="B435">
            <v>10800.77</v>
          </cell>
        </row>
        <row r="436">
          <cell r="A436">
            <v>43044</v>
          </cell>
          <cell r="B436">
            <v>10732.67</v>
          </cell>
        </row>
        <row r="437">
          <cell r="A437">
            <v>43051</v>
          </cell>
          <cell r="B437">
            <v>10701.64</v>
          </cell>
        </row>
        <row r="438">
          <cell r="A438">
            <v>43058</v>
          </cell>
          <cell r="B438">
            <v>10854.09</v>
          </cell>
        </row>
        <row r="439">
          <cell r="A439">
            <v>43065</v>
          </cell>
          <cell r="B439">
            <v>10600.37</v>
          </cell>
        </row>
        <row r="440">
          <cell r="A440">
            <v>43072</v>
          </cell>
          <cell r="B440">
            <v>10398.620000000001</v>
          </cell>
        </row>
        <row r="441">
          <cell r="A441">
            <v>43079</v>
          </cell>
          <cell r="B441">
            <v>10491.44</v>
          </cell>
        </row>
        <row r="442">
          <cell r="A442">
            <v>43086</v>
          </cell>
          <cell r="B442">
            <v>10537.27</v>
          </cell>
        </row>
        <row r="443">
          <cell r="A443">
            <v>43093</v>
          </cell>
          <cell r="B443">
            <v>10642.86</v>
          </cell>
        </row>
        <row r="444">
          <cell r="A444">
            <v>43100</v>
          </cell>
          <cell r="B444">
            <v>10879.8</v>
          </cell>
        </row>
        <row r="445">
          <cell r="A445">
            <v>43107</v>
          </cell>
          <cell r="B445">
            <v>10883.96</v>
          </cell>
        </row>
        <row r="446">
          <cell r="A446">
            <v>43114</v>
          </cell>
          <cell r="B446">
            <v>11150.85</v>
          </cell>
        </row>
        <row r="447">
          <cell r="A447">
            <v>43121</v>
          </cell>
          <cell r="B447">
            <v>11147.1</v>
          </cell>
        </row>
        <row r="448">
          <cell r="A448">
            <v>43128</v>
          </cell>
          <cell r="B448">
            <v>11126.23</v>
          </cell>
        </row>
        <row r="449">
          <cell r="A449">
            <v>43135</v>
          </cell>
          <cell r="B449">
            <v>10371.75</v>
          </cell>
        </row>
        <row r="450">
          <cell r="A450">
            <v>43142</v>
          </cell>
          <cell r="B450">
            <v>10421.09</v>
          </cell>
        </row>
        <row r="451">
          <cell r="A451">
            <v>43149</v>
          </cell>
          <cell r="B451">
            <v>10794.55</v>
          </cell>
        </row>
        <row r="452">
          <cell r="A452">
            <v>43156</v>
          </cell>
          <cell r="B452">
            <v>10698.17</v>
          </cell>
        </row>
        <row r="453">
          <cell r="A453">
            <v>43163</v>
          </cell>
          <cell r="B453">
            <v>10864.82</v>
          </cell>
        </row>
        <row r="454">
          <cell r="A454">
            <v>43170</v>
          </cell>
          <cell r="B454">
            <v>11027.7</v>
          </cell>
        </row>
        <row r="455">
          <cell r="A455">
            <v>43177</v>
          </cell>
          <cell r="B455">
            <v>10823.33</v>
          </cell>
        </row>
        <row r="456">
          <cell r="A456">
            <v>43184</v>
          </cell>
          <cell r="B456">
            <v>10919.49</v>
          </cell>
        </row>
        <row r="457">
          <cell r="A457">
            <v>43191</v>
          </cell>
          <cell r="B457">
            <v>10821.53</v>
          </cell>
        </row>
        <row r="458">
          <cell r="A458">
            <v>43198</v>
          </cell>
          <cell r="B458">
            <v>10965.39</v>
          </cell>
        </row>
        <row r="459">
          <cell r="A459">
            <v>43205</v>
          </cell>
          <cell r="B459">
            <v>10779.38</v>
          </cell>
        </row>
        <row r="460">
          <cell r="A460">
            <v>43212</v>
          </cell>
          <cell r="B460">
            <v>10553.43</v>
          </cell>
        </row>
        <row r="461">
          <cell r="A461">
            <v>43219</v>
          </cell>
          <cell r="B461">
            <v>10529.37</v>
          </cell>
        </row>
        <row r="462">
          <cell r="A462">
            <v>43226</v>
          </cell>
          <cell r="B462">
            <v>10858.98</v>
          </cell>
        </row>
        <row r="463">
          <cell r="A463">
            <v>43233</v>
          </cell>
          <cell r="B463">
            <v>10830.84</v>
          </cell>
        </row>
        <row r="464">
          <cell r="A464">
            <v>43240</v>
          </cell>
          <cell r="B464">
            <v>10942.3</v>
          </cell>
        </row>
        <row r="465">
          <cell r="A465">
            <v>43247</v>
          </cell>
          <cell r="B465">
            <v>10949.08</v>
          </cell>
        </row>
        <row r="466">
          <cell r="A466">
            <v>43254</v>
          </cell>
          <cell r="B466">
            <v>11156.42</v>
          </cell>
        </row>
        <row r="467">
          <cell r="A467">
            <v>43261</v>
          </cell>
          <cell r="B467">
            <v>11087.47</v>
          </cell>
        </row>
        <row r="468">
          <cell r="A468">
            <v>43268</v>
          </cell>
          <cell r="B468">
            <v>10899.28</v>
          </cell>
        </row>
        <row r="469">
          <cell r="A469">
            <v>43275</v>
          </cell>
          <cell r="B469">
            <v>10836.91</v>
          </cell>
        </row>
        <row r="470">
          <cell r="A470">
            <v>43282</v>
          </cell>
          <cell r="B470">
            <v>10608.57</v>
          </cell>
        </row>
        <row r="471">
          <cell r="A471">
            <v>43289</v>
          </cell>
          <cell r="B471">
            <v>10864.54</v>
          </cell>
        </row>
        <row r="472">
          <cell r="A472">
            <v>43296</v>
          </cell>
          <cell r="B472">
            <v>10932.11</v>
          </cell>
        </row>
        <row r="473">
          <cell r="A473">
            <v>43303</v>
          </cell>
          <cell r="B473">
            <v>11075.78</v>
          </cell>
        </row>
        <row r="474">
          <cell r="A474">
            <v>43310</v>
          </cell>
          <cell r="B474">
            <v>11012.43</v>
          </cell>
        </row>
        <row r="475">
          <cell r="A475">
            <v>43317</v>
          </cell>
          <cell r="B475">
            <v>10983.68</v>
          </cell>
        </row>
        <row r="476">
          <cell r="A476">
            <v>43324</v>
          </cell>
          <cell r="B476">
            <v>10690.96</v>
          </cell>
        </row>
        <row r="477">
          <cell r="A477">
            <v>43331</v>
          </cell>
          <cell r="B477">
            <v>10809.35</v>
          </cell>
        </row>
        <row r="478">
          <cell r="A478">
            <v>43338</v>
          </cell>
          <cell r="B478">
            <v>11063.94</v>
          </cell>
        </row>
        <row r="479">
          <cell r="A479">
            <v>43345</v>
          </cell>
          <cell r="B479">
            <v>10846.99</v>
          </cell>
        </row>
        <row r="480">
          <cell r="A480">
            <v>43352</v>
          </cell>
          <cell r="B480">
            <v>10868.14</v>
          </cell>
        </row>
        <row r="481">
          <cell r="A481">
            <v>43359</v>
          </cell>
          <cell r="B481">
            <v>10972.41</v>
          </cell>
        </row>
        <row r="482">
          <cell r="A482">
            <v>43366</v>
          </cell>
          <cell r="B482">
            <v>11006.34</v>
          </cell>
        </row>
        <row r="483">
          <cell r="A483">
            <v>43373</v>
          </cell>
          <cell r="B483">
            <v>10517.12</v>
          </cell>
        </row>
        <row r="484">
          <cell r="A484">
            <v>43380</v>
          </cell>
          <cell r="B484">
            <v>10045.81</v>
          </cell>
        </row>
        <row r="485">
          <cell r="A485">
            <v>43387</v>
          </cell>
          <cell r="B485">
            <v>9919.26</v>
          </cell>
        </row>
        <row r="486">
          <cell r="A486">
            <v>43394</v>
          </cell>
          <cell r="B486">
            <v>9489.18</v>
          </cell>
        </row>
        <row r="487">
          <cell r="A487">
            <v>43401</v>
          </cell>
          <cell r="B487">
            <v>9906.59</v>
          </cell>
        </row>
        <row r="488">
          <cell r="A488">
            <v>43408</v>
          </cell>
          <cell r="B488">
            <v>9830.01</v>
          </cell>
        </row>
        <row r="489">
          <cell r="A489">
            <v>43415</v>
          </cell>
          <cell r="B489">
            <v>9797.09</v>
          </cell>
        </row>
        <row r="490">
          <cell r="A490">
            <v>43422</v>
          </cell>
          <cell r="B490">
            <v>9667.2999999999993</v>
          </cell>
        </row>
        <row r="491">
          <cell r="A491">
            <v>43429</v>
          </cell>
          <cell r="B491">
            <v>9888.0300000000007</v>
          </cell>
        </row>
        <row r="492">
          <cell r="A492">
            <v>43436</v>
          </cell>
          <cell r="B492">
            <v>9760.8799999999992</v>
          </cell>
        </row>
        <row r="493">
          <cell r="A493">
            <v>43443</v>
          </cell>
          <cell r="B493">
            <v>9774.16</v>
          </cell>
        </row>
        <row r="494">
          <cell r="A494">
            <v>43450</v>
          </cell>
          <cell r="B494">
            <v>9646.16</v>
          </cell>
        </row>
        <row r="495">
          <cell r="A495">
            <v>43457</v>
          </cell>
          <cell r="B495">
            <v>9727.41</v>
          </cell>
        </row>
        <row r="496">
          <cell r="A496">
            <v>43464</v>
          </cell>
          <cell r="B496">
            <v>9382.51</v>
          </cell>
        </row>
        <row r="497">
          <cell r="A497">
            <v>43471</v>
          </cell>
          <cell r="B497">
            <v>9759.4</v>
          </cell>
        </row>
        <row r="498">
          <cell r="A498">
            <v>43478</v>
          </cell>
          <cell r="B498">
            <v>9836.06</v>
          </cell>
        </row>
        <row r="499">
          <cell r="A499">
            <v>43485</v>
          </cell>
          <cell r="B499">
            <v>9969.61</v>
          </cell>
        </row>
        <row r="500">
          <cell r="A500">
            <v>43492</v>
          </cell>
          <cell r="B500">
            <v>9932.26</v>
          </cell>
        </row>
        <row r="501">
          <cell r="A501">
            <v>43506</v>
          </cell>
          <cell r="B501">
            <v>10064.780000000001</v>
          </cell>
        </row>
        <row r="502">
          <cell r="A502">
            <v>43513</v>
          </cell>
          <cell r="B502">
            <v>10322.92</v>
          </cell>
        </row>
        <row r="503">
          <cell r="A503">
            <v>43520</v>
          </cell>
          <cell r="B503">
            <v>10389.17</v>
          </cell>
        </row>
        <row r="504">
          <cell r="A504">
            <v>43527</v>
          </cell>
          <cell r="B504">
            <v>10241.75</v>
          </cell>
        </row>
        <row r="505">
          <cell r="A505">
            <v>43534</v>
          </cell>
          <cell r="B505">
            <v>10439.24</v>
          </cell>
        </row>
        <row r="506">
          <cell r="A506">
            <v>43541</v>
          </cell>
          <cell r="B506">
            <v>10639.07</v>
          </cell>
        </row>
        <row r="507">
          <cell r="A507">
            <v>43548</v>
          </cell>
          <cell r="B507">
            <v>10641.04</v>
          </cell>
        </row>
        <row r="508">
          <cell r="A508">
            <v>43555</v>
          </cell>
          <cell r="B508">
            <v>10704.38</v>
          </cell>
        </row>
        <row r="509">
          <cell r="A509">
            <v>43562</v>
          </cell>
          <cell r="B509">
            <v>10805.3</v>
          </cell>
        </row>
        <row r="510">
          <cell r="A510">
            <v>43569</v>
          </cell>
          <cell r="B510">
            <v>10968.5</v>
          </cell>
        </row>
        <row r="511">
          <cell r="A511">
            <v>43576</v>
          </cell>
          <cell r="B511">
            <v>10952.47</v>
          </cell>
        </row>
        <row r="512">
          <cell r="A512">
            <v>43583</v>
          </cell>
          <cell r="B512">
            <v>11096.3</v>
          </cell>
        </row>
        <row r="513">
          <cell r="A513">
            <v>43590</v>
          </cell>
          <cell r="B513">
            <v>10712.99</v>
          </cell>
        </row>
        <row r="514">
          <cell r="A514">
            <v>43597</v>
          </cell>
          <cell r="B514">
            <v>10384.11</v>
          </cell>
        </row>
        <row r="515">
          <cell r="A515">
            <v>43604</v>
          </cell>
          <cell r="B515">
            <v>10328.280000000001</v>
          </cell>
        </row>
        <row r="516">
          <cell r="A516">
            <v>43611</v>
          </cell>
          <cell r="B516">
            <v>10498.49</v>
          </cell>
        </row>
        <row r="517">
          <cell r="A517">
            <v>43618</v>
          </cell>
          <cell r="B517">
            <v>10409.200000000001</v>
          </cell>
        </row>
        <row r="518">
          <cell r="A518">
            <v>43625</v>
          </cell>
          <cell r="B518">
            <v>10524.67</v>
          </cell>
        </row>
        <row r="519">
          <cell r="A519">
            <v>43632</v>
          </cell>
          <cell r="B519">
            <v>10803.77</v>
          </cell>
        </row>
        <row r="520">
          <cell r="A520">
            <v>43639</v>
          </cell>
          <cell r="B520">
            <v>10730.83</v>
          </cell>
        </row>
        <row r="521">
          <cell r="A521">
            <v>43646</v>
          </cell>
          <cell r="B521">
            <v>10785.73</v>
          </cell>
        </row>
        <row r="522">
          <cell r="A522">
            <v>43653</v>
          </cell>
          <cell r="B522">
            <v>10824.35</v>
          </cell>
        </row>
        <row r="523">
          <cell r="A523">
            <v>43660</v>
          </cell>
          <cell r="B523">
            <v>10873.19</v>
          </cell>
        </row>
        <row r="524">
          <cell r="A524">
            <v>43667</v>
          </cell>
          <cell r="B524">
            <v>10891.98</v>
          </cell>
        </row>
        <row r="525">
          <cell r="A525">
            <v>43674</v>
          </cell>
          <cell r="B525">
            <v>10549.04</v>
          </cell>
        </row>
        <row r="526">
          <cell r="A526">
            <v>43681</v>
          </cell>
          <cell r="B526">
            <v>10494.49</v>
          </cell>
        </row>
        <row r="527">
          <cell r="A527">
            <v>43688</v>
          </cell>
          <cell r="B527">
            <v>10420.89</v>
          </cell>
        </row>
        <row r="528">
          <cell r="A528">
            <v>43695</v>
          </cell>
          <cell r="B528">
            <v>10538.11</v>
          </cell>
        </row>
        <row r="529">
          <cell r="A529">
            <v>43702</v>
          </cell>
          <cell r="B529">
            <v>10618.05</v>
          </cell>
        </row>
        <row r="530">
          <cell r="A530">
            <v>43709</v>
          </cell>
          <cell r="B530">
            <v>10780.64</v>
          </cell>
        </row>
        <row r="531">
          <cell r="A531">
            <v>43716</v>
          </cell>
          <cell r="B531">
            <v>10827.55</v>
          </cell>
        </row>
        <row r="532">
          <cell r="A532">
            <v>43723</v>
          </cell>
          <cell r="B532">
            <v>10929.69</v>
          </cell>
        </row>
        <row r="533">
          <cell r="A533">
            <v>43730</v>
          </cell>
          <cell r="B533">
            <v>10829.68</v>
          </cell>
        </row>
        <row r="534">
          <cell r="A534">
            <v>43737</v>
          </cell>
          <cell r="B534">
            <v>10894.48</v>
          </cell>
        </row>
        <row r="535">
          <cell r="A535">
            <v>43744</v>
          </cell>
          <cell r="B535">
            <v>10889.96</v>
          </cell>
        </row>
        <row r="536">
          <cell r="A536">
            <v>43751</v>
          </cell>
          <cell r="B536">
            <v>11180.22</v>
          </cell>
        </row>
        <row r="537">
          <cell r="A537">
            <v>43758</v>
          </cell>
          <cell r="B537">
            <v>11296.12</v>
          </cell>
        </row>
        <row r="538">
          <cell r="A538">
            <v>43765</v>
          </cell>
          <cell r="B538">
            <v>11399.53</v>
          </cell>
        </row>
        <row r="539">
          <cell r="A539">
            <v>43772</v>
          </cell>
          <cell r="B539">
            <v>11579.54</v>
          </cell>
        </row>
        <row r="540">
          <cell r="A540">
            <v>43779</v>
          </cell>
          <cell r="B540">
            <v>11525.6</v>
          </cell>
        </row>
        <row r="541">
          <cell r="A541">
            <v>43786</v>
          </cell>
          <cell r="B541">
            <v>11566.8</v>
          </cell>
        </row>
        <row r="542">
          <cell r="A542">
            <v>43793</v>
          </cell>
          <cell r="B542">
            <v>11489.57</v>
          </cell>
        </row>
        <row r="543">
          <cell r="A543">
            <v>43800</v>
          </cell>
          <cell r="B543">
            <v>11609.64</v>
          </cell>
        </row>
        <row r="544">
          <cell r="A544">
            <v>43807</v>
          </cell>
          <cell r="B544">
            <v>11927.73</v>
          </cell>
        </row>
        <row r="545">
          <cell r="A545">
            <v>43814</v>
          </cell>
          <cell r="B545">
            <v>11959.08</v>
          </cell>
        </row>
        <row r="546">
          <cell r="A546">
            <v>43821</v>
          </cell>
          <cell r="B546">
            <v>12091.59</v>
          </cell>
        </row>
        <row r="547">
          <cell r="A547">
            <v>43828</v>
          </cell>
          <cell r="B547">
            <v>12110.43</v>
          </cell>
        </row>
        <row r="548">
          <cell r="A548">
            <v>43835</v>
          </cell>
          <cell r="B548">
            <v>12024.65</v>
          </cell>
        </row>
        <row r="549">
          <cell r="A549">
            <v>43842</v>
          </cell>
          <cell r="B549">
            <v>12090.29</v>
          </cell>
        </row>
        <row r="550">
          <cell r="A550">
            <v>43849</v>
          </cell>
          <cell r="B550">
            <v>12118.71</v>
          </cell>
        </row>
        <row r="551">
          <cell r="A551">
            <v>43856</v>
          </cell>
          <cell r="B551">
            <v>11495.1</v>
          </cell>
        </row>
        <row r="552">
          <cell r="A552">
            <v>43863</v>
          </cell>
          <cell r="B552">
            <v>11612.81</v>
          </cell>
        </row>
        <row r="553">
          <cell r="A553">
            <v>43870</v>
          </cell>
          <cell r="B553">
            <v>11815.7</v>
          </cell>
        </row>
        <row r="554">
          <cell r="A554">
            <v>43877</v>
          </cell>
          <cell r="B554">
            <v>11686.35</v>
          </cell>
        </row>
        <row r="555">
          <cell r="A555">
            <v>43884</v>
          </cell>
          <cell r="B555">
            <v>11292.17</v>
          </cell>
        </row>
        <row r="556">
          <cell r="A556">
            <v>43891</v>
          </cell>
          <cell r="B556">
            <v>11321.81</v>
          </cell>
        </row>
        <row r="557">
          <cell r="A557">
            <v>43898</v>
          </cell>
          <cell r="B557">
            <v>10128.870000000001</v>
          </cell>
        </row>
        <row r="558">
          <cell r="A558">
            <v>43905</v>
          </cell>
          <cell r="B558">
            <v>9234.09</v>
          </cell>
        </row>
        <row r="559">
          <cell r="A559">
            <v>43912</v>
          </cell>
          <cell r="B559">
            <v>9698.92</v>
          </cell>
        </row>
        <row r="560">
          <cell r="A560">
            <v>43919</v>
          </cell>
          <cell r="B560">
            <v>9663.6299999999992</v>
          </cell>
        </row>
        <row r="561">
          <cell r="A561">
            <v>43926</v>
          </cell>
          <cell r="B561">
            <v>10157.61</v>
          </cell>
        </row>
        <row r="562">
          <cell r="A562">
            <v>43933</v>
          </cell>
          <cell r="B562">
            <v>10597.04</v>
          </cell>
        </row>
        <row r="563">
          <cell r="A563">
            <v>43940</v>
          </cell>
          <cell r="B563">
            <v>10347.36</v>
          </cell>
        </row>
        <row r="564">
          <cell r="A564">
            <v>43947</v>
          </cell>
          <cell r="B564">
            <v>10992.14</v>
          </cell>
        </row>
        <row r="565">
          <cell r="A565">
            <v>43954</v>
          </cell>
          <cell r="B565">
            <v>10901.42</v>
          </cell>
        </row>
        <row r="566">
          <cell r="A566">
            <v>43961</v>
          </cell>
          <cell r="B566">
            <v>10814.92</v>
          </cell>
        </row>
        <row r="567">
          <cell r="A567">
            <v>43968</v>
          </cell>
          <cell r="B567">
            <v>10811.15</v>
          </cell>
        </row>
        <row r="568">
          <cell r="A568">
            <v>43975</v>
          </cell>
          <cell r="B568">
            <v>10942.16</v>
          </cell>
        </row>
        <row r="569">
          <cell r="A569">
            <v>43982</v>
          </cell>
          <cell r="B569">
            <v>11479.4</v>
          </cell>
        </row>
        <row r="570">
          <cell r="A570">
            <v>43989</v>
          </cell>
          <cell r="B570">
            <v>11429.94</v>
          </cell>
        </row>
        <row r="571">
          <cell r="A571">
            <v>43996</v>
          </cell>
          <cell r="B571">
            <v>11549.86</v>
          </cell>
        </row>
        <row r="572">
          <cell r="A572">
            <v>44003</v>
          </cell>
          <cell r="B572">
            <v>11660.67</v>
          </cell>
        </row>
        <row r="573">
          <cell r="A573">
            <v>44010</v>
          </cell>
          <cell r="B573">
            <v>11909.16</v>
          </cell>
        </row>
        <row r="574">
          <cell r="A574">
            <v>44017</v>
          </cell>
          <cell r="B574">
            <v>12073.68</v>
          </cell>
        </row>
        <row r="575">
          <cell r="A575">
            <v>44024</v>
          </cell>
          <cell r="B575">
            <v>12181.56</v>
          </cell>
        </row>
        <row r="576">
          <cell r="A576">
            <v>44031</v>
          </cell>
          <cell r="B576">
            <v>12304.04</v>
          </cell>
        </row>
        <row r="577">
          <cell r="A577">
            <v>44038</v>
          </cell>
          <cell r="B577">
            <v>12664.8</v>
          </cell>
        </row>
        <row r="578">
          <cell r="A578">
            <v>44045</v>
          </cell>
          <cell r="B578">
            <v>12828.87</v>
          </cell>
        </row>
        <row r="579">
          <cell r="A579">
            <v>44052</v>
          </cell>
          <cell r="B579">
            <v>12795.46</v>
          </cell>
        </row>
        <row r="580">
          <cell r="A580">
            <v>44059</v>
          </cell>
          <cell r="B580">
            <v>12607.84</v>
          </cell>
        </row>
        <row r="581">
          <cell r="A581">
            <v>44066</v>
          </cell>
          <cell r="B581">
            <v>12728.85</v>
          </cell>
        </row>
        <row r="582">
          <cell r="A582">
            <v>44073</v>
          </cell>
          <cell r="B582">
            <v>12637.95</v>
          </cell>
        </row>
        <row r="583">
          <cell r="A583">
            <v>44080</v>
          </cell>
          <cell r="B583">
            <v>12675.95</v>
          </cell>
        </row>
        <row r="584">
          <cell r="A584">
            <v>44087</v>
          </cell>
          <cell r="B584">
            <v>12875.62</v>
          </cell>
        </row>
        <row r="585">
          <cell r="A585">
            <v>44094</v>
          </cell>
          <cell r="B585">
            <v>12232.91</v>
          </cell>
        </row>
        <row r="586">
          <cell r="A586">
            <v>44101</v>
          </cell>
          <cell r="B586">
            <v>12515.61</v>
          </cell>
        </row>
        <row r="587">
          <cell r="A587">
            <v>44108</v>
          </cell>
          <cell r="B587">
            <v>12887.19</v>
          </cell>
        </row>
        <row r="588">
          <cell r="A588">
            <v>44115</v>
          </cell>
          <cell r="B588">
            <v>12750.37</v>
          </cell>
        </row>
        <row r="589">
          <cell r="A589">
            <v>44122</v>
          </cell>
          <cell r="B589">
            <v>12898.82</v>
          </cell>
        </row>
        <row r="590">
          <cell r="A590">
            <v>44129</v>
          </cell>
          <cell r="B590">
            <v>12546.34</v>
          </cell>
        </row>
        <row r="591">
          <cell r="A591">
            <v>44136</v>
          </cell>
          <cell r="B591">
            <v>12973.53</v>
          </cell>
        </row>
        <row r="592">
          <cell r="A592">
            <v>44143</v>
          </cell>
          <cell r="B592">
            <v>13273.33</v>
          </cell>
        </row>
        <row r="593">
          <cell r="A593">
            <v>44150</v>
          </cell>
          <cell r="B593">
            <v>13716.44</v>
          </cell>
        </row>
        <row r="594">
          <cell r="A594">
            <v>44157</v>
          </cell>
          <cell r="B594">
            <v>13867.09</v>
          </cell>
        </row>
        <row r="595">
          <cell r="A595">
            <v>44164</v>
          </cell>
          <cell r="B595">
            <v>14132.44</v>
          </cell>
        </row>
        <row r="596">
          <cell r="A596">
            <v>44171</v>
          </cell>
          <cell r="B596">
            <v>14261.69</v>
          </cell>
        </row>
        <row r="597">
          <cell r="A597">
            <v>44178</v>
          </cell>
          <cell r="B597">
            <v>14249.96</v>
          </cell>
        </row>
        <row r="598">
          <cell r="A598">
            <v>44185</v>
          </cell>
          <cell r="B598">
            <v>14331.42</v>
          </cell>
        </row>
        <row r="599">
          <cell r="A599">
            <v>44192</v>
          </cell>
          <cell r="B599">
            <v>14732.53</v>
          </cell>
        </row>
        <row r="600">
          <cell r="A600">
            <v>44199</v>
          </cell>
          <cell r="B600">
            <v>15463.95</v>
          </cell>
        </row>
        <row r="601">
          <cell r="A601">
            <v>44206</v>
          </cell>
          <cell r="B601">
            <v>15616.39</v>
          </cell>
        </row>
        <row r="602">
          <cell r="A602">
            <v>44213</v>
          </cell>
          <cell r="B602">
            <v>16019.03</v>
          </cell>
        </row>
        <row r="603">
          <cell r="A603">
            <v>44220</v>
          </cell>
          <cell r="B603">
            <v>15138.31</v>
          </cell>
        </row>
        <row r="604">
          <cell r="A604">
            <v>44227</v>
          </cell>
          <cell r="B604">
            <v>15802.4</v>
          </cell>
        </row>
        <row r="605">
          <cell r="A605">
            <v>44241</v>
          </cell>
          <cell r="B605">
            <v>16341.38</v>
          </cell>
        </row>
        <row r="606">
          <cell r="A606">
            <v>44248</v>
          </cell>
          <cell r="B606">
            <v>15953.8</v>
          </cell>
        </row>
        <row r="607">
          <cell r="A607">
            <v>44255</v>
          </cell>
          <cell r="B607">
            <v>15855.23</v>
          </cell>
        </row>
        <row r="608">
          <cell r="A608">
            <v>44262</v>
          </cell>
          <cell r="B608">
            <v>16255.18</v>
          </cell>
        </row>
        <row r="609">
          <cell r="A609">
            <v>44269</v>
          </cell>
          <cell r="B609">
            <v>16070.24</v>
          </cell>
        </row>
        <row r="610">
          <cell r="A610">
            <v>44276</v>
          </cell>
          <cell r="B610">
            <v>16305.88</v>
          </cell>
        </row>
        <row r="611">
          <cell r="A611">
            <v>44283</v>
          </cell>
          <cell r="B611">
            <v>16571.28</v>
          </cell>
        </row>
        <row r="612">
          <cell r="A612">
            <v>44290</v>
          </cell>
          <cell r="B612">
            <v>16854.099999999999</v>
          </cell>
        </row>
        <row r="613">
          <cell r="A613">
            <v>44297</v>
          </cell>
          <cell r="B613">
            <v>17158.810000000001</v>
          </cell>
        </row>
        <row r="614">
          <cell r="A614">
            <v>44304</v>
          </cell>
          <cell r="B614">
            <v>17300.27</v>
          </cell>
        </row>
        <row r="615">
          <cell r="A615">
            <v>44311</v>
          </cell>
          <cell r="B615">
            <v>17566.66</v>
          </cell>
        </row>
        <row r="616">
          <cell r="A616">
            <v>44318</v>
          </cell>
          <cell r="B616">
            <v>17285</v>
          </cell>
        </row>
        <row r="617">
          <cell r="A617">
            <v>44325</v>
          </cell>
          <cell r="B617">
            <v>15827.09</v>
          </cell>
        </row>
        <row r="618">
          <cell r="A618">
            <v>44332</v>
          </cell>
          <cell r="B618">
            <v>16302.06</v>
          </cell>
        </row>
        <row r="619">
          <cell r="A619">
            <v>44339</v>
          </cell>
          <cell r="B619">
            <v>16870.86</v>
          </cell>
        </row>
        <row r="620">
          <cell r="A620">
            <v>44346</v>
          </cell>
          <cell r="B620">
            <v>17147.41</v>
          </cell>
        </row>
        <row r="621">
          <cell r="A621">
            <v>44353</v>
          </cell>
          <cell r="B621">
            <v>17213.52</v>
          </cell>
        </row>
        <row r="622">
          <cell r="A622">
            <v>44360</v>
          </cell>
          <cell r="B622">
            <v>17318.54</v>
          </cell>
        </row>
        <row r="623">
          <cell r="A623">
            <v>44367</v>
          </cell>
          <cell r="B623">
            <v>17502.990000000002</v>
          </cell>
        </row>
        <row r="624">
          <cell r="A624">
            <v>44374</v>
          </cell>
          <cell r="B624">
            <v>17710.150000000001</v>
          </cell>
        </row>
        <row r="625">
          <cell r="A625">
            <v>44381</v>
          </cell>
          <cell r="B625">
            <v>17661.48</v>
          </cell>
        </row>
        <row r="626">
          <cell r="A626">
            <v>44388</v>
          </cell>
          <cell r="B626">
            <v>17895.25</v>
          </cell>
        </row>
        <row r="627">
          <cell r="A627">
            <v>44395</v>
          </cell>
          <cell r="B627">
            <v>17572.919999999998</v>
          </cell>
        </row>
        <row r="628">
          <cell r="A628">
            <v>44402</v>
          </cell>
          <cell r="B628">
            <v>17247.41</v>
          </cell>
        </row>
        <row r="629">
          <cell r="A629">
            <v>44409</v>
          </cell>
          <cell r="B629">
            <v>17526.28</v>
          </cell>
        </row>
        <row r="630">
          <cell r="A630">
            <v>44416</v>
          </cell>
          <cell r="B630">
            <v>16982.11</v>
          </cell>
        </row>
        <row r="631">
          <cell r="A631">
            <v>44423</v>
          </cell>
          <cell r="B631">
            <v>16341.94</v>
          </cell>
        </row>
        <row r="632">
          <cell r="A632">
            <v>44430</v>
          </cell>
          <cell r="B632">
            <v>17209.93</v>
          </cell>
        </row>
        <row r="633">
          <cell r="A633">
            <v>44437</v>
          </cell>
          <cell r="B633">
            <v>17516.919999999998</v>
          </cell>
        </row>
        <row r="634">
          <cell r="A634">
            <v>44444</v>
          </cell>
          <cell r="B634">
            <v>17474.57</v>
          </cell>
        </row>
        <row r="635">
          <cell r="A635">
            <v>44451</v>
          </cell>
          <cell r="B635">
            <v>17276.79</v>
          </cell>
        </row>
        <row r="636">
          <cell r="A636">
            <v>44458</v>
          </cell>
          <cell r="B636">
            <v>17260.189999999999</v>
          </cell>
        </row>
        <row r="637">
          <cell r="A637">
            <v>44465</v>
          </cell>
          <cell r="B637">
            <v>16570.89</v>
          </cell>
        </row>
        <row r="638">
          <cell r="A638">
            <v>44472</v>
          </cell>
          <cell r="B638">
            <v>16640.43</v>
          </cell>
        </row>
        <row r="639">
          <cell r="A639">
            <v>44479</v>
          </cell>
          <cell r="B639">
            <v>16781.189999999999</v>
          </cell>
        </row>
        <row r="640">
          <cell r="A640">
            <v>44486</v>
          </cell>
          <cell r="B640">
            <v>16888.740000000002</v>
          </cell>
        </row>
        <row r="641">
          <cell r="A641">
            <v>44493</v>
          </cell>
          <cell r="B641">
            <v>16987.41</v>
          </cell>
        </row>
        <row r="642">
          <cell r="A642">
            <v>44500</v>
          </cell>
          <cell r="B642">
            <v>17296.900000000001</v>
          </cell>
        </row>
        <row r="643">
          <cell r="A643">
            <v>44507</v>
          </cell>
          <cell r="B643">
            <v>17518.13</v>
          </cell>
        </row>
        <row r="644">
          <cell r="A644">
            <v>44514</v>
          </cell>
          <cell r="B644">
            <v>17818.310000000001</v>
          </cell>
        </row>
        <row r="645">
          <cell r="A645">
            <v>44521</v>
          </cell>
          <cell r="B645">
            <v>17369.39</v>
          </cell>
        </row>
        <row r="646">
          <cell r="A646">
            <v>44528</v>
          </cell>
          <cell r="B646">
            <v>17697.14</v>
          </cell>
        </row>
        <row r="647">
          <cell r="A647">
            <v>44535</v>
          </cell>
          <cell r="B647">
            <v>17826.259999999998</v>
          </cell>
        </row>
        <row r="648">
          <cell r="A648">
            <v>44542</v>
          </cell>
          <cell r="B648">
            <v>17812.59</v>
          </cell>
        </row>
        <row r="649">
          <cell r="A649">
            <v>44549</v>
          </cell>
          <cell r="B649">
            <v>17961.64</v>
          </cell>
        </row>
        <row r="650">
          <cell r="A650">
            <v>44556</v>
          </cell>
          <cell r="B650">
            <v>18218.84</v>
          </cell>
        </row>
        <row r="651">
          <cell r="A651">
            <v>44563</v>
          </cell>
          <cell r="B651">
            <v>18169.759999999998</v>
          </cell>
        </row>
        <row r="652">
          <cell r="A652">
            <v>44570</v>
          </cell>
          <cell r="B652">
            <v>18403.330000000002</v>
          </cell>
        </row>
        <row r="653">
          <cell r="A653">
            <v>44577</v>
          </cell>
          <cell r="B653">
            <v>17899.3</v>
          </cell>
        </row>
        <row r="654">
          <cell r="A654">
            <v>44584</v>
          </cell>
          <cell r="B654">
            <v>17674.400000000001</v>
          </cell>
        </row>
        <row r="655">
          <cell r="A655">
            <v>44598</v>
          </cell>
          <cell r="B655">
            <v>18310.939999999999</v>
          </cell>
        </row>
        <row r="656">
          <cell r="A656">
            <v>44605</v>
          </cell>
          <cell r="B656">
            <v>18232.349999999999</v>
          </cell>
        </row>
        <row r="657">
          <cell r="A657">
            <v>44612</v>
          </cell>
          <cell r="B657">
            <v>17652.18</v>
          </cell>
        </row>
        <row r="658">
          <cell r="A658">
            <v>44619</v>
          </cell>
          <cell r="B658">
            <v>17736.52</v>
          </cell>
        </row>
        <row r="659">
          <cell r="A659">
            <v>44626</v>
          </cell>
          <cell r="B659">
            <v>17264.740000000002</v>
          </cell>
        </row>
        <row r="660">
          <cell r="A660">
            <v>44633</v>
          </cell>
          <cell r="B660">
            <v>17456.52</v>
          </cell>
        </row>
        <row r="661">
          <cell r="A661">
            <v>44640</v>
          </cell>
          <cell r="B661">
            <v>17676.95</v>
          </cell>
        </row>
        <row r="662">
          <cell r="A662">
            <v>44647</v>
          </cell>
          <cell r="B662">
            <v>17625.59</v>
          </cell>
        </row>
        <row r="663">
          <cell r="A663">
            <v>44654</v>
          </cell>
          <cell r="B663">
            <v>17284.54</v>
          </cell>
        </row>
        <row r="664">
          <cell r="A664">
            <v>44661</v>
          </cell>
          <cell r="B664">
            <v>17004.18</v>
          </cell>
        </row>
        <row r="665">
          <cell r="A665">
            <v>44668</v>
          </cell>
          <cell r="B665">
            <v>17025.09</v>
          </cell>
        </row>
        <row r="666">
          <cell r="A666">
            <v>44675</v>
          </cell>
          <cell r="B666">
            <v>16592.18</v>
          </cell>
        </row>
        <row r="667">
          <cell r="A667">
            <v>44682</v>
          </cell>
          <cell r="B667">
            <v>16408.2</v>
          </cell>
        </row>
        <row r="668">
          <cell r="A668">
            <v>44689</v>
          </cell>
          <cell r="B668">
            <v>15832.54</v>
          </cell>
        </row>
        <row r="669">
          <cell r="A669">
            <v>44696</v>
          </cell>
          <cell r="B669">
            <v>16144.85</v>
          </cell>
        </row>
        <row r="670">
          <cell r="A670">
            <v>44703</v>
          </cell>
          <cell r="B670">
            <v>16266.22</v>
          </cell>
        </row>
        <row r="671">
          <cell r="A671">
            <v>44710</v>
          </cell>
          <cell r="B671">
            <v>16552.57</v>
          </cell>
        </row>
        <row r="672">
          <cell r="A672">
            <v>44717</v>
          </cell>
          <cell r="B672">
            <v>16460.12</v>
          </cell>
        </row>
        <row r="673">
          <cell r="A673">
            <v>44724</v>
          </cell>
          <cell r="B673">
            <v>15641.26</v>
          </cell>
        </row>
        <row r="674">
          <cell r="A674">
            <v>44731</v>
          </cell>
          <cell r="B674">
            <v>15303.32</v>
          </cell>
        </row>
        <row r="675">
          <cell r="A675">
            <v>44738</v>
          </cell>
          <cell r="B675">
            <v>14343.08</v>
          </cell>
        </row>
        <row r="676">
          <cell r="A676">
            <v>44745</v>
          </cell>
          <cell r="B676">
            <v>14464.53</v>
          </cell>
        </row>
        <row r="677">
          <cell r="A677">
            <v>44752</v>
          </cell>
          <cell r="B677">
            <v>14550.62</v>
          </cell>
        </row>
        <row r="678">
          <cell r="A678">
            <v>44759</v>
          </cell>
          <cell r="B678">
            <v>14949.36</v>
          </cell>
        </row>
        <row r="679">
          <cell r="A679">
            <v>44766</v>
          </cell>
          <cell r="B679">
            <v>15000.07</v>
          </cell>
        </row>
        <row r="680">
          <cell r="A680">
            <v>44773</v>
          </cell>
          <cell r="B680">
            <v>15036.04</v>
          </cell>
        </row>
        <row r="681">
          <cell r="A681">
            <v>44780</v>
          </cell>
          <cell r="B681">
            <v>15288.97</v>
          </cell>
        </row>
        <row r="682">
          <cell r="A682">
            <v>44787</v>
          </cell>
          <cell r="B682">
            <v>15408.78</v>
          </cell>
        </row>
        <row r="683">
          <cell r="A683">
            <v>44794</v>
          </cell>
          <cell r="B683">
            <v>15278.44</v>
          </cell>
        </row>
        <row r="684">
          <cell r="A684">
            <v>44801</v>
          </cell>
          <cell r="B684">
            <v>14673.04</v>
          </cell>
        </row>
        <row r="685">
          <cell r="A685">
            <v>44808</v>
          </cell>
          <cell r="B685">
            <v>14583.42</v>
          </cell>
        </row>
        <row r="686">
          <cell r="A686">
            <v>44815</v>
          </cell>
          <cell r="B686">
            <v>14561.76</v>
          </cell>
        </row>
        <row r="687">
          <cell r="A687">
            <v>44822</v>
          </cell>
          <cell r="B687">
            <v>14118.38</v>
          </cell>
        </row>
        <row r="688">
          <cell r="A688">
            <v>44829</v>
          </cell>
          <cell r="B688">
            <v>13424.58</v>
          </cell>
        </row>
        <row r="689">
          <cell r="A689">
            <v>44836</v>
          </cell>
          <cell r="B689">
            <v>13702.28</v>
          </cell>
        </row>
        <row r="690">
          <cell r="A690">
            <v>44843</v>
          </cell>
          <cell r="B690">
            <v>13128.12</v>
          </cell>
        </row>
        <row r="691">
          <cell r="A691">
            <v>44850</v>
          </cell>
          <cell r="B691">
            <v>12819.2</v>
          </cell>
        </row>
        <row r="692">
          <cell r="A692">
            <v>44857</v>
          </cell>
          <cell r="B692">
            <v>12788.42</v>
          </cell>
        </row>
        <row r="693">
          <cell r="A693">
            <v>44864</v>
          </cell>
          <cell r="B693">
            <v>13026.71</v>
          </cell>
        </row>
        <row r="694">
          <cell r="A694">
            <v>44871</v>
          </cell>
          <cell r="B694">
            <v>14007.56</v>
          </cell>
        </row>
        <row r="695">
          <cell r="A695">
            <v>44878</v>
          </cell>
          <cell r="B695">
            <v>14504.99</v>
          </cell>
        </row>
        <row r="696">
          <cell r="A696">
            <v>44885</v>
          </cell>
          <cell r="B696">
            <v>14778.51</v>
          </cell>
        </row>
        <row r="697">
          <cell r="A697">
            <v>44892</v>
          </cell>
          <cell r="B697">
            <v>14970.68</v>
          </cell>
        </row>
        <row r="698">
          <cell r="A698">
            <v>44899</v>
          </cell>
          <cell r="B698">
            <v>14705.43</v>
          </cell>
        </row>
        <row r="699">
          <cell r="A699">
            <v>44906</v>
          </cell>
          <cell r="B699">
            <v>14528.55</v>
          </cell>
        </row>
        <row r="700">
          <cell r="A700">
            <v>44913</v>
          </cell>
          <cell r="B700">
            <v>14271.63</v>
          </cell>
        </row>
        <row r="701">
          <cell r="A701">
            <v>44920</v>
          </cell>
          <cell r="B701">
            <v>14137.69</v>
          </cell>
        </row>
        <row r="702">
          <cell r="A702">
            <v>44927</v>
          </cell>
          <cell r="B702">
            <v>14373.34</v>
          </cell>
        </row>
        <row r="703">
          <cell r="A703">
            <v>44934</v>
          </cell>
          <cell r="B703">
            <v>14824.13</v>
          </cell>
        </row>
        <row r="704">
          <cell r="A704">
            <v>44941</v>
          </cell>
          <cell r="B704">
            <v>14932.93</v>
          </cell>
        </row>
        <row r="705">
          <cell r="A705">
            <v>44955</v>
          </cell>
          <cell r="B705">
            <v>15602.66</v>
          </cell>
        </row>
        <row r="706">
          <cell r="A706">
            <v>44962</v>
          </cell>
          <cell r="B706">
            <v>15586.65</v>
          </cell>
        </row>
        <row r="707">
          <cell r="A707">
            <v>44969</v>
          </cell>
          <cell r="B707">
            <v>15479.7</v>
          </cell>
        </row>
        <row r="708">
          <cell r="A708">
            <v>44976</v>
          </cell>
          <cell r="B708">
            <v>15503.79</v>
          </cell>
        </row>
        <row r="709">
          <cell r="A709">
            <v>44983</v>
          </cell>
          <cell r="B709">
            <v>15608.42</v>
          </cell>
        </row>
        <row r="710">
          <cell r="A710">
            <v>44990</v>
          </cell>
          <cell r="B710">
            <v>15526.2</v>
          </cell>
        </row>
        <row r="711">
          <cell r="A711">
            <v>44997</v>
          </cell>
          <cell r="B711">
            <v>15452.96</v>
          </cell>
        </row>
        <row r="712">
          <cell r="A712">
            <v>45004</v>
          </cell>
          <cell r="B712">
            <v>15914.7</v>
          </cell>
        </row>
        <row r="713">
          <cell r="A713">
            <v>45011</v>
          </cell>
          <cell r="B713">
            <v>15868.06</v>
          </cell>
        </row>
        <row r="714">
          <cell r="A714">
            <v>45018</v>
          </cell>
          <cell r="B714">
            <v>15836.5</v>
          </cell>
        </row>
        <row r="715">
          <cell r="A715">
            <v>45025</v>
          </cell>
          <cell r="B715">
            <v>15929.43</v>
          </cell>
        </row>
        <row r="716">
          <cell r="A716">
            <v>45032</v>
          </cell>
          <cell r="B716">
            <v>15602.99</v>
          </cell>
        </row>
        <row r="717">
          <cell r="A717">
            <v>45039</v>
          </cell>
          <cell r="B717">
            <v>15579.18</v>
          </cell>
        </row>
        <row r="718">
          <cell r="A718">
            <v>45046</v>
          </cell>
          <cell r="B718">
            <v>15626.07</v>
          </cell>
        </row>
        <row r="719">
          <cell r="A719">
            <v>45053</v>
          </cell>
          <cell r="B719">
            <v>15502.36</v>
          </cell>
        </row>
        <row r="720">
          <cell r="A720">
            <v>45060</v>
          </cell>
          <cell r="B720">
            <v>16174.92</v>
          </cell>
        </row>
        <row r="721">
          <cell r="A721">
            <v>45067</v>
          </cell>
          <cell r="B721">
            <v>16505.05</v>
          </cell>
        </row>
        <row r="722">
          <cell r="A722">
            <v>45074</v>
          </cell>
          <cell r="B722">
            <v>16706.91</v>
          </cell>
        </row>
        <row r="723">
          <cell r="A723">
            <v>45081</v>
          </cell>
          <cell r="B723">
            <v>16886.400000000001</v>
          </cell>
        </row>
        <row r="724">
          <cell r="A724">
            <v>45088</v>
          </cell>
          <cell r="B724">
            <v>17288.91</v>
          </cell>
        </row>
        <row r="725">
          <cell r="A725">
            <v>45095</v>
          </cell>
          <cell r="B725">
            <v>17202.400000000001</v>
          </cell>
        </row>
        <row r="726">
          <cell r="A726">
            <v>45102</v>
          </cell>
          <cell r="B726">
            <v>16915.54</v>
          </cell>
        </row>
        <row r="727">
          <cell r="A727">
            <v>45109</v>
          </cell>
          <cell r="B727">
            <v>16762.169999999998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越南VN30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476.81</v>
          </cell>
        </row>
        <row r="3">
          <cell r="A3">
            <v>39971</v>
          </cell>
          <cell r="B3">
            <v>497.75</v>
          </cell>
        </row>
        <row r="4">
          <cell r="A4">
            <v>39978</v>
          </cell>
          <cell r="B4">
            <v>461.26</v>
          </cell>
        </row>
        <row r="5">
          <cell r="A5">
            <v>39985</v>
          </cell>
          <cell r="B5">
            <v>450.23</v>
          </cell>
        </row>
        <row r="6">
          <cell r="A6">
            <v>39992</v>
          </cell>
          <cell r="B6">
            <v>426.82</v>
          </cell>
        </row>
        <row r="7">
          <cell r="A7">
            <v>39999</v>
          </cell>
          <cell r="B7">
            <v>435.1</v>
          </cell>
        </row>
        <row r="8">
          <cell r="A8">
            <v>40006</v>
          </cell>
          <cell r="B8">
            <v>431.31</v>
          </cell>
        </row>
        <row r="9">
          <cell r="A9">
            <v>40013</v>
          </cell>
          <cell r="B9">
            <v>459.03</v>
          </cell>
        </row>
        <row r="10">
          <cell r="A10">
            <v>40020</v>
          </cell>
          <cell r="B10">
            <v>476.66</v>
          </cell>
        </row>
        <row r="11">
          <cell r="A11">
            <v>40027</v>
          </cell>
          <cell r="B11">
            <v>493.91</v>
          </cell>
        </row>
        <row r="12">
          <cell r="A12">
            <v>40034</v>
          </cell>
          <cell r="B12">
            <v>521.04</v>
          </cell>
        </row>
        <row r="13">
          <cell r="A13">
            <v>40041</v>
          </cell>
          <cell r="B13">
            <v>534</v>
          </cell>
        </row>
        <row r="14">
          <cell r="A14">
            <v>40048</v>
          </cell>
          <cell r="B14">
            <v>548</v>
          </cell>
        </row>
        <row r="15">
          <cell r="A15">
            <v>40055</v>
          </cell>
          <cell r="B15">
            <v>541.19000000000005</v>
          </cell>
        </row>
        <row r="16">
          <cell r="A16">
            <v>40062</v>
          </cell>
          <cell r="B16">
            <v>567.22</v>
          </cell>
        </row>
        <row r="17">
          <cell r="A17">
            <v>40069</v>
          </cell>
          <cell r="B17">
            <v>587.13</v>
          </cell>
        </row>
        <row r="18">
          <cell r="A18">
            <v>40076</v>
          </cell>
          <cell r="B18">
            <v>597.55999999999995</v>
          </cell>
        </row>
        <row r="19">
          <cell r="A19">
            <v>40083</v>
          </cell>
          <cell r="B19">
            <v>564.25</v>
          </cell>
        </row>
        <row r="20">
          <cell r="A20">
            <v>40090</v>
          </cell>
          <cell r="B20">
            <v>593.35</v>
          </cell>
        </row>
        <row r="21">
          <cell r="A21">
            <v>40097</v>
          </cell>
          <cell r="B21">
            <v>619.37</v>
          </cell>
        </row>
        <row r="22">
          <cell r="A22">
            <v>40104</v>
          </cell>
          <cell r="B22">
            <v>626.78</v>
          </cell>
        </row>
        <row r="23">
          <cell r="A23">
            <v>40111</v>
          </cell>
          <cell r="B23">
            <v>606.30999999999995</v>
          </cell>
        </row>
        <row r="24">
          <cell r="A24">
            <v>40118</v>
          </cell>
          <cell r="B24">
            <v>573.79</v>
          </cell>
        </row>
        <row r="25">
          <cell r="A25">
            <v>40125</v>
          </cell>
          <cell r="B25">
            <v>576.70000000000005</v>
          </cell>
        </row>
        <row r="26">
          <cell r="A26">
            <v>40132</v>
          </cell>
          <cell r="B26">
            <v>592.36</v>
          </cell>
        </row>
        <row r="27">
          <cell r="A27">
            <v>40139</v>
          </cell>
          <cell r="B27">
            <v>526.21</v>
          </cell>
        </row>
        <row r="28">
          <cell r="A28">
            <v>40146</v>
          </cell>
          <cell r="B28">
            <v>531.53</v>
          </cell>
        </row>
        <row r="29">
          <cell r="A29">
            <v>40153</v>
          </cell>
          <cell r="B29">
            <v>479.32</v>
          </cell>
        </row>
        <row r="30">
          <cell r="A30">
            <v>40160</v>
          </cell>
          <cell r="B30">
            <v>460.26</v>
          </cell>
        </row>
        <row r="31">
          <cell r="A31">
            <v>40167</v>
          </cell>
          <cell r="B31">
            <v>527.54</v>
          </cell>
        </row>
        <row r="32">
          <cell r="A32">
            <v>40174</v>
          </cell>
          <cell r="B32">
            <v>525.97</v>
          </cell>
        </row>
        <row r="33">
          <cell r="A33">
            <v>40181</v>
          </cell>
          <cell r="B33">
            <v>547.5</v>
          </cell>
        </row>
        <row r="34">
          <cell r="A34">
            <v>40188</v>
          </cell>
          <cell r="B34">
            <v>528.89</v>
          </cell>
        </row>
        <row r="35">
          <cell r="A35">
            <v>40195</v>
          </cell>
          <cell r="B35">
            <v>503.64</v>
          </cell>
        </row>
        <row r="36">
          <cell r="A36">
            <v>40202</v>
          </cell>
          <cell r="B36">
            <v>504.97</v>
          </cell>
        </row>
        <row r="37">
          <cell r="A37">
            <v>40209</v>
          </cell>
          <cell r="B37">
            <v>521.39</v>
          </cell>
        </row>
        <row r="38">
          <cell r="A38">
            <v>40216</v>
          </cell>
          <cell r="B38">
            <v>535.79999999999995</v>
          </cell>
        </row>
        <row r="39">
          <cell r="A39">
            <v>40230</v>
          </cell>
          <cell r="B39">
            <v>517.02</v>
          </cell>
        </row>
        <row r="40">
          <cell r="A40">
            <v>40237</v>
          </cell>
          <cell r="B40">
            <v>538.84</v>
          </cell>
        </row>
        <row r="41">
          <cell r="A41">
            <v>40244</v>
          </cell>
          <cell r="B41">
            <v>561.36</v>
          </cell>
        </row>
        <row r="42">
          <cell r="A42">
            <v>40251</v>
          </cell>
          <cell r="B42">
            <v>542.82000000000005</v>
          </cell>
        </row>
        <row r="43">
          <cell r="A43">
            <v>40258</v>
          </cell>
          <cell r="B43">
            <v>530.84</v>
          </cell>
        </row>
        <row r="44">
          <cell r="A44">
            <v>40265</v>
          </cell>
          <cell r="B44">
            <v>534.26</v>
          </cell>
        </row>
        <row r="45">
          <cell r="A45">
            <v>40272</v>
          </cell>
          <cell r="B45">
            <v>540.28</v>
          </cell>
        </row>
        <row r="46">
          <cell r="A46">
            <v>40279</v>
          </cell>
          <cell r="B46">
            <v>541.88</v>
          </cell>
        </row>
        <row r="47">
          <cell r="A47">
            <v>40286</v>
          </cell>
          <cell r="B47">
            <v>551.44000000000005</v>
          </cell>
        </row>
        <row r="48">
          <cell r="A48">
            <v>40293</v>
          </cell>
          <cell r="B48">
            <v>560.62</v>
          </cell>
        </row>
        <row r="49">
          <cell r="A49">
            <v>40300</v>
          </cell>
          <cell r="B49">
            <v>555.20000000000005</v>
          </cell>
        </row>
        <row r="50">
          <cell r="A50">
            <v>40307</v>
          </cell>
          <cell r="B50">
            <v>537.83000000000004</v>
          </cell>
        </row>
        <row r="51">
          <cell r="A51">
            <v>40314</v>
          </cell>
          <cell r="B51">
            <v>496.24</v>
          </cell>
        </row>
        <row r="52">
          <cell r="A52">
            <v>40321</v>
          </cell>
          <cell r="B52">
            <v>527.32000000000005</v>
          </cell>
        </row>
        <row r="53">
          <cell r="A53">
            <v>40328</v>
          </cell>
          <cell r="B53">
            <v>523.78</v>
          </cell>
        </row>
        <row r="54">
          <cell r="A54">
            <v>40335</v>
          </cell>
          <cell r="B54">
            <v>519.51</v>
          </cell>
        </row>
        <row r="55">
          <cell r="A55">
            <v>40342</v>
          </cell>
          <cell r="B55">
            <v>526.57000000000005</v>
          </cell>
        </row>
        <row r="56">
          <cell r="A56">
            <v>40349</v>
          </cell>
          <cell r="B56">
            <v>519.79999999999995</v>
          </cell>
        </row>
        <row r="57">
          <cell r="A57">
            <v>40356</v>
          </cell>
          <cell r="B57">
            <v>519.6</v>
          </cell>
        </row>
        <row r="58">
          <cell r="A58">
            <v>40363</v>
          </cell>
          <cell r="B58">
            <v>514.84</v>
          </cell>
        </row>
        <row r="59">
          <cell r="A59">
            <v>40370</v>
          </cell>
          <cell r="B59">
            <v>521.45000000000005</v>
          </cell>
        </row>
        <row r="60">
          <cell r="A60">
            <v>40377</v>
          </cell>
          <cell r="B60">
            <v>515.39</v>
          </cell>
        </row>
        <row r="61">
          <cell r="A61">
            <v>40384</v>
          </cell>
          <cell r="B61">
            <v>512.21</v>
          </cell>
        </row>
        <row r="62">
          <cell r="A62">
            <v>40391</v>
          </cell>
          <cell r="B62">
            <v>501.78</v>
          </cell>
        </row>
        <row r="63">
          <cell r="A63">
            <v>40398</v>
          </cell>
          <cell r="B63">
            <v>469.15</v>
          </cell>
        </row>
        <row r="64">
          <cell r="A64">
            <v>40405</v>
          </cell>
          <cell r="B64">
            <v>472.26</v>
          </cell>
        </row>
        <row r="65">
          <cell r="A65">
            <v>40412</v>
          </cell>
          <cell r="B65">
            <v>450.41</v>
          </cell>
        </row>
        <row r="66">
          <cell r="A66">
            <v>40419</v>
          </cell>
          <cell r="B66">
            <v>481.65</v>
          </cell>
        </row>
        <row r="67">
          <cell r="A67">
            <v>40426</v>
          </cell>
          <cell r="B67">
            <v>470.51</v>
          </cell>
        </row>
        <row r="68">
          <cell r="A68">
            <v>40433</v>
          </cell>
          <cell r="B68">
            <v>476.11</v>
          </cell>
        </row>
        <row r="69">
          <cell r="A69">
            <v>40440</v>
          </cell>
          <cell r="B69">
            <v>467.58</v>
          </cell>
        </row>
        <row r="70">
          <cell r="A70">
            <v>40447</v>
          </cell>
          <cell r="B70">
            <v>471.35</v>
          </cell>
        </row>
        <row r="71">
          <cell r="A71">
            <v>40454</v>
          </cell>
          <cell r="B71">
            <v>481.98</v>
          </cell>
        </row>
        <row r="72">
          <cell r="A72">
            <v>40461</v>
          </cell>
          <cell r="B72">
            <v>477.89</v>
          </cell>
        </row>
        <row r="73">
          <cell r="A73">
            <v>40468</v>
          </cell>
          <cell r="B73">
            <v>465.45</v>
          </cell>
        </row>
        <row r="74">
          <cell r="A74">
            <v>40475</v>
          </cell>
          <cell r="B74">
            <v>476.56</v>
          </cell>
        </row>
        <row r="75">
          <cell r="A75">
            <v>40482</v>
          </cell>
          <cell r="B75">
            <v>481.46</v>
          </cell>
        </row>
        <row r="76">
          <cell r="A76">
            <v>40489</v>
          </cell>
          <cell r="B76">
            <v>462.24</v>
          </cell>
        </row>
        <row r="77">
          <cell r="A77">
            <v>40496</v>
          </cell>
          <cell r="B77">
            <v>445.73</v>
          </cell>
        </row>
        <row r="78">
          <cell r="A78">
            <v>40503</v>
          </cell>
          <cell r="B78">
            <v>459.11</v>
          </cell>
        </row>
        <row r="79">
          <cell r="A79">
            <v>40510</v>
          </cell>
          <cell r="B79">
            <v>487.18</v>
          </cell>
        </row>
        <row r="80">
          <cell r="A80">
            <v>40517</v>
          </cell>
          <cell r="B80">
            <v>501.99</v>
          </cell>
        </row>
        <row r="81">
          <cell r="A81">
            <v>40524</v>
          </cell>
          <cell r="B81">
            <v>524.03</v>
          </cell>
        </row>
        <row r="82">
          <cell r="A82">
            <v>40531</v>
          </cell>
          <cell r="B82">
            <v>502.49</v>
          </cell>
        </row>
        <row r="83">
          <cell r="A83">
            <v>40538</v>
          </cell>
          <cell r="B83">
            <v>513.6</v>
          </cell>
        </row>
        <row r="84">
          <cell r="A84">
            <v>40545</v>
          </cell>
          <cell r="B84">
            <v>504.18</v>
          </cell>
        </row>
        <row r="85">
          <cell r="A85">
            <v>40552</v>
          </cell>
          <cell r="B85">
            <v>509.86</v>
          </cell>
        </row>
        <row r="86">
          <cell r="A86">
            <v>40559</v>
          </cell>
          <cell r="B86">
            <v>528.36</v>
          </cell>
        </row>
        <row r="87">
          <cell r="A87">
            <v>40566</v>
          </cell>
          <cell r="B87">
            <v>531.47</v>
          </cell>
        </row>
        <row r="88">
          <cell r="A88">
            <v>40580</v>
          </cell>
          <cell r="B88">
            <v>540.13</v>
          </cell>
        </row>
        <row r="89">
          <cell r="A89">
            <v>40587</v>
          </cell>
          <cell r="B89">
            <v>518.86</v>
          </cell>
        </row>
        <row r="90">
          <cell r="A90">
            <v>40594</v>
          </cell>
          <cell r="B90">
            <v>490.71</v>
          </cell>
        </row>
        <row r="91">
          <cell r="A91">
            <v>40601</v>
          </cell>
          <cell r="B91">
            <v>477.72</v>
          </cell>
        </row>
        <row r="92">
          <cell r="A92">
            <v>40608</v>
          </cell>
          <cell r="B92">
            <v>510.74</v>
          </cell>
        </row>
        <row r="93">
          <cell r="A93">
            <v>40615</v>
          </cell>
          <cell r="B93">
            <v>491.61</v>
          </cell>
        </row>
        <row r="94">
          <cell r="A94">
            <v>40622</v>
          </cell>
          <cell r="B94">
            <v>488.07</v>
          </cell>
        </row>
        <row r="95">
          <cell r="A95">
            <v>40629</v>
          </cell>
          <cell r="B95">
            <v>487.57</v>
          </cell>
        </row>
        <row r="96">
          <cell r="A96">
            <v>40636</v>
          </cell>
          <cell r="B96">
            <v>498.28</v>
          </cell>
        </row>
        <row r="97">
          <cell r="A97">
            <v>40643</v>
          </cell>
          <cell r="B97">
            <v>488.92</v>
          </cell>
        </row>
        <row r="98">
          <cell r="A98">
            <v>40650</v>
          </cell>
          <cell r="B98">
            <v>476.75</v>
          </cell>
        </row>
        <row r="99">
          <cell r="A99">
            <v>40657</v>
          </cell>
          <cell r="B99">
            <v>487.92</v>
          </cell>
        </row>
        <row r="100">
          <cell r="A100">
            <v>40664</v>
          </cell>
          <cell r="B100">
            <v>487.16</v>
          </cell>
        </row>
        <row r="101">
          <cell r="A101">
            <v>40671</v>
          </cell>
          <cell r="B101">
            <v>488.75</v>
          </cell>
        </row>
        <row r="102">
          <cell r="A102">
            <v>40678</v>
          </cell>
          <cell r="B102">
            <v>452.52</v>
          </cell>
        </row>
        <row r="103">
          <cell r="A103">
            <v>40685</v>
          </cell>
          <cell r="B103">
            <v>428.45</v>
          </cell>
        </row>
        <row r="104">
          <cell r="A104">
            <v>40692</v>
          </cell>
          <cell r="B104">
            <v>458.32</v>
          </cell>
        </row>
        <row r="105">
          <cell r="A105">
            <v>40699</v>
          </cell>
          <cell r="B105">
            <v>460.24</v>
          </cell>
        </row>
        <row r="106">
          <cell r="A106">
            <v>40706</v>
          </cell>
          <cell r="B106">
            <v>460.9</v>
          </cell>
        </row>
        <row r="107">
          <cell r="A107">
            <v>40713</v>
          </cell>
          <cell r="B107">
            <v>457.45</v>
          </cell>
        </row>
        <row r="108">
          <cell r="A108">
            <v>40720</v>
          </cell>
          <cell r="B108">
            <v>448.52</v>
          </cell>
        </row>
        <row r="109">
          <cell r="A109">
            <v>40727</v>
          </cell>
          <cell r="B109">
            <v>456.03</v>
          </cell>
        </row>
        <row r="110">
          <cell r="A110">
            <v>40734</v>
          </cell>
          <cell r="B110">
            <v>441.56</v>
          </cell>
        </row>
        <row r="111">
          <cell r="A111">
            <v>40741</v>
          </cell>
          <cell r="B111">
            <v>441.96</v>
          </cell>
        </row>
        <row r="112">
          <cell r="A112">
            <v>40748</v>
          </cell>
          <cell r="B112">
            <v>442.44</v>
          </cell>
        </row>
        <row r="113">
          <cell r="A113">
            <v>40755</v>
          </cell>
          <cell r="B113">
            <v>436.62</v>
          </cell>
        </row>
        <row r="114">
          <cell r="A114">
            <v>40762</v>
          </cell>
          <cell r="B114">
            <v>416.83</v>
          </cell>
        </row>
        <row r="115">
          <cell r="A115">
            <v>40769</v>
          </cell>
          <cell r="B115">
            <v>432.48</v>
          </cell>
        </row>
        <row r="116">
          <cell r="A116">
            <v>40776</v>
          </cell>
          <cell r="B116">
            <v>438.82</v>
          </cell>
        </row>
        <row r="117">
          <cell r="A117">
            <v>40783</v>
          </cell>
          <cell r="B117">
            <v>474.54</v>
          </cell>
        </row>
        <row r="118">
          <cell r="A118">
            <v>40790</v>
          </cell>
          <cell r="B118">
            <v>491.1</v>
          </cell>
        </row>
        <row r="119">
          <cell r="A119">
            <v>40797</v>
          </cell>
          <cell r="B119">
            <v>476.16</v>
          </cell>
        </row>
        <row r="120">
          <cell r="A120">
            <v>40804</v>
          </cell>
          <cell r="B120">
            <v>469.09</v>
          </cell>
        </row>
        <row r="121">
          <cell r="A121">
            <v>40811</v>
          </cell>
          <cell r="B121">
            <v>455.97</v>
          </cell>
        </row>
        <row r="122">
          <cell r="A122">
            <v>40818</v>
          </cell>
          <cell r="B122">
            <v>446.3</v>
          </cell>
        </row>
        <row r="123">
          <cell r="A123">
            <v>40825</v>
          </cell>
          <cell r="B123">
            <v>440.96</v>
          </cell>
        </row>
        <row r="124">
          <cell r="A124">
            <v>40832</v>
          </cell>
          <cell r="B124">
            <v>434.01</v>
          </cell>
        </row>
        <row r="125">
          <cell r="A125">
            <v>40839</v>
          </cell>
          <cell r="B125">
            <v>447.44</v>
          </cell>
        </row>
        <row r="126">
          <cell r="A126">
            <v>40846</v>
          </cell>
          <cell r="B126">
            <v>436.72</v>
          </cell>
        </row>
        <row r="127">
          <cell r="A127">
            <v>40853</v>
          </cell>
          <cell r="B127">
            <v>422.14</v>
          </cell>
        </row>
        <row r="128">
          <cell r="A128">
            <v>40860</v>
          </cell>
          <cell r="B128">
            <v>409.41</v>
          </cell>
        </row>
        <row r="129">
          <cell r="A129">
            <v>40867</v>
          </cell>
          <cell r="B129">
            <v>413.14</v>
          </cell>
        </row>
        <row r="130">
          <cell r="A130">
            <v>40874</v>
          </cell>
          <cell r="B130">
            <v>411.13</v>
          </cell>
        </row>
        <row r="131">
          <cell r="A131">
            <v>40881</v>
          </cell>
          <cell r="B131">
            <v>406.03</v>
          </cell>
        </row>
        <row r="132">
          <cell r="A132">
            <v>40888</v>
          </cell>
          <cell r="B132">
            <v>398.25</v>
          </cell>
        </row>
        <row r="133">
          <cell r="A133">
            <v>40895</v>
          </cell>
          <cell r="B133">
            <v>388.63</v>
          </cell>
        </row>
        <row r="134">
          <cell r="A134">
            <v>40902</v>
          </cell>
          <cell r="B134">
            <v>388.6</v>
          </cell>
        </row>
        <row r="135">
          <cell r="A135">
            <v>40909</v>
          </cell>
          <cell r="B135">
            <v>374.02</v>
          </cell>
        </row>
        <row r="136">
          <cell r="A136">
            <v>40916</v>
          </cell>
          <cell r="B136">
            <v>394.43</v>
          </cell>
        </row>
        <row r="137">
          <cell r="A137">
            <v>40923</v>
          </cell>
          <cell r="B137">
            <v>414.34</v>
          </cell>
        </row>
        <row r="138">
          <cell r="A138">
            <v>40937</v>
          </cell>
          <cell r="B138">
            <v>449.41</v>
          </cell>
        </row>
        <row r="139">
          <cell r="A139">
            <v>40944</v>
          </cell>
          <cell r="B139">
            <v>458.23</v>
          </cell>
        </row>
        <row r="140">
          <cell r="A140">
            <v>40951</v>
          </cell>
          <cell r="B140">
            <v>451.22</v>
          </cell>
        </row>
        <row r="141">
          <cell r="A141">
            <v>40958</v>
          </cell>
          <cell r="B141">
            <v>477.77</v>
          </cell>
        </row>
        <row r="142">
          <cell r="A142">
            <v>40965</v>
          </cell>
          <cell r="B142">
            <v>503.54</v>
          </cell>
        </row>
        <row r="143">
          <cell r="A143">
            <v>40972</v>
          </cell>
          <cell r="B143">
            <v>487.03</v>
          </cell>
        </row>
        <row r="144">
          <cell r="A144">
            <v>40979</v>
          </cell>
          <cell r="B144">
            <v>496.87</v>
          </cell>
        </row>
        <row r="145">
          <cell r="A145">
            <v>40986</v>
          </cell>
          <cell r="B145">
            <v>512.84</v>
          </cell>
        </row>
        <row r="146">
          <cell r="A146">
            <v>40993</v>
          </cell>
          <cell r="B146">
            <v>500.07</v>
          </cell>
        </row>
        <row r="147">
          <cell r="A147">
            <v>41000</v>
          </cell>
          <cell r="B147">
            <v>511.51</v>
          </cell>
        </row>
        <row r="148">
          <cell r="A148">
            <v>41007</v>
          </cell>
          <cell r="B148">
            <v>532.29999999999995</v>
          </cell>
        </row>
        <row r="149">
          <cell r="A149">
            <v>41014</v>
          </cell>
          <cell r="B149">
            <v>533.74</v>
          </cell>
        </row>
        <row r="150">
          <cell r="A150">
            <v>41021</v>
          </cell>
          <cell r="B150">
            <v>541.20000000000005</v>
          </cell>
        </row>
        <row r="151">
          <cell r="A151">
            <v>41028</v>
          </cell>
          <cell r="B151">
            <v>542.5</v>
          </cell>
        </row>
        <row r="152">
          <cell r="A152">
            <v>41035</v>
          </cell>
          <cell r="B152">
            <v>547.94000000000005</v>
          </cell>
        </row>
        <row r="153">
          <cell r="A153">
            <v>41042</v>
          </cell>
          <cell r="B153">
            <v>504.61</v>
          </cell>
        </row>
        <row r="154">
          <cell r="A154">
            <v>41049</v>
          </cell>
          <cell r="B154">
            <v>514.27</v>
          </cell>
        </row>
        <row r="155">
          <cell r="A155">
            <v>41056</v>
          </cell>
          <cell r="B155">
            <v>505.65</v>
          </cell>
        </row>
        <row r="156">
          <cell r="A156">
            <v>41063</v>
          </cell>
          <cell r="B156">
            <v>508.15</v>
          </cell>
        </row>
        <row r="157">
          <cell r="A157">
            <v>41070</v>
          </cell>
          <cell r="B157">
            <v>507.94</v>
          </cell>
        </row>
        <row r="158">
          <cell r="A158">
            <v>41077</v>
          </cell>
          <cell r="B158">
            <v>500.34</v>
          </cell>
        </row>
        <row r="159">
          <cell r="A159">
            <v>41084</v>
          </cell>
          <cell r="B159">
            <v>497.73</v>
          </cell>
        </row>
        <row r="160">
          <cell r="A160">
            <v>41091</v>
          </cell>
          <cell r="B160">
            <v>490.64</v>
          </cell>
        </row>
        <row r="161">
          <cell r="A161">
            <v>41098</v>
          </cell>
          <cell r="B161">
            <v>492.36</v>
          </cell>
        </row>
        <row r="162">
          <cell r="A162">
            <v>41105</v>
          </cell>
          <cell r="B162">
            <v>497.43</v>
          </cell>
        </row>
        <row r="163">
          <cell r="A163">
            <v>41112</v>
          </cell>
          <cell r="B163">
            <v>489.61</v>
          </cell>
        </row>
        <row r="164">
          <cell r="A164">
            <v>41119</v>
          </cell>
          <cell r="B164">
            <v>497.38</v>
          </cell>
        </row>
        <row r="165">
          <cell r="A165">
            <v>41126</v>
          </cell>
          <cell r="B165">
            <v>506.6</v>
          </cell>
        </row>
        <row r="166">
          <cell r="A166">
            <v>41133</v>
          </cell>
          <cell r="B166">
            <v>515.54999999999995</v>
          </cell>
        </row>
        <row r="167">
          <cell r="A167">
            <v>41140</v>
          </cell>
          <cell r="B167">
            <v>472.75</v>
          </cell>
        </row>
        <row r="168">
          <cell r="A168">
            <v>41147</v>
          </cell>
          <cell r="B168">
            <v>465.29</v>
          </cell>
        </row>
        <row r="169">
          <cell r="A169">
            <v>41154</v>
          </cell>
          <cell r="B169">
            <v>465.94</v>
          </cell>
        </row>
        <row r="170">
          <cell r="A170">
            <v>41161</v>
          </cell>
          <cell r="B170">
            <v>463.9</v>
          </cell>
        </row>
        <row r="171">
          <cell r="A171">
            <v>41168</v>
          </cell>
          <cell r="B171">
            <v>457.53</v>
          </cell>
        </row>
        <row r="172">
          <cell r="A172">
            <v>41175</v>
          </cell>
          <cell r="B172">
            <v>456.48</v>
          </cell>
        </row>
        <row r="173">
          <cell r="A173">
            <v>41182</v>
          </cell>
          <cell r="B173">
            <v>453.2</v>
          </cell>
        </row>
        <row r="174">
          <cell r="A174">
            <v>41189</v>
          </cell>
          <cell r="B174">
            <v>460.18</v>
          </cell>
        </row>
        <row r="175">
          <cell r="A175">
            <v>41196</v>
          </cell>
          <cell r="B175">
            <v>471.26</v>
          </cell>
        </row>
        <row r="176">
          <cell r="A176">
            <v>41203</v>
          </cell>
          <cell r="B176">
            <v>462.16</v>
          </cell>
        </row>
        <row r="177">
          <cell r="A177">
            <v>41210</v>
          </cell>
          <cell r="B177">
            <v>441.9</v>
          </cell>
        </row>
        <row r="178">
          <cell r="A178">
            <v>41217</v>
          </cell>
          <cell r="B178">
            <v>457.23</v>
          </cell>
        </row>
        <row r="179">
          <cell r="A179">
            <v>41224</v>
          </cell>
          <cell r="B179">
            <v>455.67</v>
          </cell>
        </row>
        <row r="180">
          <cell r="A180">
            <v>41231</v>
          </cell>
          <cell r="B180">
            <v>449.73</v>
          </cell>
        </row>
        <row r="181">
          <cell r="A181">
            <v>41238</v>
          </cell>
          <cell r="B181">
            <v>443.68</v>
          </cell>
        </row>
        <row r="182">
          <cell r="A182">
            <v>41245</v>
          </cell>
          <cell r="B182">
            <v>449.81</v>
          </cell>
        </row>
        <row r="183">
          <cell r="A183">
            <v>41252</v>
          </cell>
          <cell r="B183">
            <v>460.74</v>
          </cell>
        </row>
        <row r="184">
          <cell r="A184">
            <v>41259</v>
          </cell>
          <cell r="B184">
            <v>465.24</v>
          </cell>
        </row>
        <row r="185">
          <cell r="A185">
            <v>41266</v>
          </cell>
          <cell r="B185">
            <v>485.38</v>
          </cell>
        </row>
        <row r="186">
          <cell r="A186">
            <v>41273</v>
          </cell>
          <cell r="B186">
            <v>498.31</v>
          </cell>
        </row>
        <row r="187">
          <cell r="A187">
            <v>41280</v>
          </cell>
          <cell r="B187">
            <v>545.72</v>
          </cell>
        </row>
        <row r="188">
          <cell r="A188">
            <v>41287</v>
          </cell>
          <cell r="B188">
            <v>534.97</v>
          </cell>
        </row>
        <row r="189">
          <cell r="A189">
            <v>41294</v>
          </cell>
          <cell r="B189">
            <v>547.30999999999995</v>
          </cell>
        </row>
        <row r="190">
          <cell r="A190">
            <v>41301</v>
          </cell>
          <cell r="B190">
            <v>566.09</v>
          </cell>
        </row>
        <row r="191">
          <cell r="A191">
            <v>41308</v>
          </cell>
          <cell r="B191">
            <v>574.17999999999995</v>
          </cell>
        </row>
        <row r="192">
          <cell r="A192">
            <v>41322</v>
          </cell>
          <cell r="B192">
            <v>551.33000000000004</v>
          </cell>
        </row>
        <row r="193">
          <cell r="A193">
            <v>41329</v>
          </cell>
          <cell r="B193">
            <v>547.70000000000005</v>
          </cell>
        </row>
        <row r="194">
          <cell r="A194">
            <v>41336</v>
          </cell>
          <cell r="B194">
            <v>540.01</v>
          </cell>
        </row>
        <row r="195">
          <cell r="A195">
            <v>41343</v>
          </cell>
          <cell r="B195">
            <v>553.33000000000004</v>
          </cell>
        </row>
        <row r="196">
          <cell r="A196">
            <v>41350</v>
          </cell>
          <cell r="B196">
            <v>554.84</v>
          </cell>
        </row>
        <row r="197">
          <cell r="A197">
            <v>41357</v>
          </cell>
          <cell r="B197">
            <v>552.28</v>
          </cell>
        </row>
        <row r="198">
          <cell r="A198">
            <v>41364</v>
          </cell>
          <cell r="B198">
            <v>570.20000000000005</v>
          </cell>
        </row>
        <row r="199">
          <cell r="A199">
            <v>41371</v>
          </cell>
          <cell r="B199">
            <v>557.77</v>
          </cell>
        </row>
        <row r="200">
          <cell r="A200">
            <v>41378</v>
          </cell>
          <cell r="B200">
            <v>532.44000000000005</v>
          </cell>
        </row>
        <row r="201">
          <cell r="A201">
            <v>41385</v>
          </cell>
          <cell r="B201">
            <v>537.37</v>
          </cell>
        </row>
        <row r="202">
          <cell r="A202">
            <v>41392</v>
          </cell>
          <cell r="B202">
            <v>539.33000000000004</v>
          </cell>
        </row>
        <row r="203">
          <cell r="A203">
            <v>41399</v>
          </cell>
          <cell r="B203">
            <v>551.80999999999995</v>
          </cell>
        </row>
        <row r="204">
          <cell r="A204">
            <v>41406</v>
          </cell>
          <cell r="B204">
            <v>553.51</v>
          </cell>
        </row>
        <row r="205">
          <cell r="A205">
            <v>41413</v>
          </cell>
          <cell r="B205">
            <v>563.80999999999995</v>
          </cell>
        </row>
        <row r="206">
          <cell r="A206">
            <v>41420</v>
          </cell>
          <cell r="B206">
            <v>581.95000000000005</v>
          </cell>
        </row>
        <row r="207">
          <cell r="A207">
            <v>41427</v>
          </cell>
          <cell r="B207">
            <v>588.21</v>
          </cell>
        </row>
        <row r="208">
          <cell r="A208">
            <v>41434</v>
          </cell>
          <cell r="B208">
            <v>562.97</v>
          </cell>
        </row>
        <row r="209">
          <cell r="A209">
            <v>41441</v>
          </cell>
          <cell r="B209">
            <v>553.57000000000005</v>
          </cell>
        </row>
        <row r="210">
          <cell r="A210">
            <v>41448</v>
          </cell>
          <cell r="B210">
            <v>538.54</v>
          </cell>
        </row>
        <row r="211">
          <cell r="A211">
            <v>41455</v>
          </cell>
          <cell r="B211">
            <v>543.38</v>
          </cell>
        </row>
        <row r="212">
          <cell r="A212">
            <v>41462</v>
          </cell>
          <cell r="B212">
            <v>548.27</v>
          </cell>
        </row>
        <row r="213">
          <cell r="A213">
            <v>41469</v>
          </cell>
          <cell r="B213">
            <v>556.55999999999995</v>
          </cell>
        </row>
        <row r="214">
          <cell r="A214">
            <v>41476</v>
          </cell>
          <cell r="B214">
            <v>544.88</v>
          </cell>
        </row>
        <row r="215">
          <cell r="A215">
            <v>41483</v>
          </cell>
          <cell r="B215">
            <v>545.59</v>
          </cell>
        </row>
        <row r="216">
          <cell r="A216">
            <v>41490</v>
          </cell>
          <cell r="B216">
            <v>552.27</v>
          </cell>
        </row>
        <row r="217">
          <cell r="A217">
            <v>41497</v>
          </cell>
          <cell r="B217">
            <v>559.16</v>
          </cell>
        </row>
        <row r="218">
          <cell r="A218">
            <v>41504</v>
          </cell>
          <cell r="B218">
            <v>542.08000000000004</v>
          </cell>
        </row>
        <row r="219">
          <cell r="A219">
            <v>41511</v>
          </cell>
          <cell r="B219">
            <v>531.23</v>
          </cell>
        </row>
        <row r="220">
          <cell r="A220">
            <v>41518</v>
          </cell>
          <cell r="B220">
            <v>534.79999999999995</v>
          </cell>
        </row>
        <row r="221">
          <cell r="A221">
            <v>41525</v>
          </cell>
          <cell r="B221">
            <v>531.21</v>
          </cell>
        </row>
        <row r="222">
          <cell r="A222">
            <v>41532</v>
          </cell>
          <cell r="B222">
            <v>537.57000000000005</v>
          </cell>
        </row>
        <row r="223">
          <cell r="A223">
            <v>41539</v>
          </cell>
          <cell r="B223">
            <v>545.49</v>
          </cell>
        </row>
        <row r="224">
          <cell r="A224">
            <v>41546</v>
          </cell>
          <cell r="B224">
            <v>552.07000000000005</v>
          </cell>
        </row>
        <row r="225">
          <cell r="A225">
            <v>41553</v>
          </cell>
          <cell r="B225">
            <v>552.16</v>
          </cell>
        </row>
        <row r="226">
          <cell r="A226">
            <v>41560</v>
          </cell>
          <cell r="B226">
            <v>559.38</v>
          </cell>
        </row>
        <row r="227">
          <cell r="A227">
            <v>41567</v>
          </cell>
          <cell r="B227">
            <v>560.57000000000005</v>
          </cell>
        </row>
        <row r="228">
          <cell r="A228">
            <v>41574</v>
          </cell>
          <cell r="B228">
            <v>554.73</v>
          </cell>
        </row>
        <row r="229">
          <cell r="A229">
            <v>41581</v>
          </cell>
          <cell r="B229">
            <v>556.78</v>
          </cell>
        </row>
        <row r="230">
          <cell r="A230">
            <v>41588</v>
          </cell>
          <cell r="B230">
            <v>559.75</v>
          </cell>
        </row>
        <row r="231">
          <cell r="A231">
            <v>41595</v>
          </cell>
          <cell r="B231">
            <v>566.28</v>
          </cell>
        </row>
        <row r="232">
          <cell r="A232">
            <v>41602</v>
          </cell>
          <cell r="B232">
            <v>569.05999999999995</v>
          </cell>
        </row>
        <row r="233">
          <cell r="A233">
            <v>41609</v>
          </cell>
          <cell r="B233">
            <v>570.11</v>
          </cell>
        </row>
        <row r="234">
          <cell r="A234">
            <v>41616</v>
          </cell>
          <cell r="B234">
            <v>566.47</v>
          </cell>
        </row>
        <row r="235">
          <cell r="A235">
            <v>41623</v>
          </cell>
          <cell r="B235">
            <v>560.67999999999995</v>
          </cell>
        </row>
        <row r="236">
          <cell r="A236">
            <v>41630</v>
          </cell>
          <cell r="B236">
            <v>562.28</v>
          </cell>
        </row>
        <row r="237">
          <cell r="A237">
            <v>41637</v>
          </cell>
          <cell r="B237">
            <v>562.79999999999995</v>
          </cell>
        </row>
        <row r="238">
          <cell r="A238">
            <v>41644</v>
          </cell>
          <cell r="B238">
            <v>576.16</v>
          </cell>
        </row>
        <row r="239">
          <cell r="A239">
            <v>41651</v>
          </cell>
          <cell r="B239">
            <v>605.5</v>
          </cell>
        </row>
        <row r="240">
          <cell r="A240">
            <v>41658</v>
          </cell>
          <cell r="B240">
            <v>627.91</v>
          </cell>
        </row>
        <row r="241">
          <cell r="A241">
            <v>41665</v>
          </cell>
          <cell r="B241">
            <v>624.70000000000005</v>
          </cell>
        </row>
        <row r="242">
          <cell r="A242">
            <v>41672</v>
          </cell>
          <cell r="B242">
            <v>622.82000000000005</v>
          </cell>
        </row>
        <row r="243">
          <cell r="A243">
            <v>41679</v>
          </cell>
          <cell r="B243">
            <v>641.41</v>
          </cell>
        </row>
        <row r="244">
          <cell r="A244">
            <v>41686</v>
          </cell>
          <cell r="B244">
            <v>639.37</v>
          </cell>
        </row>
        <row r="245">
          <cell r="A245">
            <v>41693</v>
          </cell>
          <cell r="B245">
            <v>663.81</v>
          </cell>
        </row>
        <row r="246">
          <cell r="A246">
            <v>41700</v>
          </cell>
          <cell r="B246">
            <v>651.46</v>
          </cell>
        </row>
        <row r="247">
          <cell r="A247">
            <v>41707</v>
          </cell>
          <cell r="B247">
            <v>668.39</v>
          </cell>
        </row>
        <row r="248">
          <cell r="A248">
            <v>41714</v>
          </cell>
          <cell r="B248">
            <v>679.98</v>
          </cell>
        </row>
        <row r="249">
          <cell r="A249">
            <v>41721</v>
          </cell>
          <cell r="B249">
            <v>676.31</v>
          </cell>
        </row>
        <row r="250">
          <cell r="A250">
            <v>41728</v>
          </cell>
          <cell r="B250">
            <v>667.33</v>
          </cell>
        </row>
        <row r="251">
          <cell r="A251">
            <v>41735</v>
          </cell>
          <cell r="B251">
            <v>665.85</v>
          </cell>
        </row>
        <row r="252">
          <cell r="A252">
            <v>41742</v>
          </cell>
          <cell r="B252">
            <v>621.13</v>
          </cell>
        </row>
        <row r="253">
          <cell r="A253">
            <v>41749</v>
          </cell>
          <cell r="B253">
            <v>636.35</v>
          </cell>
        </row>
        <row r="254">
          <cell r="A254">
            <v>41756</v>
          </cell>
          <cell r="B254">
            <v>632.1</v>
          </cell>
        </row>
        <row r="255">
          <cell r="A255">
            <v>41763</v>
          </cell>
          <cell r="B255">
            <v>587.91</v>
          </cell>
        </row>
        <row r="256">
          <cell r="A256">
            <v>41770</v>
          </cell>
          <cell r="B256">
            <v>581.92999999999995</v>
          </cell>
        </row>
        <row r="257">
          <cell r="A257">
            <v>41777</v>
          </cell>
          <cell r="B257">
            <v>594.35</v>
          </cell>
        </row>
        <row r="258">
          <cell r="A258">
            <v>41784</v>
          </cell>
          <cell r="B258">
            <v>618</v>
          </cell>
        </row>
        <row r="259">
          <cell r="A259">
            <v>41791</v>
          </cell>
          <cell r="B259">
            <v>608.48</v>
          </cell>
        </row>
        <row r="260">
          <cell r="A260">
            <v>41798</v>
          </cell>
          <cell r="B260">
            <v>617.73</v>
          </cell>
        </row>
        <row r="261">
          <cell r="A261">
            <v>41805</v>
          </cell>
          <cell r="B261">
            <v>607.23</v>
          </cell>
        </row>
        <row r="262">
          <cell r="A262">
            <v>41812</v>
          </cell>
          <cell r="B262">
            <v>616.85</v>
          </cell>
        </row>
        <row r="263">
          <cell r="A263">
            <v>41819</v>
          </cell>
          <cell r="B263">
            <v>631.02</v>
          </cell>
        </row>
        <row r="264">
          <cell r="A264">
            <v>41826</v>
          </cell>
          <cell r="B264">
            <v>627.1</v>
          </cell>
        </row>
        <row r="265">
          <cell r="A265">
            <v>41833</v>
          </cell>
          <cell r="B265">
            <v>645.52</v>
          </cell>
        </row>
        <row r="266">
          <cell r="A266">
            <v>41840</v>
          </cell>
          <cell r="B266">
            <v>641.96</v>
          </cell>
        </row>
        <row r="267">
          <cell r="A267">
            <v>41847</v>
          </cell>
          <cell r="B267">
            <v>635.01</v>
          </cell>
        </row>
        <row r="268">
          <cell r="A268">
            <v>41854</v>
          </cell>
          <cell r="B268">
            <v>641.92999999999995</v>
          </cell>
        </row>
        <row r="269">
          <cell r="A269">
            <v>41861</v>
          </cell>
          <cell r="B269">
            <v>645.13</v>
          </cell>
        </row>
        <row r="270">
          <cell r="A270">
            <v>41868</v>
          </cell>
          <cell r="B270">
            <v>654.96</v>
          </cell>
        </row>
        <row r="271">
          <cell r="A271">
            <v>41875</v>
          </cell>
          <cell r="B271">
            <v>676.82</v>
          </cell>
        </row>
        <row r="272">
          <cell r="A272">
            <v>41882</v>
          </cell>
          <cell r="B272">
            <v>677.62</v>
          </cell>
        </row>
        <row r="273">
          <cell r="A273">
            <v>41889</v>
          </cell>
          <cell r="B273">
            <v>669.78</v>
          </cell>
        </row>
        <row r="274">
          <cell r="A274">
            <v>41896</v>
          </cell>
          <cell r="B274">
            <v>654.54</v>
          </cell>
        </row>
        <row r="275">
          <cell r="A275">
            <v>41903</v>
          </cell>
          <cell r="B275">
            <v>649.63</v>
          </cell>
        </row>
        <row r="276">
          <cell r="A276">
            <v>41910</v>
          </cell>
          <cell r="B276">
            <v>659.25</v>
          </cell>
        </row>
        <row r="277">
          <cell r="A277">
            <v>41917</v>
          </cell>
          <cell r="B277">
            <v>651.72</v>
          </cell>
        </row>
        <row r="278">
          <cell r="A278">
            <v>41924</v>
          </cell>
          <cell r="B278">
            <v>624.77</v>
          </cell>
        </row>
        <row r="279">
          <cell r="A279">
            <v>41931</v>
          </cell>
          <cell r="B279">
            <v>629.52</v>
          </cell>
        </row>
        <row r="280">
          <cell r="A280">
            <v>41938</v>
          </cell>
          <cell r="B280">
            <v>638.78</v>
          </cell>
        </row>
        <row r="281">
          <cell r="A281">
            <v>41945</v>
          </cell>
          <cell r="B281">
            <v>642.77</v>
          </cell>
        </row>
        <row r="282">
          <cell r="A282">
            <v>41952</v>
          </cell>
          <cell r="B282">
            <v>637.9</v>
          </cell>
        </row>
        <row r="283">
          <cell r="A283">
            <v>41959</v>
          </cell>
          <cell r="B283">
            <v>623.74</v>
          </cell>
        </row>
        <row r="284">
          <cell r="A284">
            <v>41966</v>
          </cell>
          <cell r="B284">
            <v>611.15</v>
          </cell>
        </row>
        <row r="285">
          <cell r="A285">
            <v>41973</v>
          </cell>
          <cell r="B285">
            <v>624.66999999999996</v>
          </cell>
        </row>
        <row r="286">
          <cell r="A286">
            <v>41980</v>
          </cell>
          <cell r="B286">
            <v>609.33000000000004</v>
          </cell>
        </row>
        <row r="287">
          <cell r="A287">
            <v>41987</v>
          </cell>
          <cell r="B287">
            <v>570.61</v>
          </cell>
        </row>
        <row r="288">
          <cell r="A288">
            <v>41994</v>
          </cell>
          <cell r="B288">
            <v>582.45000000000005</v>
          </cell>
        </row>
        <row r="289">
          <cell r="A289">
            <v>42001</v>
          </cell>
          <cell r="B289">
            <v>601.66</v>
          </cell>
        </row>
        <row r="290">
          <cell r="A290">
            <v>42008</v>
          </cell>
          <cell r="B290">
            <v>618.41</v>
          </cell>
        </row>
        <row r="291">
          <cell r="A291">
            <v>42015</v>
          </cell>
          <cell r="B291">
            <v>614.72</v>
          </cell>
        </row>
        <row r="292">
          <cell r="A292">
            <v>42022</v>
          </cell>
          <cell r="B292">
            <v>615.16</v>
          </cell>
        </row>
        <row r="293">
          <cell r="A293">
            <v>42029</v>
          </cell>
          <cell r="B293">
            <v>606.54</v>
          </cell>
        </row>
        <row r="294">
          <cell r="A294">
            <v>42036</v>
          </cell>
          <cell r="B294">
            <v>595.69000000000005</v>
          </cell>
        </row>
        <row r="295">
          <cell r="A295">
            <v>42043</v>
          </cell>
          <cell r="B295">
            <v>617.20000000000005</v>
          </cell>
        </row>
        <row r="296">
          <cell r="A296">
            <v>42050</v>
          </cell>
          <cell r="B296">
            <v>617.20000000000005</v>
          </cell>
        </row>
        <row r="297">
          <cell r="A297">
            <v>42057</v>
          </cell>
          <cell r="B297">
            <v>618.39</v>
          </cell>
        </row>
        <row r="298">
          <cell r="A298">
            <v>42064</v>
          </cell>
          <cell r="B298">
            <v>622.75</v>
          </cell>
        </row>
        <row r="299">
          <cell r="A299">
            <v>42071</v>
          </cell>
          <cell r="B299">
            <v>616.94000000000005</v>
          </cell>
        </row>
        <row r="300">
          <cell r="A300">
            <v>42078</v>
          </cell>
          <cell r="B300">
            <v>603.76</v>
          </cell>
        </row>
        <row r="301">
          <cell r="A301">
            <v>42085</v>
          </cell>
          <cell r="B301">
            <v>583.02</v>
          </cell>
        </row>
        <row r="302">
          <cell r="A302">
            <v>42092</v>
          </cell>
          <cell r="B302">
            <v>577.66</v>
          </cell>
        </row>
        <row r="303">
          <cell r="A303">
            <v>42099</v>
          </cell>
          <cell r="B303">
            <v>583.34</v>
          </cell>
        </row>
        <row r="304">
          <cell r="A304">
            <v>42106</v>
          </cell>
          <cell r="B304">
            <v>599.12</v>
          </cell>
        </row>
        <row r="305">
          <cell r="A305">
            <v>42113</v>
          </cell>
          <cell r="B305">
            <v>596.1</v>
          </cell>
        </row>
        <row r="306">
          <cell r="A306">
            <v>42120</v>
          </cell>
          <cell r="B306">
            <v>593.15</v>
          </cell>
        </row>
        <row r="307">
          <cell r="A307">
            <v>42127</v>
          </cell>
          <cell r="B307">
            <v>582.91</v>
          </cell>
        </row>
        <row r="308">
          <cell r="A308">
            <v>42134</v>
          </cell>
          <cell r="B308">
            <v>561.87</v>
          </cell>
        </row>
        <row r="309">
          <cell r="A309">
            <v>42141</v>
          </cell>
          <cell r="B309">
            <v>586.58000000000004</v>
          </cell>
        </row>
        <row r="310">
          <cell r="A310">
            <v>42148</v>
          </cell>
          <cell r="B310">
            <v>589.32000000000005</v>
          </cell>
        </row>
        <row r="311">
          <cell r="A311">
            <v>42155</v>
          </cell>
          <cell r="B311">
            <v>592.22</v>
          </cell>
        </row>
        <row r="312">
          <cell r="A312">
            <v>42162</v>
          </cell>
          <cell r="B312">
            <v>604.29</v>
          </cell>
        </row>
        <row r="313">
          <cell r="A313">
            <v>42169</v>
          </cell>
          <cell r="B313">
            <v>603.26</v>
          </cell>
        </row>
        <row r="314">
          <cell r="A314">
            <v>42176</v>
          </cell>
          <cell r="B314">
            <v>608.91999999999996</v>
          </cell>
        </row>
        <row r="315">
          <cell r="A315">
            <v>42183</v>
          </cell>
          <cell r="B315">
            <v>639.87</v>
          </cell>
        </row>
        <row r="316">
          <cell r="A316">
            <v>42190</v>
          </cell>
          <cell r="B316">
            <v>648.73</v>
          </cell>
        </row>
        <row r="317">
          <cell r="A317">
            <v>42197</v>
          </cell>
          <cell r="B317">
            <v>651.03</v>
          </cell>
        </row>
        <row r="318">
          <cell r="A318">
            <v>42204</v>
          </cell>
          <cell r="B318">
            <v>657.97</v>
          </cell>
        </row>
        <row r="319">
          <cell r="A319">
            <v>42211</v>
          </cell>
          <cell r="B319">
            <v>647.36</v>
          </cell>
        </row>
        <row r="320">
          <cell r="A320">
            <v>42218</v>
          </cell>
          <cell r="B320">
            <v>638.4</v>
          </cell>
        </row>
        <row r="321">
          <cell r="A321">
            <v>42225</v>
          </cell>
          <cell r="B321">
            <v>618.94000000000005</v>
          </cell>
        </row>
        <row r="322">
          <cell r="A322">
            <v>42232</v>
          </cell>
          <cell r="B322">
            <v>587.83000000000004</v>
          </cell>
        </row>
        <row r="323">
          <cell r="A323">
            <v>42239</v>
          </cell>
          <cell r="B323">
            <v>597.80999999999995</v>
          </cell>
        </row>
        <row r="324">
          <cell r="A324">
            <v>42246</v>
          </cell>
          <cell r="B324">
            <v>578.78</v>
          </cell>
        </row>
        <row r="325">
          <cell r="A325">
            <v>42253</v>
          </cell>
          <cell r="B325">
            <v>583.27</v>
          </cell>
        </row>
        <row r="326">
          <cell r="A326">
            <v>42260</v>
          </cell>
          <cell r="B326">
            <v>582.73</v>
          </cell>
        </row>
        <row r="327">
          <cell r="A327">
            <v>42267</v>
          </cell>
          <cell r="B327">
            <v>588.11</v>
          </cell>
        </row>
        <row r="328">
          <cell r="A328">
            <v>42274</v>
          </cell>
          <cell r="B328">
            <v>580.74</v>
          </cell>
        </row>
        <row r="329">
          <cell r="A329">
            <v>42281</v>
          </cell>
          <cell r="B329">
            <v>605.6</v>
          </cell>
        </row>
        <row r="330">
          <cell r="A330">
            <v>42288</v>
          </cell>
          <cell r="B330">
            <v>609.73</v>
          </cell>
        </row>
        <row r="331">
          <cell r="A331">
            <v>42295</v>
          </cell>
          <cell r="B331">
            <v>616.07000000000005</v>
          </cell>
        </row>
        <row r="332">
          <cell r="A332">
            <v>42302</v>
          </cell>
          <cell r="B332">
            <v>619.21</v>
          </cell>
        </row>
        <row r="333">
          <cell r="A333">
            <v>42309</v>
          </cell>
          <cell r="B333">
            <v>622.66999999999996</v>
          </cell>
        </row>
        <row r="334">
          <cell r="A334">
            <v>42316</v>
          </cell>
          <cell r="B334">
            <v>622.34</v>
          </cell>
        </row>
        <row r="335">
          <cell r="A335">
            <v>42323</v>
          </cell>
          <cell r="B335">
            <v>611.16</v>
          </cell>
        </row>
        <row r="336">
          <cell r="A336">
            <v>42330</v>
          </cell>
          <cell r="B336">
            <v>590.59</v>
          </cell>
        </row>
        <row r="337">
          <cell r="A337">
            <v>42337</v>
          </cell>
          <cell r="B337">
            <v>582.96</v>
          </cell>
        </row>
        <row r="338">
          <cell r="A338">
            <v>42344</v>
          </cell>
          <cell r="B338">
            <v>578.01</v>
          </cell>
        </row>
        <row r="339">
          <cell r="A339">
            <v>42351</v>
          </cell>
          <cell r="B339">
            <v>578.85</v>
          </cell>
        </row>
        <row r="340">
          <cell r="A340">
            <v>42358</v>
          </cell>
          <cell r="B340">
            <v>579.32000000000005</v>
          </cell>
        </row>
        <row r="341">
          <cell r="A341">
            <v>42365</v>
          </cell>
          <cell r="B341">
            <v>595.57000000000005</v>
          </cell>
        </row>
        <row r="342">
          <cell r="A342">
            <v>42372</v>
          </cell>
          <cell r="B342">
            <v>575.96</v>
          </cell>
        </row>
        <row r="343">
          <cell r="A343">
            <v>42379</v>
          </cell>
          <cell r="B343">
            <v>555.76</v>
          </cell>
        </row>
        <row r="344">
          <cell r="A344">
            <v>42386</v>
          </cell>
          <cell r="B344">
            <v>539.37</v>
          </cell>
        </row>
        <row r="345">
          <cell r="A345">
            <v>42393</v>
          </cell>
          <cell r="B345">
            <v>561.61</v>
          </cell>
        </row>
        <row r="346">
          <cell r="A346">
            <v>42400</v>
          </cell>
          <cell r="B346">
            <v>563.97</v>
          </cell>
        </row>
        <row r="347">
          <cell r="A347">
            <v>42414</v>
          </cell>
          <cell r="B347">
            <v>567.51</v>
          </cell>
        </row>
        <row r="348">
          <cell r="A348">
            <v>42421</v>
          </cell>
          <cell r="B348">
            <v>577.71</v>
          </cell>
        </row>
        <row r="349">
          <cell r="A349">
            <v>42428</v>
          </cell>
          <cell r="B349">
            <v>580.94000000000005</v>
          </cell>
        </row>
        <row r="350">
          <cell r="A350">
            <v>42435</v>
          </cell>
          <cell r="B350">
            <v>583.89</v>
          </cell>
        </row>
        <row r="351">
          <cell r="A351">
            <v>42442</v>
          </cell>
          <cell r="B351">
            <v>581.95000000000005</v>
          </cell>
        </row>
        <row r="352">
          <cell r="A352">
            <v>42449</v>
          </cell>
          <cell r="B352">
            <v>578.24</v>
          </cell>
        </row>
        <row r="353">
          <cell r="A353">
            <v>42456</v>
          </cell>
          <cell r="B353">
            <v>568.27</v>
          </cell>
        </row>
        <row r="354">
          <cell r="A354">
            <v>42463</v>
          </cell>
          <cell r="B354">
            <v>578.97</v>
          </cell>
        </row>
        <row r="355">
          <cell r="A355">
            <v>42470</v>
          </cell>
          <cell r="B355">
            <v>584.47</v>
          </cell>
        </row>
        <row r="356">
          <cell r="A356">
            <v>42477</v>
          </cell>
          <cell r="B356">
            <v>595.38</v>
          </cell>
        </row>
        <row r="357">
          <cell r="A357">
            <v>42484</v>
          </cell>
          <cell r="B357">
            <v>601.25</v>
          </cell>
        </row>
        <row r="358">
          <cell r="A358">
            <v>42491</v>
          </cell>
          <cell r="B358">
            <v>607.54999999999995</v>
          </cell>
        </row>
        <row r="359">
          <cell r="A359">
            <v>42498</v>
          </cell>
          <cell r="B359">
            <v>609.97</v>
          </cell>
        </row>
        <row r="360">
          <cell r="A360">
            <v>42505</v>
          </cell>
          <cell r="B360">
            <v>616.4</v>
          </cell>
        </row>
        <row r="361">
          <cell r="A361">
            <v>42512</v>
          </cell>
          <cell r="B361">
            <v>611</v>
          </cell>
        </row>
        <row r="362">
          <cell r="A362">
            <v>42519</v>
          </cell>
          <cell r="B362">
            <v>621.04999999999995</v>
          </cell>
        </row>
        <row r="363">
          <cell r="A363">
            <v>42526</v>
          </cell>
          <cell r="B363">
            <v>629.27</v>
          </cell>
        </row>
        <row r="364">
          <cell r="A364">
            <v>42533</v>
          </cell>
          <cell r="B364">
            <v>615.75</v>
          </cell>
        </row>
        <row r="365">
          <cell r="A365">
            <v>42540</v>
          </cell>
          <cell r="B365">
            <v>612.69000000000005</v>
          </cell>
        </row>
        <row r="366">
          <cell r="A366">
            <v>42547</v>
          </cell>
          <cell r="B366">
            <v>626.34</v>
          </cell>
        </row>
        <row r="367">
          <cell r="A367">
            <v>42554</v>
          </cell>
          <cell r="B367">
            <v>643.55999999999995</v>
          </cell>
        </row>
        <row r="368">
          <cell r="A368">
            <v>42561</v>
          </cell>
          <cell r="B368">
            <v>653.63</v>
          </cell>
        </row>
        <row r="369">
          <cell r="A369">
            <v>42568</v>
          </cell>
          <cell r="B369">
            <v>634.34</v>
          </cell>
        </row>
        <row r="370">
          <cell r="A370">
            <v>42575</v>
          </cell>
          <cell r="B370">
            <v>639.16999999999996</v>
          </cell>
        </row>
        <row r="371">
          <cell r="A371">
            <v>42582</v>
          </cell>
          <cell r="B371">
            <v>615.05999999999995</v>
          </cell>
        </row>
        <row r="372">
          <cell r="A372">
            <v>42589</v>
          </cell>
          <cell r="B372">
            <v>641.11</v>
          </cell>
        </row>
        <row r="373">
          <cell r="A373">
            <v>42596</v>
          </cell>
          <cell r="B373">
            <v>654.41999999999996</v>
          </cell>
        </row>
        <row r="374">
          <cell r="A374">
            <v>42603</v>
          </cell>
          <cell r="B374">
            <v>656.71</v>
          </cell>
        </row>
        <row r="375">
          <cell r="A375">
            <v>42610</v>
          </cell>
          <cell r="B375">
            <v>659.09</v>
          </cell>
        </row>
        <row r="376">
          <cell r="A376">
            <v>42617</v>
          </cell>
          <cell r="B376">
            <v>658.66</v>
          </cell>
        </row>
        <row r="377">
          <cell r="A377">
            <v>42624</v>
          </cell>
          <cell r="B377">
            <v>639.37</v>
          </cell>
        </row>
        <row r="378">
          <cell r="A378">
            <v>42631</v>
          </cell>
          <cell r="B378">
            <v>664.31</v>
          </cell>
        </row>
        <row r="379">
          <cell r="A379">
            <v>42638</v>
          </cell>
          <cell r="B379">
            <v>668.44</v>
          </cell>
        </row>
        <row r="380">
          <cell r="A380">
            <v>42645</v>
          </cell>
          <cell r="B380">
            <v>657.54</v>
          </cell>
        </row>
        <row r="381">
          <cell r="A381">
            <v>42652</v>
          </cell>
          <cell r="B381">
            <v>657.59</v>
          </cell>
        </row>
        <row r="382">
          <cell r="A382">
            <v>42659</v>
          </cell>
          <cell r="B382">
            <v>655.16999999999996</v>
          </cell>
        </row>
        <row r="383">
          <cell r="A383">
            <v>42666</v>
          </cell>
          <cell r="B383">
            <v>649.27</v>
          </cell>
        </row>
        <row r="384">
          <cell r="A384">
            <v>42673</v>
          </cell>
          <cell r="B384">
            <v>632.54</v>
          </cell>
        </row>
        <row r="385">
          <cell r="A385">
            <v>42680</v>
          </cell>
          <cell r="B385">
            <v>642</v>
          </cell>
        </row>
        <row r="386">
          <cell r="A386">
            <v>42687</v>
          </cell>
          <cell r="B386">
            <v>634.35</v>
          </cell>
        </row>
        <row r="387">
          <cell r="A387">
            <v>42694</v>
          </cell>
          <cell r="B387">
            <v>643.38</v>
          </cell>
        </row>
        <row r="388">
          <cell r="A388">
            <v>42701</v>
          </cell>
          <cell r="B388">
            <v>629.64</v>
          </cell>
        </row>
        <row r="389">
          <cell r="A389">
            <v>42708</v>
          </cell>
          <cell r="B389">
            <v>619.64</v>
          </cell>
        </row>
        <row r="390">
          <cell r="A390">
            <v>42715</v>
          </cell>
          <cell r="B390">
            <v>621.04</v>
          </cell>
        </row>
        <row r="391">
          <cell r="A391">
            <v>42722</v>
          </cell>
          <cell r="B391">
            <v>620.75</v>
          </cell>
        </row>
        <row r="392">
          <cell r="A392">
            <v>42729</v>
          </cell>
          <cell r="B392">
            <v>628.21</v>
          </cell>
        </row>
        <row r="393">
          <cell r="A393">
            <v>42736</v>
          </cell>
          <cell r="B393">
            <v>636.34</v>
          </cell>
        </row>
        <row r="394">
          <cell r="A394">
            <v>42743</v>
          </cell>
          <cell r="B394">
            <v>640.07000000000005</v>
          </cell>
        </row>
        <row r="395">
          <cell r="A395">
            <v>42750</v>
          </cell>
          <cell r="B395">
            <v>634.28</v>
          </cell>
        </row>
        <row r="396">
          <cell r="A396">
            <v>42757</v>
          </cell>
          <cell r="B396">
            <v>644.79</v>
          </cell>
        </row>
        <row r="397">
          <cell r="A397">
            <v>42764</v>
          </cell>
          <cell r="B397">
            <v>651.17999999999995</v>
          </cell>
        </row>
        <row r="398">
          <cell r="A398">
            <v>42771</v>
          </cell>
          <cell r="B398">
            <v>658.78</v>
          </cell>
        </row>
        <row r="399">
          <cell r="A399">
            <v>42778</v>
          </cell>
          <cell r="B399">
            <v>668.1</v>
          </cell>
        </row>
        <row r="400">
          <cell r="A400">
            <v>42785</v>
          </cell>
          <cell r="B400">
            <v>661.81</v>
          </cell>
        </row>
        <row r="401">
          <cell r="A401">
            <v>42792</v>
          </cell>
          <cell r="B401">
            <v>656.77</v>
          </cell>
        </row>
        <row r="402">
          <cell r="A402">
            <v>42799</v>
          </cell>
          <cell r="B402">
            <v>663.49</v>
          </cell>
        </row>
        <row r="403">
          <cell r="A403">
            <v>42806</v>
          </cell>
          <cell r="B403">
            <v>668.35</v>
          </cell>
        </row>
        <row r="404">
          <cell r="A404">
            <v>42813</v>
          </cell>
          <cell r="B404">
            <v>691.76</v>
          </cell>
        </row>
        <row r="405">
          <cell r="A405">
            <v>42820</v>
          </cell>
          <cell r="B405">
            <v>693.22</v>
          </cell>
        </row>
        <row r="406">
          <cell r="A406">
            <v>42827</v>
          </cell>
          <cell r="B406">
            <v>697.62</v>
          </cell>
        </row>
        <row r="407">
          <cell r="A407">
            <v>42834</v>
          </cell>
          <cell r="B407">
            <v>678.45</v>
          </cell>
        </row>
        <row r="408">
          <cell r="A408">
            <v>42841</v>
          </cell>
          <cell r="B408">
            <v>672.6</v>
          </cell>
        </row>
        <row r="409">
          <cell r="A409">
            <v>42848</v>
          </cell>
          <cell r="B409">
            <v>680.49</v>
          </cell>
        </row>
        <row r="410">
          <cell r="A410">
            <v>42855</v>
          </cell>
          <cell r="B410">
            <v>684.17</v>
          </cell>
        </row>
        <row r="411">
          <cell r="A411">
            <v>42862</v>
          </cell>
          <cell r="B411">
            <v>690.84</v>
          </cell>
        </row>
        <row r="412">
          <cell r="A412">
            <v>42869</v>
          </cell>
          <cell r="B412">
            <v>702.03</v>
          </cell>
        </row>
        <row r="413">
          <cell r="A413">
            <v>42876</v>
          </cell>
          <cell r="B413">
            <v>718.87</v>
          </cell>
        </row>
        <row r="414">
          <cell r="A414">
            <v>42883</v>
          </cell>
          <cell r="B414">
            <v>718.33</v>
          </cell>
        </row>
        <row r="415">
          <cell r="A415">
            <v>42890</v>
          </cell>
          <cell r="B415">
            <v>740.2</v>
          </cell>
        </row>
        <row r="416">
          <cell r="A416">
            <v>42897</v>
          </cell>
          <cell r="B416">
            <v>750.07</v>
          </cell>
        </row>
        <row r="417">
          <cell r="A417">
            <v>42904</v>
          </cell>
          <cell r="B417">
            <v>758.24</v>
          </cell>
        </row>
        <row r="418">
          <cell r="A418">
            <v>42911</v>
          </cell>
          <cell r="B418">
            <v>765.41</v>
          </cell>
        </row>
        <row r="419">
          <cell r="A419">
            <v>42918</v>
          </cell>
          <cell r="B419">
            <v>761.61</v>
          </cell>
        </row>
        <row r="420">
          <cell r="A420">
            <v>42925</v>
          </cell>
          <cell r="B420">
            <v>759.97</v>
          </cell>
        </row>
        <row r="421">
          <cell r="A421">
            <v>42932</v>
          </cell>
          <cell r="B421">
            <v>728.47</v>
          </cell>
        </row>
        <row r="422">
          <cell r="A422">
            <v>42939</v>
          </cell>
          <cell r="B422">
            <v>749.86</v>
          </cell>
        </row>
        <row r="423">
          <cell r="A423">
            <v>42946</v>
          </cell>
          <cell r="B423">
            <v>761.44</v>
          </cell>
        </row>
        <row r="424">
          <cell r="A424">
            <v>42953</v>
          </cell>
          <cell r="B424">
            <v>744.99</v>
          </cell>
        </row>
        <row r="425">
          <cell r="A425">
            <v>42960</v>
          </cell>
          <cell r="B425">
            <v>744.3</v>
          </cell>
        </row>
        <row r="426">
          <cell r="A426">
            <v>42967</v>
          </cell>
          <cell r="B426">
            <v>751.14</v>
          </cell>
        </row>
        <row r="427">
          <cell r="A427">
            <v>42974</v>
          </cell>
          <cell r="B427">
            <v>774.06</v>
          </cell>
        </row>
        <row r="428">
          <cell r="A428">
            <v>42981</v>
          </cell>
          <cell r="B428">
            <v>784.74</v>
          </cell>
        </row>
        <row r="429">
          <cell r="A429">
            <v>42988</v>
          </cell>
          <cell r="B429">
            <v>789.49</v>
          </cell>
        </row>
        <row r="430">
          <cell r="A430">
            <v>42995</v>
          </cell>
          <cell r="B430">
            <v>789.7</v>
          </cell>
        </row>
        <row r="431">
          <cell r="A431">
            <v>43002</v>
          </cell>
          <cell r="B431">
            <v>792.72</v>
          </cell>
        </row>
        <row r="432">
          <cell r="A432">
            <v>43009</v>
          </cell>
          <cell r="B432">
            <v>800.42</v>
          </cell>
        </row>
        <row r="433">
          <cell r="A433">
            <v>43016</v>
          </cell>
          <cell r="B433">
            <v>815.47</v>
          </cell>
        </row>
        <row r="434">
          <cell r="A434">
            <v>43023</v>
          </cell>
          <cell r="B434">
            <v>813.99</v>
          </cell>
        </row>
        <row r="435">
          <cell r="A435">
            <v>43030</v>
          </cell>
          <cell r="B435">
            <v>834.91</v>
          </cell>
        </row>
        <row r="436">
          <cell r="A436">
            <v>43037</v>
          </cell>
          <cell r="B436">
            <v>840.04</v>
          </cell>
        </row>
        <row r="437">
          <cell r="A437">
            <v>43044</v>
          </cell>
          <cell r="B437">
            <v>858.55</v>
          </cell>
        </row>
        <row r="438">
          <cell r="A438">
            <v>43051</v>
          </cell>
          <cell r="B438">
            <v>887.41</v>
          </cell>
        </row>
        <row r="439">
          <cell r="A439">
            <v>43058</v>
          </cell>
          <cell r="B439">
            <v>926.21</v>
          </cell>
        </row>
        <row r="440">
          <cell r="A440">
            <v>43065</v>
          </cell>
          <cell r="B440">
            <v>952.46</v>
          </cell>
        </row>
        <row r="441">
          <cell r="A441">
            <v>43072</v>
          </cell>
          <cell r="B441">
            <v>930.25</v>
          </cell>
        </row>
        <row r="442">
          <cell r="A442">
            <v>43079</v>
          </cell>
          <cell r="B442">
            <v>926.7</v>
          </cell>
        </row>
        <row r="443">
          <cell r="A443">
            <v>43086</v>
          </cell>
          <cell r="B443">
            <v>945.88</v>
          </cell>
        </row>
        <row r="444">
          <cell r="A444">
            <v>43093</v>
          </cell>
          <cell r="B444">
            <v>975.52</v>
          </cell>
        </row>
        <row r="445">
          <cell r="A445">
            <v>43100</v>
          </cell>
          <cell r="B445">
            <v>1007.73</v>
          </cell>
        </row>
        <row r="446">
          <cell r="A446">
            <v>43107</v>
          </cell>
          <cell r="B446">
            <v>1049.8599999999999</v>
          </cell>
        </row>
        <row r="447">
          <cell r="A447">
            <v>43114</v>
          </cell>
          <cell r="B447">
            <v>1053.47</v>
          </cell>
        </row>
        <row r="448">
          <cell r="A448">
            <v>43121</v>
          </cell>
          <cell r="B448">
            <v>1104.42</v>
          </cell>
        </row>
        <row r="449">
          <cell r="A449">
            <v>43128</v>
          </cell>
          <cell r="B449">
            <v>1090.4000000000001</v>
          </cell>
        </row>
        <row r="450">
          <cell r="A450">
            <v>43135</v>
          </cell>
          <cell r="B450">
            <v>996.77</v>
          </cell>
        </row>
        <row r="451">
          <cell r="A451">
            <v>43142</v>
          </cell>
          <cell r="B451">
            <v>1054.0899999999999</v>
          </cell>
        </row>
        <row r="452">
          <cell r="A452">
            <v>43149</v>
          </cell>
          <cell r="B452">
            <v>1089.96</v>
          </cell>
        </row>
        <row r="453">
          <cell r="A453">
            <v>43156</v>
          </cell>
          <cell r="B453">
            <v>1106.92</v>
          </cell>
        </row>
        <row r="454">
          <cell r="A454">
            <v>43163</v>
          </cell>
          <cell r="B454">
            <v>1106.54</v>
          </cell>
        </row>
        <row r="455">
          <cell r="A455">
            <v>43170</v>
          </cell>
          <cell r="B455">
            <v>1112.93</v>
          </cell>
        </row>
        <row r="456">
          <cell r="A456">
            <v>43177</v>
          </cell>
          <cell r="B456">
            <v>1128.93</v>
          </cell>
        </row>
        <row r="457">
          <cell r="A457">
            <v>43184</v>
          </cell>
          <cell r="B457">
            <v>1153.08</v>
          </cell>
        </row>
        <row r="458">
          <cell r="A458">
            <v>43191</v>
          </cell>
          <cell r="B458">
            <v>1174.3699999999999</v>
          </cell>
        </row>
        <row r="459">
          <cell r="A459">
            <v>43198</v>
          </cell>
          <cell r="B459">
            <v>1134.21</v>
          </cell>
        </row>
        <row r="460">
          <cell r="A460">
            <v>43205</v>
          </cell>
          <cell r="B460">
            <v>1089.45</v>
          </cell>
        </row>
        <row r="461">
          <cell r="A461">
            <v>43212</v>
          </cell>
          <cell r="B461">
            <v>1027.97</v>
          </cell>
        </row>
        <row r="462">
          <cell r="A462">
            <v>43219</v>
          </cell>
          <cell r="B462">
            <v>1010.89</v>
          </cell>
        </row>
        <row r="463">
          <cell r="A463">
            <v>43226</v>
          </cell>
          <cell r="B463">
            <v>1030.79</v>
          </cell>
        </row>
        <row r="464">
          <cell r="A464">
            <v>43233</v>
          </cell>
          <cell r="B464">
            <v>1022.21</v>
          </cell>
        </row>
        <row r="465">
          <cell r="A465">
            <v>43240</v>
          </cell>
          <cell r="B465">
            <v>936.32</v>
          </cell>
        </row>
        <row r="466">
          <cell r="A466">
            <v>43247</v>
          </cell>
          <cell r="B466">
            <v>969.15</v>
          </cell>
        </row>
        <row r="467">
          <cell r="A467">
            <v>43254</v>
          </cell>
          <cell r="B467">
            <v>1025.8699999999999</v>
          </cell>
        </row>
        <row r="468">
          <cell r="A468">
            <v>43261</v>
          </cell>
          <cell r="B468">
            <v>1005.04</v>
          </cell>
        </row>
        <row r="469">
          <cell r="A469">
            <v>43268</v>
          </cell>
          <cell r="B469">
            <v>973.05</v>
          </cell>
        </row>
        <row r="470">
          <cell r="A470">
            <v>43275</v>
          </cell>
          <cell r="B470">
            <v>947.55</v>
          </cell>
        </row>
        <row r="471">
          <cell r="A471">
            <v>43282</v>
          </cell>
          <cell r="B471">
            <v>905.62</v>
          </cell>
        </row>
        <row r="472">
          <cell r="A472">
            <v>43289</v>
          </cell>
          <cell r="B472">
            <v>899.45</v>
          </cell>
        </row>
        <row r="473">
          <cell r="A473">
            <v>43296</v>
          </cell>
          <cell r="B473">
            <v>926.5</v>
          </cell>
        </row>
        <row r="474">
          <cell r="A474">
            <v>43303</v>
          </cell>
          <cell r="B474">
            <v>927.19</v>
          </cell>
        </row>
        <row r="475">
          <cell r="A475">
            <v>43310</v>
          </cell>
          <cell r="B475">
            <v>941.12</v>
          </cell>
        </row>
        <row r="476">
          <cell r="A476">
            <v>43317</v>
          </cell>
          <cell r="B476">
            <v>948.32</v>
          </cell>
        </row>
        <row r="477">
          <cell r="A477">
            <v>43324</v>
          </cell>
          <cell r="B477">
            <v>949.23</v>
          </cell>
        </row>
        <row r="478">
          <cell r="A478">
            <v>43331</v>
          </cell>
          <cell r="B478">
            <v>960.42</v>
          </cell>
        </row>
        <row r="479">
          <cell r="A479">
            <v>43338</v>
          </cell>
          <cell r="B479">
            <v>969.23</v>
          </cell>
        </row>
        <row r="480">
          <cell r="A480">
            <v>43345</v>
          </cell>
          <cell r="B480">
            <v>945.59</v>
          </cell>
        </row>
        <row r="481">
          <cell r="A481">
            <v>43352</v>
          </cell>
          <cell r="B481">
            <v>960.33</v>
          </cell>
        </row>
        <row r="482">
          <cell r="A482">
            <v>43359</v>
          </cell>
          <cell r="B482">
            <v>974.43</v>
          </cell>
        </row>
        <row r="483">
          <cell r="A483">
            <v>43366</v>
          </cell>
          <cell r="B483">
            <v>994.73</v>
          </cell>
        </row>
        <row r="484">
          <cell r="A484">
            <v>43373</v>
          </cell>
          <cell r="B484">
            <v>980.75</v>
          </cell>
        </row>
        <row r="485">
          <cell r="A485">
            <v>43380</v>
          </cell>
          <cell r="B485">
            <v>943.49</v>
          </cell>
        </row>
        <row r="486">
          <cell r="A486">
            <v>43387</v>
          </cell>
          <cell r="B486">
            <v>931.69</v>
          </cell>
        </row>
        <row r="487">
          <cell r="A487">
            <v>43394</v>
          </cell>
          <cell r="B487">
            <v>881.06</v>
          </cell>
        </row>
        <row r="488">
          <cell r="A488">
            <v>43401</v>
          </cell>
          <cell r="B488">
            <v>903.43</v>
          </cell>
        </row>
        <row r="489">
          <cell r="A489">
            <v>43408</v>
          </cell>
          <cell r="B489">
            <v>885.65</v>
          </cell>
        </row>
        <row r="490">
          <cell r="A490">
            <v>43415</v>
          </cell>
          <cell r="B490">
            <v>869.24</v>
          </cell>
        </row>
        <row r="491">
          <cell r="A491">
            <v>43422</v>
          </cell>
          <cell r="B491">
            <v>890.62</v>
          </cell>
        </row>
        <row r="492">
          <cell r="A492">
            <v>43429</v>
          </cell>
          <cell r="B492">
            <v>894.79</v>
          </cell>
        </row>
        <row r="493">
          <cell r="A493">
            <v>43436</v>
          </cell>
          <cell r="B493">
            <v>929.59</v>
          </cell>
        </row>
        <row r="494">
          <cell r="A494">
            <v>43443</v>
          </cell>
          <cell r="B494">
            <v>918.79</v>
          </cell>
        </row>
        <row r="495">
          <cell r="A495">
            <v>43450</v>
          </cell>
          <cell r="B495">
            <v>873.09</v>
          </cell>
        </row>
        <row r="496">
          <cell r="A496">
            <v>43457</v>
          </cell>
          <cell r="B496">
            <v>854.99</v>
          </cell>
        </row>
        <row r="497">
          <cell r="A497">
            <v>43464</v>
          </cell>
          <cell r="B497">
            <v>840.17</v>
          </cell>
        </row>
        <row r="498">
          <cell r="A498">
            <v>43471</v>
          </cell>
          <cell r="B498">
            <v>860.3</v>
          </cell>
        </row>
        <row r="499">
          <cell r="A499">
            <v>43478</v>
          </cell>
          <cell r="B499">
            <v>854.79</v>
          </cell>
        </row>
        <row r="500">
          <cell r="A500">
            <v>43485</v>
          </cell>
          <cell r="B500">
            <v>867.7</v>
          </cell>
        </row>
        <row r="501">
          <cell r="A501">
            <v>43492</v>
          </cell>
          <cell r="B501">
            <v>859.81</v>
          </cell>
        </row>
        <row r="502">
          <cell r="A502">
            <v>43506</v>
          </cell>
          <cell r="B502">
            <v>897.74</v>
          </cell>
        </row>
        <row r="503">
          <cell r="A503">
            <v>43513</v>
          </cell>
          <cell r="B503">
            <v>929.5</v>
          </cell>
        </row>
        <row r="504">
          <cell r="A504">
            <v>43520</v>
          </cell>
          <cell r="B504">
            <v>915.32</v>
          </cell>
        </row>
        <row r="505">
          <cell r="A505">
            <v>43527</v>
          </cell>
          <cell r="B505">
            <v>914.74</v>
          </cell>
        </row>
        <row r="506">
          <cell r="A506">
            <v>43534</v>
          </cell>
          <cell r="B506">
            <v>927.06</v>
          </cell>
        </row>
        <row r="507">
          <cell r="A507">
            <v>43541</v>
          </cell>
          <cell r="B507">
            <v>912.27</v>
          </cell>
        </row>
        <row r="508">
          <cell r="A508">
            <v>43548</v>
          </cell>
          <cell r="B508">
            <v>900.13</v>
          </cell>
        </row>
        <row r="509">
          <cell r="A509">
            <v>43555</v>
          </cell>
          <cell r="B509">
            <v>904.69</v>
          </cell>
        </row>
        <row r="510">
          <cell r="A510">
            <v>43562</v>
          </cell>
          <cell r="B510">
            <v>893.1</v>
          </cell>
        </row>
        <row r="511">
          <cell r="A511">
            <v>43569</v>
          </cell>
          <cell r="B511">
            <v>880.52</v>
          </cell>
        </row>
        <row r="512">
          <cell r="A512">
            <v>43576</v>
          </cell>
          <cell r="B512">
            <v>890.55</v>
          </cell>
        </row>
        <row r="513">
          <cell r="A513">
            <v>43583</v>
          </cell>
          <cell r="B513">
            <v>895.42</v>
          </cell>
        </row>
        <row r="514">
          <cell r="A514">
            <v>43590</v>
          </cell>
          <cell r="B514">
            <v>876.45</v>
          </cell>
        </row>
        <row r="515">
          <cell r="A515">
            <v>43597</v>
          </cell>
          <cell r="B515">
            <v>890.53</v>
          </cell>
        </row>
        <row r="516">
          <cell r="A516">
            <v>43604</v>
          </cell>
          <cell r="B516">
            <v>884.48</v>
          </cell>
        </row>
        <row r="517">
          <cell r="A517">
            <v>43611</v>
          </cell>
          <cell r="B517">
            <v>876.29</v>
          </cell>
        </row>
        <row r="518">
          <cell r="A518">
            <v>43618</v>
          </cell>
          <cell r="B518">
            <v>869.56</v>
          </cell>
        </row>
        <row r="519">
          <cell r="A519">
            <v>43625</v>
          </cell>
          <cell r="B519">
            <v>861.65</v>
          </cell>
        </row>
        <row r="520">
          <cell r="A520">
            <v>43632</v>
          </cell>
          <cell r="B520">
            <v>866.53</v>
          </cell>
        </row>
        <row r="521">
          <cell r="A521">
            <v>43639</v>
          </cell>
          <cell r="B521">
            <v>864.24</v>
          </cell>
        </row>
        <row r="522">
          <cell r="A522">
            <v>43646</v>
          </cell>
          <cell r="B522">
            <v>880.23</v>
          </cell>
        </row>
        <row r="523">
          <cell r="A523">
            <v>43653</v>
          </cell>
          <cell r="B523">
            <v>874.99</v>
          </cell>
        </row>
        <row r="524">
          <cell r="A524">
            <v>43660</v>
          </cell>
          <cell r="B524">
            <v>880.79</v>
          </cell>
        </row>
        <row r="525">
          <cell r="A525">
            <v>43667</v>
          </cell>
          <cell r="B525">
            <v>887.84</v>
          </cell>
        </row>
        <row r="526">
          <cell r="A526">
            <v>43674</v>
          </cell>
          <cell r="B526">
            <v>885.29</v>
          </cell>
        </row>
        <row r="527">
          <cell r="A527">
            <v>43681</v>
          </cell>
          <cell r="B527">
            <v>878.62</v>
          </cell>
        </row>
        <row r="528">
          <cell r="A528">
            <v>43688</v>
          </cell>
          <cell r="B528">
            <v>892.44</v>
          </cell>
        </row>
        <row r="529">
          <cell r="A529">
            <v>43695</v>
          </cell>
          <cell r="B529">
            <v>900.53</v>
          </cell>
        </row>
        <row r="530">
          <cell r="A530">
            <v>43702</v>
          </cell>
          <cell r="B530">
            <v>892.51</v>
          </cell>
        </row>
        <row r="531">
          <cell r="A531">
            <v>43709</v>
          </cell>
          <cell r="B531">
            <v>885.95</v>
          </cell>
        </row>
        <row r="532">
          <cell r="A532">
            <v>43716</v>
          </cell>
          <cell r="B532">
            <v>905.05</v>
          </cell>
        </row>
        <row r="533">
          <cell r="A533">
            <v>43723</v>
          </cell>
          <cell r="B533">
            <v>915.16</v>
          </cell>
        </row>
        <row r="534">
          <cell r="A534">
            <v>43730</v>
          </cell>
          <cell r="B534">
            <v>924.83</v>
          </cell>
        </row>
        <row r="535">
          <cell r="A535">
            <v>43737</v>
          </cell>
          <cell r="B535">
            <v>915.16</v>
          </cell>
        </row>
        <row r="536">
          <cell r="A536">
            <v>43744</v>
          </cell>
          <cell r="B536">
            <v>916.68</v>
          </cell>
        </row>
        <row r="537">
          <cell r="A537">
            <v>43751</v>
          </cell>
          <cell r="B537">
            <v>919.13</v>
          </cell>
        </row>
        <row r="538">
          <cell r="A538">
            <v>43758</v>
          </cell>
          <cell r="B538">
            <v>927.05</v>
          </cell>
        </row>
        <row r="539">
          <cell r="A539">
            <v>43765</v>
          </cell>
          <cell r="B539">
            <v>933.55</v>
          </cell>
        </row>
        <row r="540">
          <cell r="A540">
            <v>43772</v>
          </cell>
          <cell r="B540">
            <v>944.7</v>
          </cell>
        </row>
        <row r="541">
          <cell r="A541">
            <v>43779</v>
          </cell>
          <cell r="B541">
            <v>927.36</v>
          </cell>
        </row>
        <row r="542">
          <cell r="A542">
            <v>43786</v>
          </cell>
          <cell r="B542">
            <v>892.31</v>
          </cell>
        </row>
        <row r="543">
          <cell r="A543">
            <v>43793</v>
          </cell>
          <cell r="B543">
            <v>887.47</v>
          </cell>
        </row>
        <row r="544">
          <cell r="A544">
            <v>43800</v>
          </cell>
          <cell r="B544">
            <v>880.43</v>
          </cell>
        </row>
        <row r="545">
          <cell r="A545">
            <v>43807</v>
          </cell>
          <cell r="B545">
            <v>880.55</v>
          </cell>
        </row>
        <row r="546">
          <cell r="A546">
            <v>43814</v>
          </cell>
          <cell r="B546">
            <v>868.37</v>
          </cell>
        </row>
        <row r="547">
          <cell r="A547">
            <v>43821</v>
          </cell>
          <cell r="B547">
            <v>876.38</v>
          </cell>
        </row>
        <row r="548">
          <cell r="A548">
            <v>43828</v>
          </cell>
          <cell r="B548">
            <v>883.28</v>
          </cell>
        </row>
        <row r="549">
          <cell r="A549">
            <v>43835</v>
          </cell>
          <cell r="B549">
            <v>885.52</v>
          </cell>
        </row>
        <row r="550">
          <cell r="A550">
            <v>43842</v>
          </cell>
          <cell r="B550">
            <v>894.84</v>
          </cell>
        </row>
        <row r="551">
          <cell r="A551">
            <v>43849</v>
          </cell>
          <cell r="B551">
            <v>909.09</v>
          </cell>
        </row>
        <row r="552">
          <cell r="A552">
            <v>43856</v>
          </cell>
          <cell r="B552">
            <v>848.63</v>
          </cell>
        </row>
        <row r="553">
          <cell r="A553">
            <v>43863</v>
          </cell>
          <cell r="B553">
            <v>863.49</v>
          </cell>
        </row>
        <row r="554">
          <cell r="A554">
            <v>43870</v>
          </cell>
          <cell r="B554">
            <v>865.86</v>
          </cell>
        </row>
        <row r="555">
          <cell r="A555">
            <v>43877</v>
          </cell>
          <cell r="B555">
            <v>868.89</v>
          </cell>
        </row>
        <row r="556">
          <cell r="A556">
            <v>43884</v>
          </cell>
          <cell r="B556">
            <v>831.97</v>
          </cell>
        </row>
        <row r="557">
          <cell r="A557">
            <v>43891</v>
          </cell>
          <cell r="B557">
            <v>835.97</v>
          </cell>
        </row>
        <row r="558">
          <cell r="A558">
            <v>43898</v>
          </cell>
          <cell r="B558">
            <v>716.65</v>
          </cell>
        </row>
        <row r="559">
          <cell r="A559">
            <v>43905</v>
          </cell>
          <cell r="B559">
            <v>673.7</v>
          </cell>
        </row>
        <row r="560">
          <cell r="A560">
            <v>43912</v>
          </cell>
          <cell r="B560">
            <v>642.23</v>
          </cell>
        </row>
        <row r="561">
          <cell r="A561">
            <v>43919</v>
          </cell>
          <cell r="B561">
            <v>649.15</v>
          </cell>
        </row>
        <row r="562">
          <cell r="A562">
            <v>43926</v>
          </cell>
          <cell r="B562">
            <v>695.74</v>
          </cell>
        </row>
        <row r="563">
          <cell r="A563">
            <v>43933</v>
          </cell>
          <cell r="B563">
            <v>734.98</v>
          </cell>
        </row>
        <row r="564">
          <cell r="A564">
            <v>43940</v>
          </cell>
          <cell r="B564">
            <v>725.05</v>
          </cell>
        </row>
        <row r="565">
          <cell r="A565">
            <v>43947</v>
          </cell>
          <cell r="B565">
            <v>715.33</v>
          </cell>
        </row>
        <row r="566">
          <cell r="A566">
            <v>43954</v>
          </cell>
          <cell r="B566">
            <v>760.15</v>
          </cell>
        </row>
        <row r="567">
          <cell r="A567">
            <v>43961</v>
          </cell>
          <cell r="B567">
            <v>773.95</v>
          </cell>
        </row>
        <row r="568">
          <cell r="A568">
            <v>43968</v>
          </cell>
          <cell r="B568">
            <v>803.14</v>
          </cell>
        </row>
        <row r="569">
          <cell r="A569">
            <v>43975</v>
          </cell>
          <cell r="B569">
            <v>806.23</v>
          </cell>
        </row>
        <row r="570">
          <cell r="A570">
            <v>43982</v>
          </cell>
          <cell r="B570">
            <v>826.47</v>
          </cell>
        </row>
        <row r="571">
          <cell r="A571">
            <v>43989</v>
          </cell>
          <cell r="B571">
            <v>807.76</v>
          </cell>
        </row>
        <row r="572">
          <cell r="A572">
            <v>43996</v>
          </cell>
          <cell r="B572">
            <v>808.28</v>
          </cell>
        </row>
        <row r="573">
          <cell r="A573">
            <v>44003</v>
          </cell>
          <cell r="B573">
            <v>795.53</v>
          </cell>
        </row>
        <row r="574">
          <cell r="A574">
            <v>44010</v>
          </cell>
          <cell r="B574">
            <v>789.87</v>
          </cell>
        </row>
        <row r="575">
          <cell r="A575">
            <v>44017</v>
          </cell>
          <cell r="B575">
            <v>809.02</v>
          </cell>
        </row>
        <row r="576">
          <cell r="A576">
            <v>44024</v>
          </cell>
          <cell r="B576">
            <v>814.16</v>
          </cell>
        </row>
        <row r="577">
          <cell r="A577">
            <v>44031</v>
          </cell>
          <cell r="B577">
            <v>772.29</v>
          </cell>
        </row>
        <row r="578">
          <cell r="A578">
            <v>44038</v>
          </cell>
          <cell r="B578">
            <v>740.73</v>
          </cell>
        </row>
        <row r="579">
          <cell r="A579">
            <v>44045</v>
          </cell>
          <cell r="B579">
            <v>782.15</v>
          </cell>
        </row>
        <row r="580">
          <cell r="A580">
            <v>44052</v>
          </cell>
          <cell r="B580">
            <v>791.98</v>
          </cell>
        </row>
        <row r="581">
          <cell r="A581">
            <v>44059</v>
          </cell>
          <cell r="B581">
            <v>793.6</v>
          </cell>
        </row>
        <row r="582">
          <cell r="A582">
            <v>44066</v>
          </cell>
          <cell r="B582">
            <v>821.93</v>
          </cell>
        </row>
        <row r="583">
          <cell r="A583">
            <v>44073</v>
          </cell>
          <cell r="B583">
            <v>840.54</v>
          </cell>
        </row>
        <row r="584">
          <cell r="A584">
            <v>44080</v>
          </cell>
          <cell r="B584">
            <v>825.56</v>
          </cell>
        </row>
        <row r="585">
          <cell r="A585">
            <v>44087</v>
          </cell>
          <cell r="B585">
            <v>841.26</v>
          </cell>
        </row>
        <row r="586">
          <cell r="A586">
            <v>44094</v>
          </cell>
          <cell r="B586">
            <v>854.71</v>
          </cell>
        </row>
        <row r="587">
          <cell r="A587">
            <v>44101</v>
          </cell>
          <cell r="B587">
            <v>861.51</v>
          </cell>
        </row>
        <row r="588">
          <cell r="A588">
            <v>44108</v>
          </cell>
          <cell r="B588">
            <v>874.53</v>
          </cell>
        </row>
        <row r="589">
          <cell r="A589">
            <v>44115</v>
          </cell>
          <cell r="B589">
            <v>901.59</v>
          </cell>
        </row>
        <row r="590">
          <cell r="A590">
            <v>44122</v>
          </cell>
          <cell r="B590">
            <v>930.3</v>
          </cell>
        </row>
        <row r="591">
          <cell r="A591">
            <v>44129</v>
          </cell>
          <cell r="B591">
            <v>892.55</v>
          </cell>
        </row>
        <row r="592">
          <cell r="A592">
            <v>44136</v>
          </cell>
          <cell r="B592">
            <v>902.91</v>
          </cell>
        </row>
        <row r="593">
          <cell r="A593">
            <v>44143</v>
          </cell>
          <cell r="B593">
            <v>931.2</v>
          </cell>
        </row>
        <row r="594">
          <cell r="A594">
            <v>44150</v>
          </cell>
          <cell r="B594">
            <v>950.89</v>
          </cell>
        </row>
        <row r="595">
          <cell r="A595">
            <v>44157</v>
          </cell>
          <cell r="B595">
            <v>971.11</v>
          </cell>
        </row>
        <row r="596">
          <cell r="A596">
            <v>44164</v>
          </cell>
          <cell r="B596">
            <v>984.34</v>
          </cell>
        </row>
        <row r="597">
          <cell r="A597">
            <v>44171</v>
          </cell>
          <cell r="B597">
            <v>1008.65</v>
          </cell>
        </row>
        <row r="598">
          <cell r="A598">
            <v>44178</v>
          </cell>
          <cell r="B598">
            <v>1036.6500000000001</v>
          </cell>
        </row>
        <row r="599">
          <cell r="A599">
            <v>44185</v>
          </cell>
          <cell r="B599">
            <v>1052.1300000000001</v>
          </cell>
        </row>
        <row r="600">
          <cell r="A600">
            <v>44192</v>
          </cell>
          <cell r="B600">
            <v>1070.77</v>
          </cell>
        </row>
        <row r="601">
          <cell r="A601">
            <v>44199</v>
          </cell>
          <cell r="B601">
            <v>1147.8599999999999</v>
          </cell>
        </row>
        <row r="602">
          <cell r="A602">
            <v>44206</v>
          </cell>
          <cell r="B602">
            <v>1182.2</v>
          </cell>
        </row>
        <row r="603">
          <cell r="A603">
            <v>44213</v>
          </cell>
          <cell r="B603">
            <v>1156.58</v>
          </cell>
        </row>
        <row r="604">
          <cell r="A604">
            <v>44220</v>
          </cell>
          <cell r="B604">
            <v>1048.31</v>
          </cell>
        </row>
        <row r="605">
          <cell r="A605">
            <v>44227</v>
          </cell>
          <cell r="B605">
            <v>1135.5</v>
          </cell>
        </row>
        <row r="606">
          <cell r="A606">
            <v>44234</v>
          </cell>
          <cell r="B606">
            <v>1129.49</v>
          </cell>
        </row>
        <row r="607">
          <cell r="A607">
            <v>44241</v>
          </cell>
          <cell r="B607">
            <v>1180.5899999999999</v>
          </cell>
        </row>
        <row r="608">
          <cell r="A608">
            <v>44248</v>
          </cell>
          <cell r="B608">
            <v>1173.5999999999999</v>
          </cell>
        </row>
        <row r="609">
          <cell r="A609">
            <v>44255</v>
          </cell>
          <cell r="B609">
            <v>1173.83</v>
          </cell>
        </row>
        <row r="610">
          <cell r="A610">
            <v>44262</v>
          </cell>
          <cell r="B610">
            <v>1187.81</v>
          </cell>
        </row>
        <row r="611">
          <cell r="A611">
            <v>44269</v>
          </cell>
          <cell r="B611">
            <v>1203.3599999999999</v>
          </cell>
        </row>
        <row r="612">
          <cell r="A612">
            <v>44276</v>
          </cell>
          <cell r="B612">
            <v>1167.19</v>
          </cell>
        </row>
        <row r="613">
          <cell r="A613">
            <v>44283</v>
          </cell>
          <cell r="B613">
            <v>1238.03</v>
          </cell>
        </row>
        <row r="614">
          <cell r="A614">
            <v>44290</v>
          </cell>
          <cell r="B614">
            <v>1253.26</v>
          </cell>
        </row>
        <row r="615">
          <cell r="A615">
            <v>44297</v>
          </cell>
          <cell r="B615">
            <v>1276.8699999999999</v>
          </cell>
        </row>
        <row r="616">
          <cell r="A616">
            <v>44304</v>
          </cell>
          <cell r="B616">
            <v>1301.3900000000001</v>
          </cell>
        </row>
        <row r="617">
          <cell r="A617">
            <v>44311</v>
          </cell>
          <cell r="B617">
            <v>1312.28</v>
          </cell>
        </row>
        <row r="618">
          <cell r="A618">
            <v>44318</v>
          </cell>
          <cell r="B618">
            <v>1340.73</v>
          </cell>
        </row>
        <row r="619">
          <cell r="A619">
            <v>44325</v>
          </cell>
          <cell r="B619">
            <v>1380.02</v>
          </cell>
        </row>
        <row r="620">
          <cell r="A620">
            <v>44332</v>
          </cell>
          <cell r="B620">
            <v>1425.04</v>
          </cell>
        </row>
        <row r="621">
          <cell r="A621">
            <v>44339</v>
          </cell>
          <cell r="B621">
            <v>1458.78</v>
          </cell>
        </row>
        <row r="622">
          <cell r="A622">
            <v>44346</v>
          </cell>
          <cell r="B622">
            <v>1508.35</v>
          </cell>
        </row>
        <row r="623">
          <cell r="A623">
            <v>44353</v>
          </cell>
          <cell r="B623">
            <v>1487.61</v>
          </cell>
        </row>
        <row r="624">
          <cell r="A624">
            <v>44360</v>
          </cell>
          <cell r="B624">
            <v>1481.3</v>
          </cell>
        </row>
        <row r="625">
          <cell r="A625">
            <v>44367</v>
          </cell>
          <cell r="B625">
            <v>1500.3</v>
          </cell>
        </row>
        <row r="626">
          <cell r="A626">
            <v>44374</v>
          </cell>
          <cell r="B626">
            <v>1554.59</v>
          </cell>
        </row>
        <row r="627">
          <cell r="A627">
            <v>44381</v>
          </cell>
          <cell r="B627">
            <v>1494.43</v>
          </cell>
        </row>
        <row r="628">
          <cell r="A628">
            <v>44388</v>
          </cell>
          <cell r="B628">
            <v>1438.05</v>
          </cell>
        </row>
        <row r="629">
          <cell r="A629">
            <v>44395</v>
          </cell>
          <cell r="B629">
            <v>1401.53</v>
          </cell>
        </row>
        <row r="630">
          <cell r="A630">
            <v>44402</v>
          </cell>
          <cell r="B630">
            <v>1447.23</v>
          </cell>
        </row>
        <row r="631">
          <cell r="A631">
            <v>44409</v>
          </cell>
          <cell r="B631">
            <v>1476.79</v>
          </cell>
        </row>
        <row r="632">
          <cell r="A632">
            <v>44416</v>
          </cell>
          <cell r="B632">
            <v>1484.25</v>
          </cell>
        </row>
        <row r="633">
          <cell r="A633">
            <v>44423</v>
          </cell>
          <cell r="B633">
            <v>1450.45</v>
          </cell>
        </row>
        <row r="634">
          <cell r="A634">
            <v>44430</v>
          </cell>
          <cell r="B634">
            <v>1418.57</v>
          </cell>
        </row>
        <row r="635">
          <cell r="A635">
            <v>44437</v>
          </cell>
          <cell r="B635">
            <v>1426.94</v>
          </cell>
        </row>
        <row r="636">
          <cell r="A636">
            <v>44444</v>
          </cell>
          <cell r="B636">
            <v>1448.33</v>
          </cell>
        </row>
        <row r="637">
          <cell r="A637">
            <v>44451</v>
          </cell>
          <cell r="B637">
            <v>1455.59</v>
          </cell>
        </row>
        <row r="638">
          <cell r="A638">
            <v>44458</v>
          </cell>
          <cell r="B638">
            <v>1459.94</v>
          </cell>
        </row>
        <row r="639">
          <cell r="A639">
            <v>44465</v>
          </cell>
          <cell r="B639">
            <v>1441.83</v>
          </cell>
        </row>
        <row r="640">
          <cell r="A640">
            <v>44472</v>
          </cell>
          <cell r="B640">
            <v>1476.54</v>
          </cell>
        </row>
        <row r="641">
          <cell r="A641">
            <v>44479</v>
          </cell>
          <cell r="B641">
            <v>1504.84</v>
          </cell>
        </row>
        <row r="642">
          <cell r="A642">
            <v>44486</v>
          </cell>
          <cell r="B642">
            <v>1488.71</v>
          </cell>
        </row>
        <row r="643">
          <cell r="A643">
            <v>44493</v>
          </cell>
          <cell r="B643">
            <v>1532.35</v>
          </cell>
        </row>
        <row r="644">
          <cell r="A644">
            <v>44500</v>
          </cell>
          <cell r="B644">
            <v>1531.76</v>
          </cell>
        </row>
        <row r="645">
          <cell r="A645">
            <v>44507</v>
          </cell>
          <cell r="B645">
            <v>1527.94</v>
          </cell>
        </row>
        <row r="646">
          <cell r="A646">
            <v>44514</v>
          </cell>
          <cell r="B646">
            <v>1500.05</v>
          </cell>
        </row>
        <row r="647">
          <cell r="A647">
            <v>44521</v>
          </cell>
          <cell r="B647">
            <v>1566.55</v>
          </cell>
        </row>
        <row r="648">
          <cell r="A648">
            <v>44528</v>
          </cell>
          <cell r="B648">
            <v>1503.98</v>
          </cell>
        </row>
        <row r="649">
          <cell r="A649">
            <v>44535</v>
          </cell>
          <cell r="B649">
            <v>1519.46</v>
          </cell>
        </row>
        <row r="650">
          <cell r="A650">
            <v>44542</v>
          </cell>
          <cell r="B650">
            <v>1513.56</v>
          </cell>
        </row>
        <row r="651">
          <cell r="A651">
            <v>44549</v>
          </cell>
          <cell r="B651">
            <v>1506.67</v>
          </cell>
        </row>
        <row r="652">
          <cell r="A652">
            <v>44556</v>
          </cell>
          <cell r="B652">
            <v>1535.71</v>
          </cell>
        </row>
        <row r="653">
          <cell r="A653">
            <v>44563</v>
          </cell>
          <cell r="B653">
            <v>1532.24</v>
          </cell>
        </row>
        <row r="654">
          <cell r="A654">
            <v>44570</v>
          </cell>
          <cell r="B654">
            <v>1523.57</v>
          </cell>
        </row>
        <row r="655">
          <cell r="A655">
            <v>44577</v>
          </cell>
          <cell r="B655">
            <v>1502.16</v>
          </cell>
        </row>
        <row r="656">
          <cell r="A656">
            <v>44584</v>
          </cell>
          <cell r="B656">
            <v>1532.24</v>
          </cell>
        </row>
        <row r="657">
          <cell r="A657">
            <v>44591</v>
          </cell>
          <cell r="B657">
            <v>1532.24</v>
          </cell>
        </row>
        <row r="658">
          <cell r="A658">
            <v>44598</v>
          </cell>
          <cell r="B658">
            <v>1545.92</v>
          </cell>
        </row>
        <row r="659">
          <cell r="A659">
            <v>44605</v>
          </cell>
          <cell r="B659">
            <v>1531.47</v>
          </cell>
        </row>
        <row r="660">
          <cell r="A660">
            <v>44612</v>
          </cell>
          <cell r="B660">
            <v>1526.5</v>
          </cell>
        </row>
        <row r="661">
          <cell r="A661">
            <v>44619</v>
          </cell>
          <cell r="B661">
            <v>1525.34</v>
          </cell>
        </row>
        <row r="662">
          <cell r="A662">
            <v>44626</v>
          </cell>
          <cell r="B662">
            <v>1477.14</v>
          </cell>
        </row>
        <row r="663">
          <cell r="A663">
            <v>44633</v>
          </cell>
          <cell r="B663">
            <v>1476.94</v>
          </cell>
        </row>
        <row r="664">
          <cell r="A664">
            <v>44640</v>
          </cell>
          <cell r="B664">
            <v>1498.36</v>
          </cell>
        </row>
        <row r="665">
          <cell r="A665">
            <v>44647</v>
          </cell>
          <cell r="B665">
            <v>1542.47</v>
          </cell>
        </row>
        <row r="666">
          <cell r="A666">
            <v>44654</v>
          </cell>
          <cell r="B666">
            <v>1524.31</v>
          </cell>
        </row>
        <row r="667">
          <cell r="A667">
            <v>44661</v>
          </cell>
          <cell r="B667">
            <v>1493.74</v>
          </cell>
        </row>
        <row r="668">
          <cell r="A668">
            <v>44668</v>
          </cell>
          <cell r="B668">
            <v>1444.32</v>
          </cell>
        </row>
        <row r="669">
          <cell r="A669">
            <v>44675</v>
          </cell>
          <cell r="B669">
            <v>1417.31</v>
          </cell>
        </row>
        <row r="670">
          <cell r="A670">
            <v>44682</v>
          </cell>
          <cell r="B670">
            <v>1373.21</v>
          </cell>
        </row>
        <row r="671">
          <cell r="A671">
            <v>44689</v>
          </cell>
          <cell r="B671">
            <v>1223.76</v>
          </cell>
        </row>
        <row r="672">
          <cell r="A672">
            <v>44696</v>
          </cell>
          <cell r="B672">
            <v>1282.51</v>
          </cell>
        </row>
        <row r="673">
          <cell r="A673">
            <v>44703</v>
          </cell>
          <cell r="B673">
            <v>1335.68</v>
          </cell>
        </row>
        <row r="674">
          <cell r="A674">
            <v>44710</v>
          </cell>
          <cell r="B674">
            <v>1327.4</v>
          </cell>
        </row>
        <row r="675">
          <cell r="A675">
            <v>44717</v>
          </cell>
          <cell r="B675">
            <v>1325.69</v>
          </cell>
        </row>
        <row r="676">
          <cell r="A676">
            <v>44724</v>
          </cell>
          <cell r="B676">
            <v>1258.03</v>
          </cell>
        </row>
        <row r="677">
          <cell r="A677">
            <v>44731</v>
          </cell>
          <cell r="B677">
            <v>1235.47</v>
          </cell>
        </row>
        <row r="678">
          <cell r="A678">
            <v>44738</v>
          </cell>
          <cell r="B678">
            <v>1252.24</v>
          </cell>
        </row>
        <row r="679">
          <cell r="A679">
            <v>44745</v>
          </cell>
          <cell r="B679">
            <v>1231.54</v>
          </cell>
        </row>
        <row r="680">
          <cell r="A680">
            <v>44752</v>
          </cell>
          <cell r="B680">
            <v>1220.1400000000001</v>
          </cell>
        </row>
        <row r="681">
          <cell r="A681">
            <v>44759</v>
          </cell>
          <cell r="B681">
            <v>1228.8399999999999</v>
          </cell>
        </row>
        <row r="682">
          <cell r="A682">
            <v>44766</v>
          </cell>
          <cell r="B682">
            <v>1232</v>
          </cell>
        </row>
        <row r="683">
          <cell r="A683">
            <v>44773</v>
          </cell>
          <cell r="B683">
            <v>1272.06</v>
          </cell>
        </row>
        <row r="684">
          <cell r="A684">
            <v>44780</v>
          </cell>
          <cell r="B684">
            <v>1280.96</v>
          </cell>
        </row>
        <row r="685">
          <cell r="A685">
            <v>44787</v>
          </cell>
          <cell r="B685">
            <v>1294.93</v>
          </cell>
        </row>
        <row r="686">
          <cell r="A686">
            <v>44794</v>
          </cell>
          <cell r="B686">
            <v>1306.81</v>
          </cell>
        </row>
        <row r="687">
          <cell r="A687">
            <v>44801</v>
          </cell>
          <cell r="B687">
            <v>1301.44</v>
          </cell>
        </row>
        <row r="688">
          <cell r="A688">
            <v>44808</v>
          </cell>
          <cell r="B688">
            <v>1275.6400000000001</v>
          </cell>
        </row>
        <row r="689">
          <cell r="A689">
            <v>44815</v>
          </cell>
          <cell r="B689">
            <v>1252.78</v>
          </cell>
        </row>
        <row r="690">
          <cell r="A690">
            <v>44822</v>
          </cell>
          <cell r="B690">
            <v>1215.4100000000001</v>
          </cell>
        </row>
        <row r="691">
          <cell r="A691">
            <v>44829</v>
          </cell>
          <cell r="B691">
            <v>1152.01</v>
          </cell>
        </row>
        <row r="692">
          <cell r="A692">
            <v>44836</v>
          </cell>
          <cell r="B692">
            <v>1039.54</v>
          </cell>
        </row>
        <row r="693">
          <cell r="A693">
            <v>44843</v>
          </cell>
          <cell r="B693">
            <v>1061.3900000000001</v>
          </cell>
        </row>
        <row r="694">
          <cell r="A694">
            <v>44850</v>
          </cell>
          <cell r="B694">
            <v>1010.57</v>
          </cell>
        </row>
        <row r="695">
          <cell r="A695">
            <v>44857</v>
          </cell>
          <cell r="B695">
            <v>1029.49</v>
          </cell>
        </row>
        <row r="696">
          <cell r="A696">
            <v>44864</v>
          </cell>
          <cell r="B696">
            <v>997.92</v>
          </cell>
        </row>
        <row r="697">
          <cell r="A697">
            <v>44871</v>
          </cell>
          <cell r="B697">
            <v>948.86</v>
          </cell>
        </row>
        <row r="698">
          <cell r="A698">
            <v>44878</v>
          </cell>
          <cell r="B698">
            <v>971.2</v>
          </cell>
        </row>
        <row r="699">
          <cell r="A699">
            <v>44885</v>
          </cell>
          <cell r="B699">
            <v>967.49</v>
          </cell>
        </row>
        <row r="700">
          <cell r="A700">
            <v>44892</v>
          </cell>
          <cell r="B700">
            <v>1092.99</v>
          </cell>
        </row>
        <row r="701">
          <cell r="A701">
            <v>44899</v>
          </cell>
          <cell r="B701">
            <v>1065.08</v>
          </cell>
        </row>
        <row r="702">
          <cell r="A702">
            <v>44906</v>
          </cell>
          <cell r="B702">
            <v>1064.07</v>
          </cell>
        </row>
        <row r="703">
          <cell r="A703">
            <v>44913</v>
          </cell>
          <cell r="B703">
            <v>1034.1300000000001</v>
          </cell>
        </row>
        <row r="704">
          <cell r="A704">
            <v>44920</v>
          </cell>
          <cell r="B704">
            <v>1005.19</v>
          </cell>
        </row>
        <row r="705">
          <cell r="A705">
            <v>44927</v>
          </cell>
          <cell r="B705">
            <v>1057.4000000000001</v>
          </cell>
        </row>
        <row r="706">
          <cell r="A706">
            <v>44934</v>
          </cell>
          <cell r="B706">
            <v>1069.8599999999999</v>
          </cell>
        </row>
        <row r="707">
          <cell r="A707">
            <v>44941</v>
          </cell>
          <cell r="B707">
            <v>1121.92</v>
          </cell>
        </row>
        <row r="708">
          <cell r="A708">
            <v>44948</v>
          </cell>
          <cell r="B708">
            <v>1130.6500000000001</v>
          </cell>
        </row>
        <row r="709">
          <cell r="A709">
            <v>44955</v>
          </cell>
          <cell r="B709">
            <v>1085.7</v>
          </cell>
        </row>
        <row r="710">
          <cell r="A710">
            <v>44962</v>
          </cell>
          <cell r="B710">
            <v>1048.74</v>
          </cell>
        </row>
        <row r="711">
          <cell r="A711">
            <v>44969</v>
          </cell>
          <cell r="B711">
            <v>1053.72</v>
          </cell>
        </row>
        <row r="712">
          <cell r="A712">
            <v>44976</v>
          </cell>
          <cell r="B712">
            <v>1030.42</v>
          </cell>
        </row>
        <row r="713">
          <cell r="A713">
            <v>44983</v>
          </cell>
          <cell r="B713">
            <v>1013.35</v>
          </cell>
        </row>
        <row r="714">
          <cell r="A714">
            <v>44990</v>
          </cell>
          <cell r="B714">
            <v>1047.2</v>
          </cell>
        </row>
        <row r="715">
          <cell r="A715">
            <v>44997</v>
          </cell>
          <cell r="B715">
            <v>1047.71</v>
          </cell>
        </row>
        <row r="716">
          <cell r="A716">
            <v>45004</v>
          </cell>
          <cell r="B716">
            <v>1051.42</v>
          </cell>
        </row>
        <row r="717">
          <cell r="A717">
            <v>45011</v>
          </cell>
          <cell r="B717">
            <v>1073.68</v>
          </cell>
        </row>
        <row r="718">
          <cell r="A718">
            <v>45018</v>
          </cell>
          <cell r="B718">
            <v>1078.8800000000001</v>
          </cell>
        </row>
        <row r="719">
          <cell r="A719">
            <v>45025</v>
          </cell>
          <cell r="B719">
            <v>1063.43</v>
          </cell>
        </row>
        <row r="720">
          <cell r="A720">
            <v>45032</v>
          </cell>
          <cell r="B720">
            <v>1046.18</v>
          </cell>
        </row>
        <row r="721">
          <cell r="A721">
            <v>45039</v>
          </cell>
          <cell r="B721">
            <v>1051.43</v>
          </cell>
        </row>
        <row r="722">
          <cell r="A722">
            <v>45046</v>
          </cell>
          <cell r="B722">
            <v>1038.46</v>
          </cell>
        </row>
        <row r="723">
          <cell r="A723">
            <v>45053</v>
          </cell>
          <cell r="B723">
            <v>1066.44</v>
          </cell>
        </row>
        <row r="724">
          <cell r="A724">
            <v>45060</v>
          </cell>
          <cell r="B724">
            <v>1068.8399999999999</v>
          </cell>
        </row>
        <row r="725">
          <cell r="A725">
            <v>45067</v>
          </cell>
          <cell r="B725">
            <v>1060.81</v>
          </cell>
        </row>
        <row r="726">
          <cell r="A726">
            <v>45074</v>
          </cell>
          <cell r="B726">
            <v>1086.96</v>
          </cell>
        </row>
        <row r="727">
          <cell r="A727">
            <v>45081</v>
          </cell>
          <cell r="B727">
            <v>1100.8499999999999</v>
          </cell>
        </row>
        <row r="728">
          <cell r="A728">
            <v>45088</v>
          </cell>
          <cell r="B728">
            <v>1109.06</v>
          </cell>
        </row>
        <row r="729">
          <cell r="A729">
            <v>45095</v>
          </cell>
          <cell r="B729">
            <v>1126.76</v>
          </cell>
        </row>
        <row r="730">
          <cell r="A730">
            <v>45102</v>
          </cell>
          <cell r="B730">
            <v>1123.1300000000001</v>
          </cell>
        </row>
        <row r="731">
          <cell r="A731">
            <v>45109</v>
          </cell>
          <cell r="B731">
            <v>1125.69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08"/>
  <sheetViews>
    <sheetView tabSelected="1" workbookViewId="0">
      <pane xSplit="1" topLeftCell="B1" activePane="topRight" state="frozen"/>
      <selection pane="topRight" activeCell="E22" sqref="E22"/>
    </sheetView>
  </sheetViews>
  <sheetFormatPr defaultRowHeight="14" x14ac:dyDescent="0.3"/>
  <cols>
    <col min="1" max="1" width="10.58203125" style="1" bestFit="1" customWidth="1"/>
    <col min="2" max="2" width="10" style="1" bestFit="1" customWidth="1"/>
    <col min="3" max="13" width="8.6640625" style="1"/>
    <col min="14" max="14" width="8.6640625" style="5"/>
    <col min="15" max="21" width="8.6640625" style="1"/>
    <col min="22" max="23" width="8.6640625" style="5"/>
    <col min="24" max="24" width="8.6640625" style="1"/>
    <col min="25" max="25" width="8.6640625" style="5"/>
    <col min="26" max="26" width="9" style="5" bestFit="1" customWidth="1"/>
    <col min="27" max="27" width="8.6640625" style="5"/>
    <col min="28" max="29" width="8.6640625" style="1"/>
    <col min="31" max="31" width="8.6640625" style="5"/>
    <col min="32" max="32" width="13.58203125" customWidth="1"/>
    <col min="33" max="33" width="11.58203125" style="9" customWidth="1"/>
    <col min="34" max="34" width="13.9140625" customWidth="1"/>
    <col min="35" max="35" width="13.6640625" customWidth="1"/>
    <col min="36" max="36" width="12.58203125" customWidth="1"/>
  </cols>
  <sheetData>
    <row r="1" spans="1:36" x14ac:dyDescent="0.3">
      <c r="A1" s="1" t="s">
        <v>0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5" t="s">
        <v>18</v>
      </c>
      <c r="O1" s="1" t="s">
        <v>19</v>
      </c>
      <c r="P1" s="1" t="s">
        <v>20</v>
      </c>
      <c r="Q1" s="1" t="s">
        <v>28</v>
      </c>
      <c r="R1" s="1" t="s">
        <v>22</v>
      </c>
      <c r="S1" s="1" t="s">
        <v>23</v>
      </c>
      <c r="T1" s="1" t="s">
        <v>24</v>
      </c>
      <c r="U1" s="1" t="s">
        <v>25</v>
      </c>
      <c r="V1" s="5" t="s">
        <v>26</v>
      </c>
      <c r="W1" s="5" t="s">
        <v>27</v>
      </c>
      <c r="X1" s="1" t="s">
        <v>21</v>
      </c>
      <c r="Y1" s="5" t="s">
        <v>1</v>
      </c>
      <c r="Z1" s="5" t="s">
        <v>2</v>
      </c>
      <c r="AA1" s="5" t="s">
        <v>3</v>
      </c>
      <c r="AB1" s="1" t="s">
        <v>29</v>
      </c>
      <c r="AC1" s="1" t="s">
        <v>4</v>
      </c>
      <c r="AD1" t="s">
        <v>5</v>
      </c>
      <c r="AE1" s="5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</row>
    <row r="2" spans="1:36" x14ac:dyDescent="0.3">
      <c r="A2" s="2">
        <v>40167</v>
      </c>
      <c r="B2" s="3">
        <v>2249.35</v>
      </c>
      <c r="C2" s="4">
        <v>67589</v>
      </c>
      <c r="D2" s="3">
        <v>4790.8999999999996</v>
      </c>
      <c r="E2" s="3">
        <v>10520.1</v>
      </c>
      <c r="F2" s="3">
        <v>11754.61</v>
      </c>
      <c r="G2" s="1">
        <v>634.07000000000005</v>
      </c>
      <c r="H2" s="3">
        <v>1126.48</v>
      </c>
      <c r="I2" s="3">
        <v>2285.69</v>
      </c>
      <c r="J2" s="3">
        <v>32548.53</v>
      </c>
      <c r="K2" s="1">
        <v>16420.43</v>
      </c>
      <c r="L2" s="3">
        <v>2371.0700000000002</v>
      </c>
      <c r="M2" s="3">
        <v>5957.44</v>
      </c>
      <c r="N2" s="6">
        <f>VLOOKUP(A2,'[1]俄罗斯交易系统市值加权指数历史数据 (1)'!$A:$B,2,)</f>
        <v>1450.25</v>
      </c>
      <c r="O2" s="3">
        <v>3912.73</v>
      </c>
      <c r="P2" s="1">
        <v>333.6</v>
      </c>
      <c r="Q2" s="3">
        <v>6579.98</v>
      </c>
      <c r="R2" s="1">
        <v>516.61</v>
      </c>
      <c r="S2" s="3">
        <v>11967.5</v>
      </c>
      <c r="T2" s="3">
        <v>5402.41</v>
      </c>
      <c r="U2" s="3">
        <v>2957.03</v>
      </c>
      <c r="V2" s="6">
        <f>VLOOKUP(A2,[2]韩国KOSPI指数历史数据!$A:$B,2,)</f>
        <v>1682.34</v>
      </c>
      <c r="W2" s="6">
        <f>VLOOKUP(A2,[3]日经225指数历史数据!$A:$B,2,)</f>
        <v>10494.71</v>
      </c>
      <c r="X2" s="3">
        <v>1146.28</v>
      </c>
      <c r="Y2" s="6">
        <f>VLOOKUP(A2,[4]上证指数历史数据!$A:$B,2,)</f>
        <v>3141.35</v>
      </c>
      <c r="Z2" s="6">
        <f>VLOOKUP(A2,[5]深证成份指数历史数据!$A:$B,2,)</f>
        <v>13289.94</v>
      </c>
      <c r="AA2" s="6">
        <f>VLOOKUP(A2,[6]台湾加权指数历史数据!$A:$B,2,)</f>
        <v>7972.59</v>
      </c>
      <c r="AB2" s="3">
        <v>21517</v>
      </c>
      <c r="AC2" s="3">
        <v>2837.7</v>
      </c>
      <c r="AD2">
        <v>5178.3999999999996</v>
      </c>
      <c r="AE2" s="5">
        <f>VLOOKUP(A2,[7]越南VN30指数历史数据!$A:$B,2,)</f>
        <v>527.54</v>
      </c>
      <c r="AF2">
        <v>24969.9</v>
      </c>
      <c r="AG2" s="9">
        <v>9465.01</v>
      </c>
      <c r="AH2">
        <v>10426.73</v>
      </c>
      <c r="AI2">
        <v>829.26</v>
      </c>
      <c r="AJ2">
        <v>1192.07</v>
      </c>
    </row>
    <row r="3" spans="1:36" x14ac:dyDescent="0.3">
      <c r="A3" s="2">
        <v>40174</v>
      </c>
      <c r="B3" s="3">
        <v>2320.73</v>
      </c>
      <c r="C3" s="4">
        <v>68588</v>
      </c>
      <c r="D3" s="3">
        <v>4870.6000000000004</v>
      </c>
      <c r="E3" s="3">
        <v>10428.049999999999</v>
      </c>
      <c r="F3" s="3">
        <v>11746.11</v>
      </c>
      <c r="G3" s="1">
        <v>625.39</v>
      </c>
      <c r="H3" s="3">
        <v>1115.0999999999999</v>
      </c>
      <c r="I3" s="3">
        <v>2269.15</v>
      </c>
      <c r="J3" s="3">
        <v>32120.47</v>
      </c>
      <c r="K3" s="1">
        <v>16630.91</v>
      </c>
      <c r="L3" s="3">
        <v>2388.7199999999998</v>
      </c>
      <c r="M3" s="3">
        <v>5957.43</v>
      </c>
      <c r="N3" s="6">
        <f>VLOOKUP(A3,'[1]俄罗斯交易系统市值加权指数历史数据 (1)'!$A:$B,2,)</f>
        <v>1444.61</v>
      </c>
      <c r="O3" s="3">
        <v>3936.33</v>
      </c>
      <c r="P3" s="1">
        <v>335.33</v>
      </c>
      <c r="Q3" s="3">
        <v>6545.91</v>
      </c>
      <c r="R3" s="1">
        <v>528.25</v>
      </c>
      <c r="S3" s="3">
        <v>11940</v>
      </c>
      <c r="T3" s="3">
        <v>5412.88</v>
      </c>
      <c r="U3" s="3">
        <v>2964.96</v>
      </c>
      <c r="V3" s="6">
        <f>VLOOKUP(A3,[2]韩国KOSPI指数历史数据!$A:$B,2,)</f>
        <v>1682.77</v>
      </c>
      <c r="W3" s="6">
        <f>VLOOKUP(A3,[3]日经225指数历史数据!$A:$B,2,)</f>
        <v>10546.44</v>
      </c>
      <c r="X3" s="3">
        <v>1145.06</v>
      </c>
      <c r="Y3" s="6">
        <f>VLOOKUP(A3,[4]上证指数历史数据!$A:$B,2,)</f>
        <v>3277.14</v>
      </c>
      <c r="Z3" s="6">
        <f>VLOOKUP(A3,[5]深证成份指数历史数据!$A:$B,2,)</f>
        <v>13699.97</v>
      </c>
      <c r="AA3" s="6">
        <f>VLOOKUP(A3,[6]台湾加权指数历史数据!$A:$B,2,)</f>
        <v>8188.11</v>
      </c>
      <c r="AB3" s="3">
        <v>21872.5</v>
      </c>
      <c r="AC3" s="3">
        <v>2897.62</v>
      </c>
      <c r="AD3">
        <v>5201.05</v>
      </c>
      <c r="AE3" s="5">
        <f>VLOOKUP(A3,[7]越南VN30指数历史数据!$A:$B,2,)</f>
        <v>525.97</v>
      </c>
      <c r="AF3">
        <v>24996.97</v>
      </c>
      <c r="AG3" s="9">
        <v>9230.9500000000007</v>
      </c>
      <c r="AH3">
        <v>10443.81</v>
      </c>
      <c r="AI3">
        <v>848.08</v>
      </c>
      <c r="AJ3">
        <v>1192.3699999999999</v>
      </c>
    </row>
    <row r="4" spans="1:36" x14ac:dyDescent="0.3">
      <c r="A4" s="2">
        <v>40181</v>
      </c>
      <c r="B4" s="3">
        <v>2352.7600000000002</v>
      </c>
      <c r="C4" s="4">
        <v>70263</v>
      </c>
      <c r="D4" s="3">
        <v>4912.1000000000004</v>
      </c>
      <c r="E4" s="3">
        <v>10618.19</v>
      </c>
      <c r="F4" s="3">
        <v>11953.83</v>
      </c>
      <c r="G4" s="1">
        <v>644.55999999999995</v>
      </c>
      <c r="H4" s="3">
        <v>1144.98</v>
      </c>
      <c r="I4" s="3">
        <v>2317.17</v>
      </c>
      <c r="J4" s="3">
        <v>32892.04</v>
      </c>
      <c r="K4" s="1">
        <v>17193.740000000002</v>
      </c>
      <c r="L4" s="3">
        <v>2440.42</v>
      </c>
      <c r="M4" s="3">
        <v>6037.61</v>
      </c>
      <c r="N4" s="6" t="e">
        <f>VLOOKUP(A4,'[1]俄罗斯交易系统市值加权指数历史数据 (1)'!$A:$B,2,)</f>
        <v>#N/A</v>
      </c>
      <c r="O4" s="3">
        <v>4045.14</v>
      </c>
      <c r="P4" s="1">
        <v>341.94</v>
      </c>
      <c r="Q4" s="3">
        <v>6617.88</v>
      </c>
      <c r="R4" s="1">
        <v>547.98</v>
      </c>
      <c r="S4" s="3">
        <v>12163</v>
      </c>
      <c r="T4" s="3">
        <v>5534.24</v>
      </c>
      <c r="U4" s="3">
        <v>3017.85</v>
      </c>
      <c r="V4" s="6">
        <f>VLOOKUP(A4,[2]韩国KOSPI指数历史数据!$A:$B,2,)</f>
        <v>1695.26</v>
      </c>
      <c r="W4" s="6">
        <f>VLOOKUP(A4,[3]日经225指数历史数据!$A:$B,2,)</f>
        <v>10798.32</v>
      </c>
      <c r="X4" s="3">
        <v>1166.23</v>
      </c>
      <c r="Y4" s="6">
        <f>VLOOKUP(A4,[4]上证指数历史数据!$A:$B,2,)</f>
        <v>3196</v>
      </c>
      <c r="Z4" s="6">
        <f>VLOOKUP(A4,[5]深证成份指数历史数据!$A:$B,2,)</f>
        <v>13267.44</v>
      </c>
      <c r="AA4" s="6">
        <f>VLOOKUP(A4,[6]台湾加权指数历史数据!$A:$B,2,)</f>
        <v>8280.9</v>
      </c>
      <c r="AB4" s="3">
        <v>22296.75</v>
      </c>
      <c r="AC4" s="3">
        <v>2922.76</v>
      </c>
      <c r="AD4">
        <v>5244.75</v>
      </c>
      <c r="AE4" s="5">
        <f>VLOOKUP(A4,[7]越南VN30指数历史数据!$A:$B,2,)</f>
        <v>547.5</v>
      </c>
      <c r="AF4">
        <v>25586.73</v>
      </c>
      <c r="AG4" s="9">
        <v>9603.19</v>
      </c>
      <c r="AH4">
        <v>10782.2</v>
      </c>
      <c r="AI4">
        <v>889.55</v>
      </c>
      <c r="AJ4">
        <v>1190.97</v>
      </c>
    </row>
    <row r="5" spans="1:36" x14ac:dyDescent="0.3">
      <c r="A5" s="2">
        <v>40188</v>
      </c>
      <c r="B5" s="3">
        <v>2371.11</v>
      </c>
      <c r="C5" s="4">
        <v>68978</v>
      </c>
      <c r="D5" s="3">
        <v>4899.6000000000004</v>
      </c>
      <c r="E5" s="3">
        <v>10609.65</v>
      </c>
      <c r="F5" s="3">
        <v>11685.37</v>
      </c>
      <c r="G5" s="1">
        <v>637.96</v>
      </c>
      <c r="H5" s="3">
        <v>1136.03</v>
      </c>
      <c r="I5" s="3">
        <v>2287.9899999999998</v>
      </c>
      <c r="J5" s="3">
        <v>32262.3</v>
      </c>
      <c r="K5" s="1">
        <v>17347.91</v>
      </c>
      <c r="L5" s="3">
        <v>2442.38</v>
      </c>
      <c r="M5" s="3">
        <v>5875.97</v>
      </c>
      <c r="N5" s="6">
        <f>VLOOKUP(A5,'[1]俄罗斯交易系统市值加权指数历史数据 (1)'!$A:$B,2,)</f>
        <v>1559.25</v>
      </c>
      <c r="O5" s="3">
        <v>3954.38</v>
      </c>
      <c r="P5" s="1">
        <v>337.99</v>
      </c>
      <c r="Q5" s="3">
        <v>6576.02</v>
      </c>
      <c r="R5" s="1">
        <v>540.05999999999995</v>
      </c>
      <c r="S5" s="3">
        <v>11845</v>
      </c>
      <c r="T5" s="3">
        <v>5455.37</v>
      </c>
      <c r="U5" s="3">
        <v>2940.25</v>
      </c>
      <c r="V5" s="6">
        <f>VLOOKUP(A5,[2]韩国KOSPI指数历史数据!$A:$B,2,)</f>
        <v>1701.8</v>
      </c>
      <c r="W5" s="6">
        <f>VLOOKUP(A5,[3]日经225指数历史数据!$A:$B,2,)</f>
        <v>10982.1</v>
      </c>
      <c r="X5" s="3">
        <v>1146.95</v>
      </c>
      <c r="Y5" s="6">
        <f>VLOOKUP(A5,[4]上证指数历史数据!$A:$B,2,)</f>
        <v>3224.15</v>
      </c>
      <c r="Z5" s="6">
        <f>VLOOKUP(A5,[5]深证成份指数历史数据!$A:$B,2,)</f>
        <v>13264.37</v>
      </c>
      <c r="AA5" s="6">
        <f>VLOOKUP(A5,[6]台湾加权指数历史数据!$A:$B,2,)</f>
        <v>8356.89</v>
      </c>
      <c r="AB5" s="3">
        <v>21654.16</v>
      </c>
      <c r="AC5" s="3">
        <v>2908.42</v>
      </c>
      <c r="AD5">
        <v>5252.2</v>
      </c>
      <c r="AE5" s="5">
        <f>VLOOKUP(A5,[7]越南VN30指数历史数据!$A:$B,2,)</f>
        <v>528.89</v>
      </c>
      <c r="AF5">
        <v>25278.6</v>
      </c>
      <c r="AG5" s="9">
        <v>9953.17</v>
      </c>
      <c r="AH5">
        <v>10810.91</v>
      </c>
      <c r="AI5">
        <v>911.29</v>
      </c>
      <c r="AJ5">
        <v>1189.67</v>
      </c>
    </row>
    <row r="6" spans="1:36" x14ac:dyDescent="0.3">
      <c r="A6" s="2">
        <v>40195</v>
      </c>
      <c r="B6" s="3">
        <v>2331.6</v>
      </c>
      <c r="C6" s="4">
        <v>66220</v>
      </c>
      <c r="D6" s="3">
        <v>4750.6000000000004</v>
      </c>
      <c r="E6" s="3">
        <v>10172.98</v>
      </c>
      <c r="F6" s="3">
        <v>11343.43</v>
      </c>
      <c r="G6" s="1">
        <v>617.12</v>
      </c>
      <c r="H6" s="3">
        <v>1091.76</v>
      </c>
      <c r="I6" s="3">
        <v>2205.29</v>
      </c>
      <c r="J6" s="3">
        <v>30830.91</v>
      </c>
      <c r="K6" s="1">
        <v>17446.54</v>
      </c>
      <c r="L6" s="3">
        <v>2407.7800000000002</v>
      </c>
      <c r="M6" s="3">
        <v>5695.32</v>
      </c>
      <c r="N6" s="6">
        <f>VLOOKUP(A6,'[1]俄罗斯交易系统市值加权指数历史数据 (1)'!$A:$B,2,)</f>
        <v>1489.46</v>
      </c>
      <c r="O6" s="3">
        <v>3820.78</v>
      </c>
      <c r="P6" s="1">
        <v>329.48</v>
      </c>
      <c r="Q6" s="3">
        <v>6493.96</v>
      </c>
      <c r="R6" s="1">
        <v>539.97</v>
      </c>
      <c r="S6" s="3">
        <v>11373.4</v>
      </c>
      <c r="T6" s="3">
        <v>5302.99</v>
      </c>
      <c r="U6" s="3">
        <v>2836.8</v>
      </c>
      <c r="V6" s="6">
        <f>VLOOKUP(A6,[2]韩国KOSPI指数历史数据!$A:$B,2,)</f>
        <v>1684.35</v>
      </c>
      <c r="W6" s="6">
        <f>VLOOKUP(A6,[3]日经225指数历史数据!$A:$B,2,)</f>
        <v>10590.55</v>
      </c>
      <c r="X6" s="3">
        <v>1155.6199999999999</v>
      </c>
      <c r="Y6" s="6">
        <f>VLOOKUP(A6,[4]上证指数历史数据!$A:$B,2,)</f>
        <v>3128.59</v>
      </c>
      <c r="Z6" s="6">
        <f>VLOOKUP(A6,[5]深证成份指数历史数据!$A:$B,2,)</f>
        <v>12595.93</v>
      </c>
      <c r="AA6" s="6">
        <f>VLOOKUP(A6,[6]台湾加权指数历史数据!$A:$B,2,)</f>
        <v>7927.31</v>
      </c>
      <c r="AB6" s="3">
        <v>20726.18</v>
      </c>
      <c r="AC6" s="3">
        <v>2819.71</v>
      </c>
      <c r="AD6">
        <v>5036</v>
      </c>
      <c r="AE6" s="5">
        <f>VLOOKUP(A6,[7]越南VN30指数历史数据!$A:$B,2,)</f>
        <v>503.64</v>
      </c>
      <c r="AF6">
        <v>24428.41</v>
      </c>
      <c r="AG6" s="9">
        <v>10237.75</v>
      </c>
      <c r="AH6">
        <v>10920.14</v>
      </c>
      <c r="AI6">
        <v>911.71</v>
      </c>
      <c r="AJ6">
        <v>1189.2</v>
      </c>
    </row>
    <row r="7" spans="1:36" x14ac:dyDescent="0.3">
      <c r="A7" s="2">
        <v>40202</v>
      </c>
      <c r="B7" s="3">
        <v>2298.5500000000002</v>
      </c>
      <c r="C7" s="4">
        <v>65402</v>
      </c>
      <c r="D7" s="3">
        <v>4569.6000000000004</v>
      </c>
      <c r="E7" s="3">
        <v>10067.33</v>
      </c>
      <c r="F7" s="3">
        <v>11094.31</v>
      </c>
      <c r="G7" s="1">
        <v>602.04</v>
      </c>
      <c r="H7" s="3">
        <v>1073.8699999999999</v>
      </c>
      <c r="I7" s="3">
        <v>2147.35</v>
      </c>
      <c r="J7" s="3">
        <v>30391.61</v>
      </c>
      <c r="K7" s="1">
        <v>17594.64</v>
      </c>
      <c r="L7" s="3">
        <v>2382.64</v>
      </c>
      <c r="M7" s="3">
        <v>5608.79</v>
      </c>
      <c r="N7" s="6">
        <f>VLOOKUP(A7,'[1]俄罗斯交易系统市值加权指数历史数据 (1)'!$A:$B,2,)</f>
        <v>1473.81</v>
      </c>
      <c r="O7" s="3">
        <v>3739.46</v>
      </c>
      <c r="P7" s="1">
        <v>327.9</v>
      </c>
      <c r="Q7" s="3">
        <v>6440.72</v>
      </c>
      <c r="R7" s="1">
        <v>546.51</v>
      </c>
      <c r="S7" s="3">
        <v>10947.7</v>
      </c>
      <c r="T7" s="3">
        <v>5188.5200000000004</v>
      </c>
      <c r="U7" s="3">
        <v>2776.83</v>
      </c>
      <c r="V7" s="6">
        <f>VLOOKUP(A7,[2]韩国KOSPI指数历史数据!$A:$B,2,)</f>
        <v>1602.43</v>
      </c>
      <c r="W7" s="6">
        <f>VLOOKUP(A7,[3]日经225指数历史数据!$A:$B,2,)</f>
        <v>10198.040000000001</v>
      </c>
      <c r="X7" s="3">
        <v>1135.79</v>
      </c>
      <c r="Y7" s="6">
        <f>VLOOKUP(A7,[4]上证指数历史数据!$A:$B,2,)</f>
        <v>2989.29</v>
      </c>
      <c r="Z7" s="6">
        <f>VLOOKUP(A7,[5]深证成份指数历史数据!$A:$B,2,)</f>
        <v>12137.2</v>
      </c>
      <c r="AA7" s="6">
        <f>VLOOKUP(A7,[6]台湾加权指数历史数据!$A:$B,2,)</f>
        <v>7640.44</v>
      </c>
      <c r="AB7" s="3">
        <v>20121.990000000002</v>
      </c>
      <c r="AC7" s="3">
        <v>2745.35</v>
      </c>
      <c r="AD7">
        <v>4882.05</v>
      </c>
      <c r="AE7" s="5">
        <f>VLOOKUP(A7,[7]越南VN30指数历史数据!$A:$B,2,)</f>
        <v>504.97</v>
      </c>
      <c r="AF7">
        <v>24041.26</v>
      </c>
      <c r="AG7" s="9">
        <v>9983.67</v>
      </c>
      <c r="AH7">
        <v>10928.44</v>
      </c>
      <c r="AI7">
        <v>923.7</v>
      </c>
      <c r="AJ7">
        <v>1188.3800000000001</v>
      </c>
    </row>
    <row r="8" spans="1:36" x14ac:dyDescent="0.3">
      <c r="A8" s="2">
        <v>40209</v>
      </c>
      <c r="B8" s="3">
        <v>2165.15</v>
      </c>
      <c r="C8" s="4">
        <v>62763</v>
      </c>
      <c r="D8" s="3">
        <v>4514.1000000000004</v>
      </c>
      <c r="E8" s="3">
        <v>10012.23</v>
      </c>
      <c r="F8" s="3">
        <v>11223.12</v>
      </c>
      <c r="G8" s="1">
        <v>592.98</v>
      </c>
      <c r="H8" s="3">
        <v>1066.19</v>
      </c>
      <c r="I8" s="3">
        <v>2141.12</v>
      </c>
      <c r="J8" s="3">
        <v>30630.73</v>
      </c>
      <c r="K8" s="1">
        <v>17191.53</v>
      </c>
      <c r="L8" s="3">
        <v>2195.65</v>
      </c>
      <c r="M8" s="3">
        <v>5434.34</v>
      </c>
      <c r="N8" s="6">
        <f>VLOOKUP(A8,'[1]俄罗斯交易系统市值加权指数历史数据 (1)'!$A:$B,2,)</f>
        <v>1411.14</v>
      </c>
      <c r="O8" s="3">
        <v>3563.76</v>
      </c>
      <c r="P8" s="1">
        <v>315.04000000000002</v>
      </c>
      <c r="Q8" s="3">
        <v>6264.33</v>
      </c>
      <c r="R8" s="1">
        <v>514.54999999999995</v>
      </c>
      <c r="S8" s="3">
        <v>10103.299999999999</v>
      </c>
      <c r="T8" s="3">
        <v>5060.92</v>
      </c>
      <c r="U8" s="3">
        <v>2631.64</v>
      </c>
      <c r="V8" s="6">
        <f>VLOOKUP(A8,[2]韩国KOSPI指数历史数据!$A:$B,2,)</f>
        <v>1567.12</v>
      </c>
      <c r="W8" s="6">
        <f>VLOOKUP(A8,[3]日经225指数历史数据!$A:$B,2,)</f>
        <v>10057.09</v>
      </c>
      <c r="X8" s="3">
        <v>1135.17</v>
      </c>
      <c r="Y8" s="6">
        <f>VLOOKUP(A8,[4]上证指数历史数据!$A:$B,2,)</f>
        <v>2939.4</v>
      </c>
      <c r="Z8" s="6">
        <f>VLOOKUP(A8,[5]深证成份指数历史数据!$A:$B,2,)</f>
        <v>11917.14</v>
      </c>
      <c r="AA8" s="6">
        <f>VLOOKUP(A8,[6]台湾加权指数历史数据!$A:$B,2,)</f>
        <v>7212.87</v>
      </c>
      <c r="AB8" s="3">
        <v>19665.080000000002</v>
      </c>
      <c r="AC8" s="3">
        <v>2683.56</v>
      </c>
      <c r="AD8">
        <v>4718.6499999999996</v>
      </c>
      <c r="AE8" s="5">
        <f>VLOOKUP(A8,[7]越南VN30指数历史数据!$A:$B,2,)</f>
        <v>521.39</v>
      </c>
      <c r="AF8">
        <v>23111.25</v>
      </c>
      <c r="AG8" s="9">
        <v>10409.92</v>
      </c>
      <c r="AH8">
        <v>10926.96</v>
      </c>
      <c r="AI8">
        <v>953.82</v>
      </c>
      <c r="AJ8">
        <v>1185.95</v>
      </c>
    </row>
    <row r="9" spans="1:36" x14ac:dyDescent="0.3">
      <c r="A9" s="2">
        <v>40216</v>
      </c>
      <c r="B9" s="3">
        <v>2273.41</v>
      </c>
      <c r="C9" s="4">
        <v>65855</v>
      </c>
      <c r="D9" s="3">
        <v>4562.1000000000004</v>
      </c>
      <c r="E9" s="3">
        <v>10099.14</v>
      </c>
      <c r="F9" s="3">
        <v>11469.81</v>
      </c>
      <c r="G9" s="1">
        <v>610.72</v>
      </c>
      <c r="H9" s="3">
        <v>1075.51</v>
      </c>
      <c r="I9" s="3">
        <v>2183.5300000000002</v>
      </c>
      <c r="J9" s="3">
        <v>31005.74</v>
      </c>
      <c r="K9" s="1">
        <v>17507.14</v>
      </c>
      <c r="L9" s="3">
        <v>2216.71</v>
      </c>
      <c r="M9" s="3">
        <v>5500.39</v>
      </c>
      <c r="N9" s="6">
        <f>VLOOKUP(A9,'[1]俄罗斯交易系统市值加权指数历史数据 (1)'!$A:$B,2,)</f>
        <v>1363.83</v>
      </c>
      <c r="O9" s="3">
        <v>3599.07</v>
      </c>
      <c r="P9" s="1">
        <v>315.74</v>
      </c>
      <c r="Q9" s="3">
        <v>6416.2</v>
      </c>
      <c r="R9" s="1">
        <v>510.64</v>
      </c>
      <c r="S9" s="3">
        <v>10224.9</v>
      </c>
      <c r="T9" s="3">
        <v>5142.45</v>
      </c>
      <c r="U9" s="3">
        <v>2674.46</v>
      </c>
      <c r="V9" s="6">
        <f>VLOOKUP(A9,[2]韩国KOSPI指数历史数据!$A:$B,2,)</f>
        <v>1593.66</v>
      </c>
      <c r="W9" s="6">
        <f>VLOOKUP(A9,[3]日经225指数历史数据!$A:$B,2,)</f>
        <v>10092.19</v>
      </c>
      <c r="X9" s="3">
        <v>1136.46</v>
      </c>
      <c r="Y9" s="6">
        <f>VLOOKUP(A9,[4]上证指数历史数据!$A:$B,2,)</f>
        <v>3018.13</v>
      </c>
      <c r="Z9" s="6">
        <f>VLOOKUP(A9,[5]深证成份指数历史数据!$A:$B,2,)</f>
        <v>12304.78</v>
      </c>
      <c r="AA9" s="6">
        <f>VLOOKUP(A9,[6]台湾加权指数历史数据!$A:$B,2,)</f>
        <v>7441.84</v>
      </c>
      <c r="AB9" s="3">
        <v>20268.689999999999</v>
      </c>
      <c r="AC9" s="3">
        <v>2758.9</v>
      </c>
      <c r="AD9">
        <v>4826.8500000000004</v>
      </c>
      <c r="AE9" s="5">
        <f>VLOOKUP(A9,[7]越南VN30指数历史数据!$A:$B,2,)</f>
        <v>535.79999999999995</v>
      </c>
      <c r="AF9">
        <v>23569.11</v>
      </c>
      <c r="AG9" s="9">
        <v>10357.91</v>
      </c>
      <c r="AH9">
        <v>11097.27</v>
      </c>
      <c r="AI9">
        <v>958.16</v>
      </c>
      <c r="AJ9">
        <v>1177.8800000000001</v>
      </c>
    </row>
    <row r="10" spans="1:36" x14ac:dyDescent="0.3">
      <c r="A10" s="2">
        <v>40223</v>
      </c>
      <c r="B10" s="3">
        <v>2334.9899999999998</v>
      </c>
      <c r="C10" s="4">
        <v>67597</v>
      </c>
      <c r="D10" s="3">
        <v>4635.1000000000004</v>
      </c>
      <c r="E10" s="3">
        <v>10402.35</v>
      </c>
      <c r="F10" s="3">
        <v>11709.29</v>
      </c>
      <c r="G10" s="1">
        <v>631.62</v>
      </c>
      <c r="H10" s="3">
        <v>1109.17</v>
      </c>
      <c r="I10" s="3">
        <v>2243.87</v>
      </c>
      <c r="J10" s="3">
        <v>32172.11</v>
      </c>
      <c r="K10" s="1">
        <v>17823.689999999999</v>
      </c>
      <c r="L10" s="3">
        <v>2249.48</v>
      </c>
      <c r="M10" s="3">
        <v>5722.05</v>
      </c>
      <c r="N10" s="6">
        <f>VLOOKUP(A10,'[1]俄罗斯交易系统市值加权指数历史数据 (1)'!$A:$B,2,)</f>
        <v>1423.13</v>
      </c>
      <c r="O10" s="3">
        <v>3769.54</v>
      </c>
      <c r="P10" s="1">
        <v>325.60000000000002</v>
      </c>
      <c r="Q10" s="3">
        <v>6709.68</v>
      </c>
      <c r="R10" s="1">
        <v>533.19000000000005</v>
      </c>
      <c r="S10" s="3">
        <v>10676.7</v>
      </c>
      <c r="T10" s="3">
        <v>5358.17</v>
      </c>
      <c r="U10" s="3">
        <v>2793.37</v>
      </c>
      <c r="V10" s="6">
        <f>VLOOKUP(A10,[2]韩国KOSPI指数历史数据!$A:$B,2,)</f>
        <v>1593.9</v>
      </c>
      <c r="W10" s="6">
        <f>VLOOKUP(A10,[3]日经225指数历史数据!$A:$B,2,)</f>
        <v>10123.58</v>
      </c>
      <c r="X10" s="3">
        <v>1165.96</v>
      </c>
      <c r="Y10" s="6" t="e">
        <f>VLOOKUP(A10,[4]上证指数历史数据!$A:$B,2,)</f>
        <v>#N/A</v>
      </c>
      <c r="Z10" s="6" t="e">
        <f>VLOOKUP(A10,[5]深证成份指数历史数据!$A:$B,2,)</f>
        <v>#N/A</v>
      </c>
      <c r="AA10" s="6" t="e">
        <f>VLOOKUP(A10,[6]台湾加权指数历史数据!$A:$B,2,)</f>
        <v>#N/A</v>
      </c>
      <c r="AB10" s="3">
        <v>19894.02</v>
      </c>
      <c r="AC10" s="3">
        <v>2757.14</v>
      </c>
      <c r="AD10">
        <v>4844.8999999999996</v>
      </c>
      <c r="AE10" s="5" t="e">
        <f>VLOOKUP(A10,[7]越南VN30指数历史数据!$A:$B,2,)</f>
        <v>#N/A</v>
      </c>
      <c r="AF10">
        <v>24352.61</v>
      </c>
      <c r="AG10" s="9">
        <v>10254.07</v>
      </c>
      <c r="AH10">
        <v>11053.55</v>
      </c>
      <c r="AI10">
        <v>966.11</v>
      </c>
      <c r="AJ10">
        <v>1181.9000000000001</v>
      </c>
    </row>
    <row r="11" spans="1:36" x14ac:dyDescent="0.3">
      <c r="A11" s="2">
        <v>40230</v>
      </c>
      <c r="B11" s="3">
        <v>2221.38</v>
      </c>
      <c r="C11" s="4">
        <v>66503</v>
      </c>
      <c r="D11" s="3">
        <v>4637.7</v>
      </c>
      <c r="E11" s="3">
        <v>10325.26</v>
      </c>
      <c r="F11" s="3">
        <v>11629.63</v>
      </c>
      <c r="G11" s="1">
        <v>628.55999999999995</v>
      </c>
      <c r="H11" s="3">
        <v>1104.49</v>
      </c>
      <c r="I11" s="3">
        <v>2238.2600000000002</v>
      </c>
      <c r="J11" s="3">
        <v>31634.54</v>
      </c>
      <c r="K11" s="1">
        <v>17789.25</v>
      </c>
      <c r="L11" s="3">
        <v>2265.0100000000002</v>
      </c>
      <c r="M11" s="3">
        <v>5598.46</v>
      </c>
      <c r="N11" s="6">
        <f>VLOOKUP(A11,'[1]俄罗斯交易系统市值加权指数历史数据 (1)'!$A:$B,2,)</f>
        <v>1390.25</v>
      </c>
      <c r="O11" s="3">
        <v>3708.8</v>
      </c>
      <c r="P11" s="1">
        <v>317.74</v>
      </c>
      <c r="Q11" s="3">
        <v>6710.99</v>
      </c>
      <c r="R11" s="1">
        <v>497.05</v>
      </c>
      <c r="S11" s="3">
        <v>10333.6</v>
      </c>
      <c r="T11" s="3">
        <v>5354.52</v>
      </c>
      <c r="U11" s="3">
        <v>2728.47</v>
      </c>
      <c r="V11" s="6">
        <f>VLOOKUP(A11,[2]韩国KOSPI指数历史数据!$A:$B,2,)</f>
        <v>1594.58</v>
      </c>
      <c r="W11" s="6">
        <f>VLOOKUP(A11,[3]日经225指数历史数据!$A:$B,2,)</f>
        <v>10126.030000000001</v>
      </c>
      <c r="X11" s="3">
        <v>1159.6099999999999</v>
      </c>
      <c r="Y11" s="6">
        <f>VLOOKUP(A11,[4]上证指数历史数据!$A:$B,2,)</f>
        <v>3051.94</v>
      </c>
      <c r="Z11" s="6">
        <f>VLOOKUP(A11,[5]深证成份指数历史数据!$A:$B,2,)</f>
        <v>12436.66</v>
      </c>
      <c r="AA11" s="6">
        <f>VLOOKUP(A11,[6]台湾加权指数历史数据!$A:$B,2,)</f>
        <v>7436.1</v>
      </c>
      <c r="AB11" s="3">
        <v>20608.7</v>
      </c>
      <c r="AC11" s="3">
        <v>2750.86</v>
      </c>
      <c r="AD11">
        <v>4922.3</v>
      </c>
      <c r="AE11" s="5">
        <f>VLOOKUP(A11,[7]越南VN30指数历史数据!$A:$B,2,)</f>
        <v>517.02</v>
      </c>
      <c r="AF11">
        <v>23994.59</v>
      </c>
      <c r="AG11" s="9">
        <v>10053.68</v>
      </c>
      <c r="AH11">
        <v>11096.8</v>
      </c>
      <c r="AI11">
        <v>956.18</v>
      </c>
      <c r="AJ11">
        <v>1181.9000000000001</v>
      </c>
    </row>
    <row r="12" spans="1:36" x14ac:dyDescent="0.3">
      <c r="A12" s="2">
        <v>40237</v>
      </c>
      <c r="B12" s="3">
        <v>2298.7399999999998</v>
      </c>
      <c r="C12" s="4">
        <v>68847</v>
      </c>
      <c r="D12" s="3">
        <v>4767.2</v>
      </c>
      <c r="E12" s="3">
        <v>10566.2</v>
      </c>
      <c r="F12" s="3">
        <v>11975.14</v>
      </c>
      <c r="G12" s="1">
        <v>666.02</v>
      </c>
      <c r="H12" s="3">
        <v>1138.7</v>
      </c>
      <c r="I12" s="3">
        <v>2326.35</v>
      </c>
      <c r="J12" s="3">
        <v>32436.53</v>
      </c>
      <c r="K12" s="1">
        <v>17632.64</v>
      </c>
      <c r="L12" s="3">
        <v>2389.37</v>
      </c>
      <c r="M12" s="3">
        <v>5877.36</v>
      </c>
      <c r="N12" s="6">
        <f>VLOOKUP(A12,'[1]俄罗斯交易系统市值加权指数历史数据 (1)'!$A:$B,2,)</f>
        <v>1508.21</v>
      </c>
      <c r="O12" s="3">
        <v>3910.42</v>
      </c>
      <c r="P12" s="1">
        <v>338.68</v>
      </c>
      <c r="Q12" s="3">
        <v>6847.78</v>
      </c>
      <c r="R12" s="1">
        <v>526.26</v>
      </c>
      <c r="S12" s="3">
        <v>11019.8</v>
      </c>
      <c r="T12" s="3">
        <v>5599.76</v>
      </c>
      <c r="U12" s="3">
        <v>2877.44</v>
      </c>
      <c r="V12" s="6">
        <f>VLOOKUP(A12,[2]韩国KOSPI指数历史数据!$A:$B,2,)</f>
        <v>1634.57</v>
      </c>
      <c r="W12" s="6">
        <f>VLOOKUP(A12,[3]日经225指数历史数据!$A:$B,2,)</f>
        <v>10368.959999999999</v>
      </c>
      <c r="X12" s="3">
        <v>1207.6300000000001</v>
      </c>
      <c r="Y12" s="6">
        <f>VLOOKUP(A12,[4]上证指数历史数据!$A:$B,2,)</f>
        <v>3031.07</v>
      </c>
      <c r="Z12" s="6">
        <f>VLOOKUP(A12,[5]深证成份指数历史数据!$A:$B,2,)</f>
        <v>12341.74</v>
      </c>
      <c r="AA12" s="6">
        <f>VLOOKUP(A12,[6]台湾加权指数历史数据!$A:$B,2,)</f>
        <v>7666.26</v>
      </c>
      <c r="AB12" s="3">
        <v>20787.97</v>
      </c>
      <c r="AC12" s="3">
        <v>2790.29</v>
      </c>
      <c r="AD12">
        <v>5088.7</v>
      </c>
      <c r="AE12" s="5">
        <f>VLOOKUP(A12,[7]越南VN30指数历史数据!$A:$B,2,)</f>
        <v>538.84</v>
      </c>
      <c r="AF12">
        <v>25058.42</v>
      </c>
      <c r="AG12" s="9">
        <v>10156.82</v>
      </c>
      <c r="AH12">
        <v>10985.17</v>
      </c>
      <c r="AI12">
        <v>956.98</v>
      </c>
      <c r="AJ12">
        <v>1181.8599999999999</v>
      </c>
    </row>
    <row r="13" spans="1:36" x14ac:dyDescent="0.3">
      <c r="A13" s="2">
        <v>40244</v>
      </c>
      <c r="B13" s="3">
        <v>2359.9699999999998</v>
      </c>
      <c r="C13" s="4">
        <v>69341</v>
      </c>
      <c r="D13" s="3">
        <v>4818.1000000000004</v>
      </c>
      <c r="E13" s="3">
        <v>10624.69</v>
      </c>
      <c r="F13" s="3">
        <v>12013.82</v>
      </c>
      <c r="G13" s="1">
        <v>676.59</v>
      </c>
      <c r="H13" s="3">
        <v>1149.99</v>
      </c>
      <c r="I13" s="3">
        <v>2367.66</v>
      </c>
      <c r="J13" s="3">
        <v>32578.05</v>
      </c>
      <c r="K13" s="1">
        <v>17819.13</v>
      </c>
      <c r="L13" s="3">
        <v>2415.8200000000002</v>
      </c>
      <c r="M13" s="3">
        <v>5945.11</v>
      </c>
      <c r="N13" s="6">
        <f>VLOOKUP(A13,'[1]俄罗斯交易系统市值加权指数历史数据 (1)'!$A:$B,2,)</f>
        <v>1534.68</v>
      </c>
      <c r="O13" s="3">
        <v>3927.4</v>
      </c>
      <c r="P13" s="1">
        <v>339.57</v>
      </c>
      <c r="Q13" s="3">
        <v>6836.6</v>
      </c>
      <c r="R13" s="1">
        <v>522.33000000000004</v>
      </c>
      <c r="S13" s="3">
        <v>11077</v>
      </c>
      <c r="T13" s="3">
        <v>5625.65</v>
      </c>
      <c r="U13" s="3">
        <v>2898.36</v>
      </c>
      <c r="V13" s="6">
        <f>VLOOKUP(A13,[2]韩国KOSPI指数历史数据!$A:$B,2,)</f>
        <v>1662.74</v>
      </c>
      <c r="W13" s="6">
        <f>VLOOKUP(A13,[3]日经225指数历史数据!$A:$B,2,)</f>
        <v>10751.26</v>
      </c>
      <c r="X13" s="3">
        <v>1209.4000000000001</v>
      </c>
      <c r="Y13" s="6">
        <f>VLOOKUP(A13,[4]上证指数历史数据!$A:$B,2,)</f>
        <v>3013.41</v>
      </c>
      <c r="Z13" s="6">
        <f>VLOOKUP(A13,[5]深证成份指数历史数据!$A:$B,2,)</f>
        <v>12169.11</v>
      </c>
      <c r="AA13" s="6">
        <f>VLOOKUP(A13,[6]台湾加权指数历史数据!$A:$B,2,)</f>
        <v>7748.33</v>
      </c>
      <c r="AB13" s="3">
        <v>21209.74</v>
      </c>
      <c r="AC13" s="3">
        <v>2881.36</v>
      </c>
      <c r="AD13">
        <v>5137</v>
      </c>
      <c r="AE13" s="5">
        <f>VLOOKUP(A13,[7]越南VN30指数历史数据!$A:$B,2,)</f>
        <v>561.36</v>
      </c>
      <c r="AF13">
        <v>25373.37</v>
      </c>
      <c r="AG13" s="9">
        <v>10131.59</v>
      </c>
      <c r="AH13">
        <v>11021.88</v>
      </c>
      <c r="AI13">
        <v>1008.08</v>
      </c>
      <c r="AJ13">
        <v>1179.8800000000001</v>
      </c>
    </row>
    <row r="14" spans="1:36" x14ac:dyDescent="0.3">
      <c r="A14" s="2">
        <v>40251</v>
      </c>
      <c r="B14" s="3">
        <v>2381.1</v>
      </c>
      <c r="C14" s="4">
        <v>68829</v>
      </c>
      <c r="D14" s="3">
        <v>4872.2</v>
      </c>
      <c r="E14" s="3">
        <v>10741.98</v>
      </c>
      <c r="F14" s="3">
        <v>11947.98</v>
      </c>
      <c r="G14" s="1">
        <v>673.89</v>
      </c>
      <c r="H14" s="3">
        <v>1159.9000000000001</v>
      </c>
      <c r="I14" s="3">
        <v>2374.41</v>
      </c>
      <c r="J14" s="3">
        <v>33022.839999999997</v>
      </c>
      <c r="K14" s="1">
        <v>17627.22</v>
      </c>
      <c r="L14" s="3">
        <v>2441.39</v>
      </c>
      <c r="M14" s="3">
        <v>5982.43</v>
      </c>
      <c r="N14" s="6">
        <f>VLOOKUP(A14,'[1]俄罗斯交易系统市值加权指数历史数据 (1)'!$A:$B,2,)</f>
        <v>1544.71</v>
      </c>
      <c r="O14" s="3">
        <v>3925.44</v>
      </c>
      <c r="P14" s="1">
        <v>338.65</v>
      </c>
      <c r="Q14" s="3">
        <v>6880.76</v>
      </c>
      <c r="R14" s="1">
        <v>534.37</v>
      </c>
      <c r="S14" s="3">
        <v>10990.8</v>
      </c>
      <c r="T14" s="3">
        <v>5650.12</v>
      </c>
      <c r="U14" s="3">
        <v>2897.95</v>
      </c>
      <c r="V14" s="6">
        <f>VLOOKUP(A14,[2]韩国KOSPI指数历史数据!$A:$B,2,)</f>
        <v>1686.11</v>
      </c>
      <c r="W14" s="6">
        <f>VLOOKUP(A14,[3]日经225指数历史数据!$A:$B,2,)</f>
        <v>10824.72</v>
      </c>
      <c r="X14" s="3">
        <v>1214.93</v>
      </c>
      <c r="Y14" s="6">
        <f>VLOOKUP(A14,[4]上证指数历史数据!$A:$B,2,)</f>
        <v>3067.75</v>
      </c>
      <c r="Z14" s="6">
        <f>VLOOKUP(A14,[5]深证成份指数历史数据!$A:$B,2,)</f>
        <v>12352.92</v>
      </c>
      <c r="AA14" s="6">
        <f>VLOOKUP(A14,[6]台湾加权指数历史数据!$A:$B,2,)</f>
        <v>7897.91</v>
      </c>
      <c r="AB14" s="3">
        <v>21370.82</v>
      </c>
      <c r="AC14" s="3">
        <v>2915.7</v>
      </c>
      <c r="AD14">
        <v>5262.8</v>
      </c>
      <c r="AE14" s="5">
        <f>VLOOKUP(A14,[7]越南VN30指数历史数据!$A:$B,2,)</f>
        <v>542.82000000000005</v>
      </c>
      <c r="AF14">
        <v>25667.58</v>
      </c>
      <c r="AG14" s="9">
        <v>9874.14</v>
      </c>
      <c r="AH14">
        <v>10984.99</v>
      </c>
      <c r="AI14">
        <v>1021.99</v>
      </c>
      <c r="AJ14">
        <v>1177.1300000000001</v>
      </c>
    </row>
    <row r="15" spans="1:36" x14ac:dyDescent="0.3">
      <c r="A15" s="2">
        <v>40258</v>
      </c>
      <c r="B15" s="3">
        <v>2402.4499999999998</v>
      </c>
      <c r="C15" s="4">
        <v>68683</v>
      </c>
      <c r="D15" s="3">
        <v>4896.8999999999996</v>
      </c>
      <c r="E15" s="3">
        <v>10850.36</v>
      </c>
      <c r="F15" s="3">
        <v>11957.37</v>
      </c>
      <c r="G15" s="1">
        <v>678.97</v>
      </c>
      <c r="H15" s="3">
        <v>1166.5899999999999</v>
      </c>
      <c r="I15" s="3">
        <v>2395.13</v>
      </c>
      <c r="J15" s="3">
        <v>33147.81</v>
      </c>
      <c r="K15" s="1">
        <v>17582.47</v>
      </c>
      <c r="L15" s="3">
        <v>2495.65</v>
      </c>
      <c r="M15" s="3">
        <v>6120.05</v>
      </c>
      <c r="N15" s="6">
        <f>VLOOKUP(A15,'[1]俄罗斯交易系统市值加权指数历史数据 (1)'!$A:$B,2,)</f>
        <v>1519.87</v>
      </c>
      <c r="O15" s="3">
        <v>3988.93</v>
      </c>
      <c r="P15" s="1">
        <v>343.81</v>
      </c>
      <c r="Q15" s="3">
        <v>6838.95</v>
      </c>
      <c r="R15" s="1">
        <v>566.11</v>
      </c>
      <c r="S15" s="3">
        <v>11071.1</v>
      </c>
      <c r="T15" s="3">
        <v>5703.02</v>
      </c>
      <c r="U15" s="3">
        <v>2940.94</v>
      </c>
      <c r="V15" s="6">
        <f>VLOOKUP(A15,[2]韩国KOSPI指数历史数据!$A:$B,2,)</f>
        <v>1697.72</v>
      </c>
      <c r="W15" s="6">
        <f>VLOOKUP(A15,[3]日经225指数历史数据!$A:$B,2,)</f>
        <v>10996.37</v>
      </c>
      <c r="X15" s="3">
        <v>1231.3</v>
      </c>
      <c r="Y15" s="6">
        <f>VLOOKUP(A15,[4]上证指数历史数据!$A:$B,2,)</f>
        <v>3059.72</v>
      </c>
      <c r="Z15" s="6">
        <f>VLOOKUP(A15,[5]深证成份指数历史数据!$A:$B,2,)</f>
        <v>12240.36</v>
      </c>
      <c r="AA15" s="6">
        <f>VLOOKUP(A15,[6]台湾加权指数历史数据!$A:$B,2,)</f>
        <v>7876.86</v>
      </c>
      <c r="AB15" s="3">
        <v>21053.11</v>
      </c>
      <c r="AC15" s="3">
        <v>2906.28</v>
      </c>
      <c r="AD15">
        <v>5282</v>
      </c>
      <c r="AE15" s="5">
        <f>VLOOKUP(A15,[7]越南VN30指数历史数据!$A:$B,2,)</f>
        <v>530.84</v>
      </c>
      <c r="AF15">
        <v>25663.360000000001</v>
      </c>
      <c r="AG15" s="9">
        <v>10097.94</v>
      </c>
      <c r="AH15">
        <v>11228.49</v>
      </c>
      <c r="AI15">
        <v>1024.79</v>
      </c>
      <c r="AJ15">
        <v>1177.0899999999999</v>
      </c>
    </row>
    <row r="16" spans="1:36" x14ac:dyDescent="0.3">
      <c r="A16" s="2">
        <v>40265</v>
      </c>
      <c r="B16" s="3">
        <v>2373.71</v>
      </c>
      <c r="C16" s="4">
        <v>71136</v>
      </c>
      <c r="D16" s="3">
        <v>4907.7</v>
      </c>
      <c r="E16" s="3">
        <v>10927.07</v>
      </c>
      <c r="F16" s="3">
        <v>12151.06</v>
      </c>
      <c r="G16" s="1">
        <v>683.98</v>
      </c>
      <c r="H16" s="3">
        <v>1178.0999999999999</v>
      </c>
      <c r="I16" s="3">
        <v>2402.58</v>
      </c>
      <c r="J16" s="3">
        <v>33266.43</v>
      </c>
      <c r="K16" s="1">
        <v>17773.8</v>
      </c>
      <c r="L16" s="3">
        <v>2552.5</v>
      </c>
      <c r="M16" s="3">
        <v>6235.56</v>
      </c>
      <c r="N16" s="6">
        <f>VLOOKUP(A16,'[1]俄罗斯交易系统市值加权指数历史数据 (1)'!$A:$B,2,)</f>
        <v>1614.45</v>
      </c>
      <c r="O16" s="3">
        <v>4034.23</v>
      </c>
      <c r="P16" s="1">
        <v>351.44</v>
      </c>
      <c r="Q16" s="3">
        <v>6888.92</v>
      </c>
      <c r="R16" s="1">
        <v>580.6</v>
      </c>
      <c r="S16" s="3">
        <v>11067.9</v>
      </c>
      <c r="T16" s="3">
        <v>5744.89</v>
      </c>
      <c r="U16" s="3">
        <v>2978.5</v>
      </c>
      <c r="V16" s="6">
        <f>VLOOKUP(A16,[2]韩国KOSPI指数历史数据!$A:$B,2,)</f>
        <v>1723.49</v>
      </c>
      <c r="W16" s="6">
        <f>VLOOKUP(A16,[3]日经225指数历史数据!$A:$B,2,)</f>
        <v>11286.09</v>
      </c>
      <c r="X16" s="3">
        <v>1233.3</v>
      </c>
      <c r="Y16" s="6">
        <f>VLOOKUP(A16,[4]上证指数历史数据!$A:$B,2,)</f>
        <v>3157.96</v>
      </c>
      <c r="Z16" s="6">
        <f>VLOOKUP(A16,[5]深证成份指数历史数据!$A:$B,2,)</f>
        <v>12767.86</v>
      </c>
      <c r="AA16" s="6">
        <f>VLOOKUP(A16,[6]台湾加权指数历史数据!$A:$B,2,)</f>
        <v>8025.93</v>
      </c>
      <c r="AB16" s="3">
        <v>21537</v>
      </c>
      <c r="AC16" s="3">
        <v>2943.02</v>
      </c>
      <c r="AD16">
        <v>5290.5</v>
      </c>
      <c r="AE16" s="5">
        <f>VLOOKUP(A16,[7]越南VN30指数历史数据!$A:$B,2,)</f>
        <v>534.26</v>
      </c>
      <c r="AF16">
        <v>26113.3</v>
      </c>
      <c r="AG16" s="9">
        <v>10238.530000000001</v>
      </c>
      <c r="AH16">
        <v>11353.56</v>
      </c>
      <c r="AI16">
        <v>1048.1199999999999</v>
      </c>
      <c r="AJ16">
        <v>1174.8499999999999</v>
      </c>
    </row>
    <row r="17" spans="1:36" x14ac:dyDescent="0.3">
      <c r="A17" s="2">
        <v>40272</v>
      </c>
      <c r="B17" s="3">
        <v>2487.7600000000002</v>
      </c>
      <c r="C17" s="4">
        <v>71417</v>
      </c>
      <c r="D17" s="3">
        <v>4948.1000000000004</v>
      </c>
      <c r="E17" s="3">
        <v>10997.35</v>
      </c>
      <c r="F17" s="3">
        <v>12176.84</v>
      </c>
      <c r="G17" s="1">
        <v>702.95</v>
      </c>
      <c r="H17" s="3">
        <v>1194.3699999999999</v>
      </c>
      <c r="I17" s="3">
        <v>2454.0500000000002</v>
      </c>
      <c r="J17" s="3">
        <v>33840.85</v>
      </c>
      <c r="K17" s="1">
        <v>17942.86</v>
      </c>
      <c r="L17" s="3">
        <v>2553.58</v>
      </c>
      <c r="M17" s="3">
        <v>6249.7</v>
      </c>
      <c r="N17" s="6">
        <f>VLOOKUP(A17,'[1]俄罗斯交易系统市值加权指数历史数据 (1)'!$A:$B,2,)</f>
        <v>1631.81</v>
      </c>
      <c r="O17" s="3">
        <v>4050.54</v>
      </c>
      <c r="P17" s="1">
        <v>355.89</v>
      </c>
      <c r="Q17" s="3">
        <v>6888.97</v>
      </c>
      <c r="R17" s="1">
        <v>591.85</v>
      </c>
      <c r="S17" s="3">
        <v>11394.2</v>
      </c>
      <c r="T17" s="3">
        <v>5770.98</v>
      </c>
      <c r="U17" s="3">
        <v>2993.54</v>
      </c>
      <c r="V17" s="6">
        <f>VLOOKUP(A17,[2]韩国KOSPI指数历史数据!$A:$B,2,)</f>
        <v>1724.47</v>
      </c>
      <c r="W17" s="6">
        <f>VLOOKUP(A17,[3]日经225指数历史数据!$A:$B,2,)</f>
        <v>11204.34</v>
      </c>
      <c r="X17" s="3">
        <v>1212.02</v>
      </c>
      <c r="Y17" s="6">
        <f>VLOOKUP(A17,[4]上证指数历史数据!$A:$B,2,)</f>
        <v>3145.35</v>
      </c>
      <c r="Z17" s="6">
        <f>VLOOKUP(A17,[5]深证成份指数历史数据!$A:$B,2,)</f>
        <v>12555.12</v>
      </c>
      <c r="AA17" s="6">
        <f>VLOOKUP(A17,[6]台湾加权指数历史数据!$A:$B,2,)</f>
        <v>8092.03</v>
      </c>
      <c r="AB17" s="3">
        <v>22208.5</v>
      </c>
      <c r="AC17" s="3">
        <v>2971.97</v>
      </c>
      <c r="AD17">
        <v>5361.75</v>
      </c>
      <c r="AE17" s="5">
        <f>VLOOKUP(A17,[7]越南VN30指数历史数据!$A:$B,2,)</f>
        <v>540.28</v>
      </c>
      <c r="AF17">
        <v>26368.35</v>
      </c>
      <c r="AG17" s="9">
        <v>10821.14</v>
      </c>
      <c r="AH17">
        <v>11394.1</v>
      </c>
      <c r="AI17">
        <v>1122.6099999999999</v>
      </c>
      <c r="AJ17">
        <v>1173.45</v>
      </c>
    </row>
    <row r="18" spans="1:36" x14ac:dyDescent="0.3">
      <c r="A18" s="2">
        <v>40279</v>
      </c>
      <c r="B18" s="3">
        <v>2398.94</v>
      </c>
      <c r="C18" s="4">
        <v>69421</v>
      </c>
      <c r="D18" s="3">
        <v>4984.7</v>
      </c>
      <c r="E18" s="3">
        <v>11018.66</v>
      </c>
      <c r="F18" s="3">
        <v>12070.66</v>
      </c>
      <c r="G18" s="1">
        <v>714.62</v>
      </c>
      <c r="H18" s="3">
        <v>1192.1300000000001</v>
      </c>
      <c r="I18" s="3">
        <v>2481.2600000000002</v>
      </c>
      <c r="J18" s="3">
        <v>33621.39</v>
      </c>
      <c r="K18" s="1">
        <v>17790.810000000001</v>
      </c>
      <c r="L18" s="3">
        <v>2594.83</v>
      </c>
      <c r="M18" s="3">
        <v>6180.9</v>
      </c>
      <c r="N18" s="6">
        <f>VLOOKUP(A18,'[1]俄罗斯交易系统市值加权指数历史数据 (1)'!$A:$B,2,)</f>
        <v>1642.57</v>
      </c>
      <c r="O18" s="3">
        <v>3986.63</v>
      </c>
      <c r="P18" s="1">
        <v>349.75</v>
      </c>
      <c r="Q18" s="3">
        <v>6893.69</v>
      </c>
      <c r="R18" s="1">
        <v>582.24</v>
      </c>
      <c r="S18" s="3">
        <v>11259.7</v>
      </c>
      <c r="T18" s="3">
        <v>5743.96</v>
      </c>
      <c r="U18" s="3">
        <v>2949.65</v>
      </c>
      <c r="V18" s="6">
        <f>VLOOKUP(A18,[2]韩国KOSPI指数历史数据!$A:$B,2,)</f>
        <v>1734.49</v>
      </c>
      <c r="W18" s="6">
        <f>VLOOKUP(A18,[3]日经225指数历史数据!$A:$B,2,)</f>
        <v>11102.18</v>
      </c>
      <c r="X18" s="3">
        <v>1215.01</v>
      </c>
      <c r="Y18" s="6">
        <f>VLOOKUP(A18,[4]上证指数历史数据!$A:$B,2,)</f>
        <v>3130.3</v>
      </c>
      <c r="Z18" s="6">
        <f>VLOOKUP(A18,[5]深证成份指数历史数据!$A:$B,2,)</f>
        <v>12416.86</v>
      </c>
      <c r="AA18" s="6">
        <f>VLOOKUP(A18,[6]台湾加权指数历史数据!$A:$B,2,)</f>
        <v>8111.57</v>
      </c>
      <c r="AB18" s="3">
        <v>21865.26</v>
      </c>
      <c r="AC18" s="3">
        <v>3007.19</v>
      </c>
      <c r="AD18">
        <v>5262.6</v>
      </c>
      <c r="AE18" s="5">
        <f>VLOOKUP(A18,[7]越南VN30指数历史数据!$A:$B,2,)</f>
        <v>541.88</v>
      </c>
      <c r="AF18">
        <v>26058.05</v>
      </c>
      <c r="AG18" s="9">
        <v>11298.93</v>
      </c>
      <c r="AH18">
        <v>11966.51</v>
      </c>
      <c r="AI18">
        <v>1140.44</v>
      </c>
      <c r="AJ18">
        <v>1168.08</v>
      </c>
    </row>
    <row r="19" spans="1:36" x14ac:dyDescent="0.3">
      <c r="A19" s="2">
        <v>40286</v>
      </c>
      <c r="B19" s="3">
        <v>2447.0300000000002</v>
      </c>
      <c r="C19" s="4">
        <v>69509</v>
      </c>
      <c r="D19" s="3">
        <v>4881.5</v>
      </c>
      <c r="E19" s="3">
        <v>11204.28</v>
      </c>
      <c r="F19" s="3">
        <v>12239.64</v>
      </c>
      <c r="G19" s="1">
        <v>741.92</v>
      </c>
      <c r="H19" s="3">
        <v>1217.28</v>
      </c>
      <c r="I19" s="3">
        <v>2530.15</v>
      </c>
      <c r="J19" s="3">
        <v>33853.69</v>
      </c>
      <c r="K19" s="1">
        <v>17929.259999999998</v>
      </c>
      <c r="L19" s="3">
        <v>2514.63</v>
      </c>
      <c r="M19" s="3">
        <v>6259.53</v>
      </c>
      <c r="N19" s="6">
        <f>VLOOKUP(A19,'[1]俄罗斯交易系统市值加权指数历史数据 (1)'!$A:$B,2,)</f>
        <v>1602.99</v>
      </c>
      <c r="O19" s="3">
        <v>3951.3</v>
      </c>
      <c r="P19" s="1">
        <v>353.38</v>
      </c>
      <c r="Q19" s="3">
        <v>6767.97</v>
      </c>
      <c r="R19" s="1">
        <v>583.38</v>
      </c>
      <c r="S19" s="3">
        <v>10918.2</v>
      </c>
      <c r="T19" s="3">
        <v>5723.65</v>
      </c>
      <c r="U19" s="3">
        <v>2918.11</v>
      </c>
      <c r="V19" s="6">
        <f>VLOOKUP(A19,[2]韩国KOSPI指数历史数据!$A:$B,2,)</f>
        <v>1737.03</v>
      </c>
      <c r="W19" s="6">
        <f>VLOOKUP(A19,[3]日经225指数历史数据!$A:$B,2,)</f>
        <v>10914.46</v>
      </c>
      <c r="X19" s="3">
        <v>1199.6300000000001</v>
      </c>
      <c r="Y19" s="6">
        <f>VLOOKUP(A19,[4]上证指数历史数据!$A:$B,2,)</f>
        <v>2983.54</v>
      </c>
      <c r="Z19" s="6">
        <f>VLOOKUP(A19,[5]深证成份指数历史数据!$A:$B,2,)</f>
        <v>11702.87</v>
      </c>
      <c r="AA19" s="6">
        <f>VLOOKUP(A19,[6]台湾加权指数历史数据!$A:$B,2,)</f>
        <v>8004.89</v>
      </c>
      <c r="AB19" s="3">
        <v>21244.49</v>
      </c>
      <c r="AC19" s="3">
        <v>2988.49</v>
      </c>
      <c r="AD19">
        <v>5304.1</v>
      </c>
      <c r="AE19" s="5">
        <f>VLOOKUP(A19,[7]越南VN30指数历史数据!$A:$B,2,)</f>
        <v>551.44000000000005</v>
      </c>
      <c r="AF19">
        <v>25906.7</v>
      </c>
      <c r="AG19" s="9">
        <v>11153.45</v>
      </c>
      <c r="AH19">
        <v>12135.52</v>
      </c>
      <c r="AI19">
        <v>1123.03</v>
      </c>
      <c r="AJ19">
        <v>1167.56</v>
      </c>
    </row>
    <row r="20" spans="1:36" x14ac:dyDescent="0.3">
      <c r="A20" s="2">
        <v>40293</v>
      </c>
      <c r="B20" s="3">
        <v>2396.27</v>
      </c>
      <c r="C20" s="4">
        <v>67530</v>
      </c>
      <c r="D20" s="3">
        <v>4807.3999999999996</v>
      </c>
      <c r="E20" s="3">
        <v>11008.61</v>
      </c>
      <c r="F20" s="3">
        <v>12210.7</v>
      </c>
      <c r="G20" s="1">
        <v>716.6</v>
      </c>
      <c r="H20" s="3">
        <v>1186.69</v>
      </c>
      <c r="I20" s="3">
        <v>2461.19</v>
      </c>
      <c r="J20" s="3">
        <v>32687.32</v>
      </c>
      <c r="K20" s="1">
        <v>18039.09</v>
      </c>
      <c r="L20" s="3">
        <v>2547.52</v>
      </c>
      <c r="M20" s="3">
        <v>6135.7</v>
      </c>
      <c r="N20" s="6">
        <f>VLOOKUP(A20,'[1]俄罗斯交易系统市值加权指数历史数据 (1)'!$A:$B,2,)</f>
        <v>1572.84</v>
      </c>
      <c r="O20" s="3">
        <v>3816.99</v>
      </c>
      <c r="P20" s="1">
        <v>345.91</v>
      </c>
      <c r="Q20" s="3">
        <v>6616.82</v>
      </c>
      <c r="R20" s="1">
        <v>589.59</v>
      </c>
      <c r="S20" s="3">
        <v>10492.2</v>
      </c>
      <c r="T20" s="3">
        <v>5553.29</v>
      </c>
      <c r="U20" s="3">
        <v>2816.86</v>
      </c>
      <c r="V20" s="6">
        <f>VLOOKUP(A20,[2]韩国KOSPI指数历史数据!$A:$B,2,)</f>
        <v>1741.56</v>
      </c>
      <c r="W20" s="6">
        <f>VLOOKUP(A20,[3]日经225指数历史数据!$A:$B,2,)</f>
        <v>11057.4</v>
      </c>
      <c r="X20" s="3">
        <v>1164.23</v>
      </c>
      <c r="Y20" s="6">
        <f>VLOOKUP(A20,[4]上证指数历史数据!$A:$B,2,)</f>
        <v>2870.61</v>
      </c>
      <c r="Z20" s="6">
        <f>VLOOKUP(A20,[5]深证成份指数历史数据!$A:$B,2,)</f>
        <v>11162.54</v>
      </c>
      <c r="AA20" s="6">
        <f>VLOOKUP(A20,[6]台湾加权指数历史数据!$A:$B,2,)</f>
        <v>8004.25</v>
      </c>
      <c r="AB20" s="3">
        <v>21108.59</v>
      </c>
      <c r="AC20" s="3">
        <v>2974.61</v>
      </c>
      <c r="AD20">
        <v>5278</v>
      </c>
      <c r="AE20" s="5">
        <f>VLOOKUP(A20,[7]越南VN30指数历史数据!$A:$B,2,)</f>
        <v>560.62</v>
      </c>
      <c r="AF20">
        <v>25629.93</v>
      </c>
      <c r="AG20" s="9">
        <v>11127.16</v>
      </c>
      <c r="AH20">
        <v>12286.99</v>
      </c>
      <c r="AI20">
        <v>1085.57</v>
      </c>
      <c r="AJ20">
        <v>1167.47</v>
      </c>
    </row>
    <row r="21" spans="1:36" x14ac:dyDescent="0.3">
      <c r="A21" s="2">
        <v>40300</v>
      </c>
      <c r="B21" s="3">
        <v>2160.1999999999998</v>
      </c>
      <c r="C21" s="4">
        <v>62871</v>
      </c>
      <c r="D21" s="3">
        <v>4480.7</v>
      </c>
      <c r="E21" s="3">
        <v>10380.43</v>
      </c>
      <c r="F21" s="3">
        <v>11692.43</v>
      </c>
      <c r="G21" s="1">
        <v>653</v>
      </c>
      <c r="H21" s="3">
        <v>1110.8800000000001</v>
      </c>
      <c r="I21" s="3">
        <v>2265.64</v>
      </c>
      <c r="J21" s="3">
        <v>31488.82</v>
      </c>
      <c r="K21" s="1">
        <v>17639.48</v>
      </c>
      <c r="L21" s="3">
        <v>2336.9899999999998</v>
      </c>
      <c r="M21" s="3">
        <v>5715.09</v>
      </c>
      <c r="N21" s="6">
        <f>VLOOKUP(A21,'[1]俄罗斯交易系统市值加权指数历史数据 (1)'!$A:$B,2,)</f>
        <v>1369.91</v>
      </c>
      <c r="O21" s="3">
        <v>3392.59</v>
      </c>
      <c r="P21" s="1">
        <v>312.35000000000002</v>
      </c>
      <c r="Q21" s="3">
        <v>6205.63</v>
      </c>
      <c r="R21" s="1">
        <v>526.87</v>
      </c>
      <c r="S21" s="3">
        <v>9046.1</v>
      </c>
      <c r="T21" s="3">
        <v>5123.0200000000004</v>
      </c>
      <c r="U21" s="3">
        <v>2500.1799999999998</v>
      </c>
      <c r="V21" s="6">
        <f>VLOOKUP(A21,[2]韩国KOSPI指数历史数据!$A:$B,2,)</f>
        <v>1647.5</v>
      </c>
      <c r="W21" s="6">
        <f>VLOOKUP(A21,[3]日经225指数历史数据!$A:$B,2,)</f>
        <v>10364.59</v>
      </c>
      <c r="X21" s="3">
        <v>1140.6099999999999</v>
      </c>
      <c r="Y21" s="6">
        <f>VLOOKUP(A21,[4]上证指数历史数据!$A:$B,2,)</f>
        <v>2688.38</v>
      </c>
      <c r="Z21" s="6">
        <f>VLOOKUP(A21,[5]深证成份指数历史数据!$A:$B,2,)</f>
        <v>10146.42</v>
      </c>
      <c r="AA21" s="6">
        <f>VLOOKUP(A21,[6]台湾加权指数历史数据!$A:$B,2,)</f>
        <v>7567.1</v>
      </c>
      <c r="AB21" s="3">
        <v>19920.29</v>
      </c>
      <c r="AC21" s="3">
        <v>2821.11</v>
      </c>
      <c r="AD21">
        <v>5018.05</v>
      </c>
      <c r="AE21" s="5">
        <f>VLOOKUP(A21,[7]越南VN30指数历史数据!$A:$B,2,)</f>
        <v>555.20000000000005</v>
      </c>
      <c r="AF21">
        <v>23598.02</v>
      </c>
      <c r="AG21" s="9">
        <v>10621.01</v>
      </c>
      <c r="AH21">
        <v>12171.89</v>
      </c>
      <c r="AI21">
        <v>1126.67</v>
      </c>
      <c r="AJ21">
        <v>1167.5899999999999</v>
      </c>
    </row>
    <row r="22" spans="1:36" x14ac:dyDescent="0.3">
      <c r="A22" s="2">
        <v>40307</v>
      </c>
      <c r="B22" s="3">
        <v>2212.87</v>
      </c>
      <c r="C22" s="4">
        <v>63412</v>
      </c>
      <c r="D22" s="3">
        <v>4611.1000000000004</v>
      </c>
      <c r="E22" s="3">
        <v>10620.16</v>
      </c>
      <c r="F22" s="3">
        <v>12014.97</v>
      </c>
      <c r="G22" s="1">
        <v>693.98</v>
      </c>
      <c r="H22" s="3">
        <v>1135.68</v>
      </c>
      <c r="I22" s="3">
        <v>2346.85</v>
      </c>
      <c r="J22" s="3">
        <v>31812.73</v>
      </c>
      <c r="K22" s="1">
        <v>17958.89</v>
      </c>
      <c r="L22" s="3">
        <v>2389.61</v>
      </c>
      <c r="M22" s="3">
        <v>6056.71</v>
      </c>
      <c r="N22" s="6">
        <f>VLOOKUP(A22,'[1]俄罗斯交易系统市值加权指数历史数据 (1)'!$A:$B,2,)</f>
        <v>1441.68</v>
      </c>
      <c r="O22" s="3">
        <v>3560.36</v>
      </c>
      <c r="P22" s="1">
        <v>327.24</v>
      </c>
      <c r="Q22" s="3">
        <v>6428.68</v>
      </c>
      <c r="R22" s="1">
        <v>557.48</v>
      </c>
      <c r="S22" s="3">
        <v>9314.7000000000007</v>
      </c>
      <c r="T22" s="3">
        <v>5262.85</v>
      </c>
      <c r="U22" s="3">
        <v>2633.92</v>
      </c>
      <c r="V22" s="6">
        <f>VLOOKUP(A22,[2]韩国KOSPI指数历史数据!$A:$B,2,)</f>
        <v>1695.63</v>
      </c>
      <c r="W22" s="6">
        <f>VLOOKUP(A22,[3]日经225指数历史数据!$A:$B,2,)</f>
        <v>10462.51</v>
      </c>
      <c r="X22" s="3">
        <v>1154.6199999999999</v>
      </c>
      <c r="Y22" s="6">
        <f>VLOOKUP(A22,[4]上证指数历史数据!$A:$B,2,)</f>
        <v>2696.63</v>
      </c>
      <c r="Z22" s="6">
        <f>VLOOKUP(A22,[5]深证成份指数历史数据!$A:$B,2,)</f>
        <v>10330.14</v>
      </c>
      <c r="AA22" s="6">
        <f>VLOOKUP(A22,[6]台湾加权指数历史数据!$A:$B,2,)</f>
        <v>7772.13</v>
      </c>
      <c r="AB22" s="3">
        <v>20145.43</v>
      </c>
      <c r="AC22" s="3">
        <v>2855.21</v>
      </c>
      <c r="AD22">
        <v>5093.5</v>
      </c>
      <c r="AE22" s="5">
        <f>VLOOKUP(A22,[7]越南VN30指数历史数据!$A:$B,2,)</f>
        <v>537.83000000000004</v>
      </c>
      <c r="AF22">
        <v>24355.07</v>
      </c>
      <c r="AG22" s="9">
        <v>10314.209999999999</v>
      </c>
      <c r="AH22">
        <v>12294.67</v>
      </c>
      <c r="AI22">
        <v>1133.3699999999999</v>
      </c>
      <c r="AJ22">
        <v>1170.6300000000001</v>
      </c>
    </row>
    <row r="23" spans="1:36" x14ac:dyDescent="0.3">
      <c r="A23" s="2">
        <v>40314</v>
      </c>
      <c r="B23" s="3">
        <v>2123.62</v>
      </c>
      <c r="C23" s="4">
        <v>60259</v>
      </c>
      <c r="D23" s="3">
        <v>4305.3999999999996</v>
      </c>
      <c r="E23" s="3">
        <v>10193.39</v>
      </c>
      <c r="F23" s="3">
        <v>11521.35</v>
      </c>
      <c r="G23" s="1">
        <v>649.29</v>
      </c>
      <c r="H23" s="3">
        <v>1087.69</v>
      </c>
      <c r="I23" s="3">
        <v>2229.04</v>
      </c>
      <c r="J23" s="3">
        <v>30629.15</v>
      </c>
      <c r="K23" s="1">
        <v>17712.66</v>
      </c>
      <c r="L23" s="3">
        <v>2308.92</v>
      </c>
      <c r="M23" s="3">
        <v>5829.25</v>
      </c>
      <c r="N23" s="6">
        <f>VLOOKUP(A23,'[1]俄罗斯交易系统市值加权指数历史数据 (1)'!$A:$B,2,)</f>
        <v>1297.9100000000001</v>
      </c>
      <c r="O23" s="3">
        <v>3430.74</v>
      </c>
      <c r="P23" s="1">
        <v>313.41000000000003</v>
      </c>
      <c r="Q23" s="3">
        <v>6206.59</v>
      </c>
      <c r="R23" s="1">
        <v>541.12</v>
      </c>
      <c r="S23" s="3">
        <v>9407.2999999999993</v>
      </c>
      <c r="T23" s="3">
        <v>5062.93</v>
      </c>
      <c r="U23" s="3">
        <v>2574.1799999999998</v>
      </c>
      <c r="V23" s="6">
        <f>VLOOKUP(A23,[2]韩国KOSPI指数历史数据!$A:$B,2,)</f>
        <v>1600.18</v>
      </c>
      <c r="W23" s="6">
        <f>VLOOKUP(A23,[3]日经225指数历史数据!$A:$B,2,)</f>
        <v>9784.5400000000009</v>
      </c>
      <c r="X23" s="3">
        <v>1101.45</v>
      </c>
      <c r="Y23" s="6">
        <f>VLOOKUP(A23,[4]上证指数历史数据!$A:$B,2,)</f>
        <v>2583.52</v>
      </c>
      <c r="Z23" s="6">
        <f>VLOOKUP(A23,[5]深证成份指数历史数据!$A:$B,2,)</f>
        <v>10209.07</v>
      </c>
      <c r="AA23" s="6">
        <f>VLOOKUP(A23,[6]台湾加权指数历史数据!$A:$B,2,)</f>
        <v>7237.71</v>
      </c>
      <c r="AB23" s="3">
        <v>19545.830000000002</v>
      </c>
      <c r="AC23" s="3">
        <v>2701.2</v>
      </c>
      <c r="AD23">
        <v>4931.1499999999996</v>
      </c>
      <c r="AE23" s="5">
        <f>VLOOKUP(A23,[7]越南VN30指数历史数据!$A:$B,2,)</f>
        <v>496.24</v>
      </c>
      <c r="AF23">
        <v>23349.1</v>
      </c>
      <c r="AG23" s="9">
        <v>9556.98</v>
      </c>
      <c r="AH23">
        <v>12370.36</v>
      </c>
      <c r="AI23">
        <v>1113.6300000000001</v>
      </c>
      <c r="AJ23">
        <v>1173.31</v>
      </c>
    </row>
    <row r="24" spans="1:36" x14ac:dyDescent="0.3">
      <c r="A24" s="2">
        <v>40321</v>
      </c>
      <c r="B24" s="3">
        <v>2168.5700000000002</v>
      </c>
      <c r="C24" s="4">
        <v>61947</v>
      </c>
      <c r="D24" s="3">
        <v>4457.5</v>
      </c>
      <c r="E24" s="3">
        <v>10136.629999999999</v>
      </c>
      <c r="F24" s="3">
        <v>11671.44</v>
      </c>
      <c r="G24" s="1">
        <v>661.61</v>
      </c>
      <c r="H24" s="3">
        <v>1089.4100000000001</v>
      </c>
      <c r="I24" s="3">
        <v>2257.04</v>
      </c>
      <c r="J24" s="3">
        <v>31547.55</v>
      </c>
      <c r="K24" s="1">
        <v>17924.45</v>
      </c>
      <c r="L24" s="3">
        <v>2427.11</v>
      </c>
      <c r="M24" s="3">
        <v>5946.18</v>
      </c>
      <c r="N24" s="6">
        <f>VLOOKUP(A24,'[1]俄罗斯交易系统市值加权指数历史数据 (1)'!$A:$B,2,)</f>
        <v>1366.9</v>
      </c>
      <c r="O24" s="3">
        <v>3515.06</v>
      </c>
      <c r="P24" s="1">
        <v>320.64</v>
      </c>
      <c r="Q24" s="3">
        <v>6321.92</v>
      </c>
      <c r="R24" s="1">
        <v>552.34</v>
      </c>
      <c r="S24" s="3">
        <v>9425.5</v>
      </c>
      <c r="T24" s="3">
        <v>5188.43</v>
      </c>
      <c r="U24" s="3">
        <v>2614.06</v>
      </c>
      <c r="V24" s="6">
        <f>VLOOKUP(A24,[2]韩国KOSPI指数历史数据!$A:$B,2,)</f>
        <v>1622.78</v>
      </c>
      <c r="W24" s="6">
        <f>VLOOKUP(A24,[3]日经225指数历史数据!$A:$B,2,)</f>
        <v>9762.98</v>
      </c>
      <c r="X24" s="3">
        <v>1106.45</v>
      </c>
      <c r="Y24" s="6">
        <f>VLOOKUP(A24,[4]上证指数历史数据!$A:$B,2,)</f>
        <v>2655.77</v>
      </c>
      <c r="Z24" s="6">
        <f>VLOOKUP(A24,[5]深证成份指数历史数据!$A:$B,2,)</f>
        <v>10495.65</v>
      </c>
      <c r="AA24" s="6">
        <f>VLOOKUP(A24,[6]台湾加权指数历史数据!$A:$B,2,)</f>
        <v>7295.32</v>
      </c>
      <c r="AB24" s="3">
        <v>19766.71</v>
      </c>
      <c r="AC24" s="3">
        <v>2739.7</v>
      </c>
      <c r="AD24">
        <v>5066.55</v>
      </c>
      <c r="AE24" s="5">
        <f>VLOOKUP(A24,[7]越南VN30指数历史数据!$A:$B,2,)</f>
        <v>527.32000000000005</v>
      </c>
      <c r="AF24">
        <v>24218.98</v>
      </c>
      <c r="AG24" s="9">
        <v>9422.15</v>
      </c>
      <c r="AH24">
        <v>11990.24</v>
      </c>
      <c r="AI24">
        <v>1091.42</v>
      </c>
      <c r="AJ24">
        <v>1173.1500000000001</v>
      </c>
    </row>
    <row r="25" spans="1:36" x14ac:dyDescent="0.3">
      <c r="A25" s="2">
        <v>40328</v>
      </c>
      <c r="B25" s="3">
        <v>2181.21</v>
      </c>
      <c r="C25" s="4">
        <v>61676</v>
      </c>
      <c r="D25" s="3">
        <v>4449.3999999999996</v>
      </c>
      <c r="E25" s="3">
        <v>9931.9699999999993</v>
      </c>
      <c r="F25" s="3">
        <v>11569.61</v>
      </c>
      <c r="G25" s="1">
        <v>633.97</v>
      </c>
      <c r="H25" s="3">
        <v>1064.8800000000001</v>
      </c>
      <c r="I25" s="3">
        <v>2219.17</v>
      </c>
      <c r="J25" s="3">
        <v>30992.65</v>
      </c>
      <c r="K25" s="1">
        <v>18056.96</v>
      </c>
      <c r="L25" s="3">
        <v>2354.86</v>
      </c>
      <c r="M25" s="3">
        <v>5938.88</v>
      </c>
      <c r="N25" s="6">
        <f>VLOOKUP(A25,'[1]俄罗斯交易系统市值加权指数历史数据 (1)'!$A:$B,2,)</f>
        <v>1360.74</v>
      </c>
      <c r="O25" s="3">
        <v>3455.61</v>
      </c>
      <c r="P25" s="1">
        <v>321.22000000000003</v>
      </c>
      <c r="Q25" s="3">
        <v>6298.97</v>
      </c>
      <c r="R25" s="1">
        <v>546.13</v>
      </c>
      <c r="S25" s="3">
        <v>8923.4</v>
      </c>
      <c r="T25" s="3">
        <v>5126</v>
      </c>
      <c r="U25" s="3">
        <v>2553.59</v>
      </c>
      <c r="V25" s="6">
        <f>VLOOKUP(A25,[2]韩国KOSPI指数历史数据!$A:$B,2,)</f>
        <v>1664.13</v>
      </c>
      <c r="W25" s="6">
        <f>VLOOKUP(A25,[3]日经225指数历史数据!$A:$B,2,)</f>
        <v>9901.19</v>
      </c>
      <c r="X25" s="3">
        <v>1097.3800000000001</v>
      </c>
      <c r="Y25" s="6">
        <f>VLOOKUP(A25,[4]上证指数历史数据!$A:$B,2,)</f>
        <v>2553.59</v>
      </c>
      <c r="Z25" s="6">
        <f>VLOOKUP(A25,[5]深证成份指数历史数据!$A:$B,2,)</f>
        <v>10187.200000000001</v>
      </c>
      <c r="AA25" s="6">
        <f>VLOOKUP(A25,[6]台湾加权指数历史数据!$A:$B,2,)</f>
        <v>7344.59</v>
      </c>
      <c r="AB25" s="3">
        <v>19780.07</v>
      </c>
      <c r="AC25" s="3">
        <v>2806.51</v>
      </c>
      <c r="AD25">
        <v>5135.5</v>
      </c>
      <c r="AE25" s="5">
        <f>VLOOKUP(A25,[7]越南VN30指数历史数据!$A:$B,2,)</f>
        <v>523.78</v>
      </c>
      <c r="AF25">
        <v>23604.51</v>
      </c>
      <c r="AG25" s="9">
        <v>9699.75</v>
      </c>
      <c r="AH25">
        <v>12162.58</v>
      </c>
      <c r="AI25">
        <v>1086.25</v>
      </c>
      <c r="AJ25">
        <v>1173.1500000000001</v>
      </c>
    </row>
    <row r="26" spans="1:36" x14ac:dyDescent="0.3">
      <c r="A26" s="2">
        <v>40335</v>
      </c>
      <c r="B26" s="3">
        <v>2281.23</v>
      </c>
      <c r="C26" s="4">
        <v>63605</v>
      </c>
      <c r="D26" s="3">
        <v>4505.5</v>
      </c>
      <c r="E26" s="3">
        <v>10211.07</v>
      </c>
      <c r="F26" s="3">
        <v>11666.92</v>
      </c>
      <c r="G26" s="1">
        <v>649</v>
      </c>
      <c r="H26" s="3">
        <v>1091.5999999999999</v>
      </c>
      <c r="I26" s="3">
        <v>2243.6</v>
      </c>
      <c r="J26" s="3">
        <v>32124.28</v>
      </c>
      <c r="K26" s="1">
        <v>18456.52</v>
      </c>
      <c r="L26" s="3">
        <v>2378.4</v>
      </c>
      <c r="M26" s="3">
        <v>6047.83</v>
      </c>
      <c r="N26" s="6">
        <f>VLOOKUP(A26,'[1]俄罗斯交易系统市值加权指数历史数据 (1)'!$A:$B,2,)</f>
        <v>1356.79</v>
      </c>
      <c r="O26" s="3">
        <v>3555.52</v>
      </c>
      <c r="P26" s="1">
        <v>325.56</v>
      </c>
      <c r="Q26" s="3">
        <v>6426.74</v>
      </c>
      <c r="R26" s="1">
        <v>551.32000000000005</v>
      </c>
      <c r="S26" s="3">
        <v>9561.7000000000007</v>
      </c>
      <c r="T26" s="3">
        <v>5163.68</v>
      </c>
      <c r="U26" s="3">
        <v>2638.31</v>
      </c>
      <c r="V26" s="6">
        <f>VLOOKUP(A26,[2]韩国KOSPI指数历史数据!$A:$B,2,)</f>
        <v>1675.34</v>
      </c>
      <c r="W26" s="6">
        <f>VLOOKUP(A26,[3]日经225指数历史数据!$A:$B,2,)</f>
        <v>9705.25</v>
      </c>
      <c r="X26" s="3">
        <v>1090.8</v>
      </c>
      <c r="Y26" s="6">
        <f>VLOOKUP(A26,[4]上证指数历史数据!$A:$B,2,)</f>
        <v>2569.94</v>
      </c>
      <c r="Z26" s="6">
        <f>VLOOKUP(A26,[5]深证成份指数历史数据!$A:$B,2,)</f>
        <v>10239.33</v>
      </c>
      <c r="AA26" s="6">
        <f>VLOOKUP(A26,[6]台湾加权指数历史数据!$A:$B,2,)</f>
        <v>7299.49</v>
      </c>
      <c r="AB26" s="3">
        <v>19872.38</v>
      </c>
      <c r="AC26" s="3">
        <v>2796.29</v>
      </c>
      <c r="AD26">
        <v>5119.3500000000004</v>
      </c>
      <c r="AE26" s="5">
        <f>VLOOKUP(A26,[7]越南VN30指数历史数据!$A:$B,2,)</f>
        <v>519.51</v>
      </c>
      <c r="AF26">
        <v>23888.31</v>
      </c>
      <c r="AG26" s="9">
        <v>9303.9</v>
      </c>
      <c r="AH26">
        <v>12290.23</v>
      </c>
      <c r="AI26">
        <v>1053.06</v>
      </c>
      <c r="AJ26">
        <v>1172.44</v>
      </c>
    </row>
    <row r="27" spans="1:36" x14ac:dyDescent="0.3">
      <c r="A27" s="2">
        <v>40342</v>
      </c>
      <c r="B27" s="3">
        <v>2320.36</v>
      </c>
      <c r="C27" s="4">
        <v>64438</v>
      </c>
      <c r="D27" s="3">
        <v>4551.8999999999996</v>
      </c>
      <c r="E27" s="3">
        <v>10450.64</v>
      </c>
      <c r="F27" s="3">
        <v>11927.59</v>
      </c>
      <c r="G27" s="1">
        <v>666.92</v>
      </c>
      <c r="H27" s="3">
        <v>1117.51</v>
      </c>
      <c r="I27" s="3">
        <v>2309.8000000000002</v>
      </c>
      <c r="J27" s="3">
        <v>32814.620000000003</v>
      </c>
      <c r="K27" s="1">
        <v>19042.03</v>
      </c>
      <c r="L27" s="3">
        <v>2361.16</v>
      </c>
      <c r="M27" s="3">
        <v>6216.98</v>
      </c>
      <c r="N27" s="6">
        <f>VLOOKUP(A27,'[1]俄罗斯交易系统市值加权指数历史数据 (1)'!$A:$B,2,)</f>
        <v>1409.43</v>
      </c>
      <c r="O27" s="3">
        <v>3687.21</v>
      </c>
      <c r="P27" s="1">
        <v>336.06</v>
      </c>
      <c r="Q27" s="3">
        <v>6447.06</v>
      </c>
      <c r="R27" s="1">
        <v>570.34</v>
      </c>
      <c r="S27" s="3">
        <v>9971.7999999999993</v>
      </c>
      <c r="T27" s="3">
        <v>5250.84</v>
      </c>
      <c r="U27" s="3">
        <v>2737.02</v>
      </c>
      <c r="V27" s="6">
        <f>VLOOKUP(A27,[2]韩国KOSPI指数历史数据!$A:$B,2,)</f>
        <v>1711.95</v>
      </c>
      <c r="W27" s="6">
        <f>VLOOKUP(A27,[3]日经225指数历史数据!$A:$B,2,)</f>
        <v>9995.02</v>
      </c>
      <c r="X27" s="3">
        <v>1105.05</v>
      </c>
      <c r="Y27" s="6">
        <f>VLOOKUP(A27,[4]上证指数历史数据!$A:$B,2,)</f>
        <v>2513.2199999999998</v>
      </c>
      <c r="Z27" s="6">
        <f>VLOOKUP(A27,[5]深证成份指数历史数据!$A:$B,2,)</f>
        <v>9966.5400000000009</v>
      </c>
      <c r="AA27" s="6">
        <f>VLOOKUP(A27,[6]台湾加权指数历史数据!$A:$B,2,)</f>
        <v>7493.11</v>
      </c>
      <c r="AB27" s="3">
        <v>20286.71</v>
      </c>
      <c r="AC27" s="3">
        <v>2833.4</v>
      </c>
      <c r="AD27">
        <v>5262.6</v>
      </c>
      <c r="AE27" s="5">
        <f>VLOOKUP(A27,[7]越南VN30指数历史数据!$A:$B,2,)</f>
        <v>526.57000000000005</v>
      </c>
      <c r="AF27">
        <v>24754.9</v>
      </c>
      <c r="AG27" s="9">
        <v>9552.91</v>
      </c>
      <c r="AH27">
        <v>12056.74</v>
      </c>
      <c r="AI27">
        <v>1080.77</v>
      </c>
      <c r="AJ27">
        <v>1172.74</v>
      </c>
    </row>
    <row r="28" spans="1:36" x14ac:dyDescent="0.3">
      <c r="A28" s="2">
        <v>40349</v>
      </c>
      <c r="B28" s="3">
        <v>2318.14</v>
      </c>
      <c r="C28" s="4">
        <v>64824</v>
      </c>
      <c r="D28" s="3">
        <v>4413</v>
      </c>
      <c r="E28" s="3">
        <v>10143.81</v>
      </c>
      <c r="F28" s="3">
        <v>11707.85</v>
      </c>
      <c r="G28" s="1">
        <v>645.11</v>
      </c>
      <c r="H28" s="3">
        <v>1076.76</v>
      </c>
      <c r="I28" s="3">
        <v>2223.48</v>
      </c>
      <c r="J28" s="3">
        <v>32607.13</v>
      </c>
      <c r="K28" s="1">
        <v>19071.34</v>
      </c>
      <c r="L28" s="3">
        <v>2337.98</v>
      </c>
      <c r="M28" s="3">
        <v>6070.6</v>
      </c>
      <c r="N28" s="6">
        <f>VLOOKUP(A28,'[1]俄罗斯交易系统市值加权指数历史数据 (1)'!$A:$B,2,)</f>
        <v>1387.66</v>
      </c>
      <c r="O28" s="3">
        <v>3519.73</v>
      </c>
      <c r="P28" s="1">
        <v>325.99</v>
      </c>
      <c r="Q28" s="3">
        <v>6275.35</v>
      </c>
      <c r="R28" s="1">
        <v>558.64</v>
      </c>
      <c r="S28" s="3">
        <v>9535</v>
      </c>
      <c r="T28" s="3">
        <v>5046.47</v>
      </c>
      <c r="U28" s="3">
        <v>2629.25</v>
      </c>
      <c r="V28" s="6">
        <f>VLOOKUP(A28,[2]韩国KOSPI指数历史数据!$A:$B,2,)</f>
        <v>1729.84</v>
      </c>
      <c r="W28" s="6">
        <f>VLOOKUP(A28,[3]日经225指数历史数据!$A:$B,2,)</f>
        <v>9737.48</v>
      </c>
      <c r="X28" s="3">
        <v>1093.6500000000001</v>
      </c>
      <c r="Y28" s="6">
        <f>VLOOKUP(A28,[4]上证指数历史数据!$A:$B,2,)</f>
        <v>2552.8200000000002</v>
      </c>
      <c r="Z28" s="6">
        <f>VLOOKUP(A28,[5]深证成份指数历史数据!$A:$B,2,)</f>
        <v>10104.83</v>
      </c>
      <c r="AA28" s="6">
        <f>VLOOKUP(A28,[6]台湾加权指数历史数据!$A:$B,2,)</f>
        <v>7474.71</v>
      </c>
      <c r="AB28" s="3">
        <v>20690.79</v>
      </c>
      <c r="AC28" s="3">
        <v>2851.64</v>
      </c>
      <c r="AD28">
        <v>5269.05</v>
      </c>
      <c r="AE28" s="5">
        <f>VLOOKUP(A28,[7]越南VN30指数历史数据!$A:$B,2,)</f>
        <v>519.79999999999995</v>
      </c>
      <c r="AF28">
        <v>24263.82</v>
      </c>
      <c r="AG28" s="9">
        <v>9384.6</v>
      </c>
      <c r="AH28">
        <v>12014.97</v>
      </c>
      <c r="AI28">
        <v>1041.8499999999999</v>
      </c>
      <c r="AJ28">
        <v>1174.3599999999999</v>
      </c>
    </row>
    <row r="29" spans="1:36" x14ac:dyDescent="0.3">
      <c r="A29" s="2">
        <v>40356</v>
      </c>
      <c r="B29" s="3">
        <v>2217.08</v>
      </c>
      <c r="C29" s="4">
        <v>61430</v>
      </c>
      <c r="D29" s="3">
        <v>4238.7</v>
      </c>
      <c r="E29" s="3">
        <v>9686.48</v>
      </c>
      <c r="F29" s="3">
        <v>11196.06</v>
      </c>
      <c r="G29" s="1">
        <v>598.97</v>
      </c>
      <c r="H29" s="3">
        <v>1022.58</v>
      </c>
      <c r="I29" s="3">
        <v>2091.79</v>
      </c>
      <c r="J29" s="3">
        <v>31379.67</v>
      </c>
      <c r="K29" s="1">
        <v>18832.91</v>
      </c>
      <c r="L29" s="3">
        <v>2300.67</v>
      </c>
      <c r="M29" s="3">
        <v>5834.15</v>
      </c>
      <c r="N29" s="6">
        <f>VLOOKUP(A29,'[1]俄罗斯交易系统市值加权指数历史数据 (1)'!$A:$B,2,)</f>
        <v>1316.65</v>
      </c>
      <c r="O29" s="3">
        <v>3348.37</v>
      </c>
      <c r="P29" s="1">
        <v>308.2</v>
      </c>
      <c r="Q29" s="3">
        <v>5974.3</v>
      </c>
      <c r="R29" s="1">
        <v>556.36</v>
      </c>
      <c r="S29" s="3">
        <v>9250.7999999999993</v>
      </c>
      <c r="T29" s="3">
        <v>4838.09</v>
      </c>
      <c r="U29" s="3">
        <v>2522.36</v>
      </c>
      <c r="V29" s="6">
        <f>VLOOKUP(A29,[2]韩国KOSPI指数历史数据!$A:$B,2,)</f>
        <v>1671.82</v>
      </c>
      <c r="W29" s="6">
        <f>VLOOKUP(A29,[3]日经225指数历史数据!$A:$B,2,)</f>
        <v>9203.7099999999991</v>
      </c>
      <c r="X29" s="3">
        <v>1061.56</v>
      </c>
      <c r="Y29" s="6">
        <f>VLOOKUP(A29,[4]上证指数历史数据!$A:$B,2,)</f>
        <v>2382.9</v>
      </c>
      <c r="Z29" s="6">
        <f>VLOOKUP(A29,[5]深证成份指数历史数据!$A:$B,2,)</f>
        <v>9227.89</v>
      </c>
      <c r="AA29" s="6">
        <f>VLOOKUP(A29,[6]台湾加权指数历史数据!$A:$B,2,)</f>
        <v>7330.74</v>
      </c>
      <c r="AB29" s="3">
        <v>19905.32</v>
      </c>
      <c r="AC29" s="3">
        <v>2844.19</v>
      </c>
      <c r="AD29">
        <v>5237.1000000000004</v>
      </c>
      <c r="AE29" s="5">
        <f>VLOOKUP(A29,[7]越南VN30指数历史数据!$A:$B,2,)</f>
        <v>519.6</v>
      </c>
      <c r="AF29">
        <v>23355.16</v>
      </c>
      <c r="AG29" s="9">
        <v>8968.17</v>
      </c>
      <c r="AH29">
        <v>11785.96</v>
      </c>
      <c r="AI29">
        <v>1054.26</v>
      </c>
      <c r="AJ29">
        <v>1170.69</v>
      </c>
    </row>
    <row r="30" spans="1:36" x14ac:dyDescent="0.3">
      <c r="A30" s="2">
        <v>40363</v>
      </c>
      <c r="B30" s="3">
        <v>2289.5</v>
      </c>
      <c r="C30" s="4">
        <v>63476</v>
      </c>
      <c r="D30" s="3">
        <v>4396.3</v>
      </c>
      <c r="E30" s="3">
        <v>10198.030000000001</v>
      </c>
      <c r="F30" s="3">
        <v>11570.45</v>
      </c>
      <c r="G30" s="1">
        <v>629.42999999999995</v>
      </c>
      <c r="H30" s="3">
        <v>1077.96</v>
      </c>
      <c r="I30" s="3">
        <v>2196.4499999999998</v>
      </c>
      <c r="J30" s="3">
        <v>32004.31</v>
      </c>
      <c r="K30" s="1">
        <v>19342.849999999999</v>
      </c>
      <c r="L30" s="3">
        <v>2333.6</v>
      </c>
      <c r="M30" s="3">
        <v>6065.24</v>
      </c>
      <c r="N30" s="6">
        <f>VLOOKUP(A30,'[1]俄罗斯交易系统市值加权指数历史数据 (1)'!$A:$B,2,)</f>
        <v>1359.45</v>
      </c>
      <c r="O30" s="3">
        <v>3554.48</v>
      </c>
      <c r="P30" s="1">
        <v>324.42</v>
      </c>
      <c r="Q30" s="3">
        <v>6210.49</v>
      </c>
      <c r="R30" s="1">
        <v>571.51</v>
      </c>
      <c r="S30" s="3">
        <v>10127.299999999999</v>
      </c>
      <c r="T30" s="3">
        <v>5132.9399999999996</v>
      </c>
      <c r="U30" s="3">
        <v>2681.2</v>
      </c>
      <c r="V30" s="6">
        <f>VLOOKUP(A30,[2]韩国KOSPI指数历史数据!$A:$B,2,)</f>
        <v>1723.01</v>
      </c>
      <c r="W30" s="6">
        <f>VLOOKUP(A30,[3]日经225指数历史数据!$A:$B,2,)</f>
        <v>9585.32</v>
      </c>
      <c r="X30" s="3">
        <v>1090.1500000000001</v>
      </c>
      <c r="Y30" s="6">
        <f>VLOOKUP(A30,[4]上证指数历史数据!$A:$B,2,)</f>
        <v>2470.92</v>
      </c>
      <c r="Z30" s="6">
        <f>VLOOKUP(A30,[5]深证成份指数历史数据!$A:$B,2,)</f>
        <v>9816.85</v>
      </c>
      <c r="AA30" s="6">
        <f>VLOOKUP(A30,[6]台湾加权指数历史数据!$A:$B,2,)</f>
        <v>7647.25</v>
      </c>
      <c r="AB30" s="3">
        <v>20378.66</v>
      </c>
      <c r="AC30" s="3">
        <v>2917.17</v>
      </c>
      <c r="AD30">
        <v>5352.45</v>
      </c>
      <c r="AE30" s="5">
        <f>VLOOKUP(A30,[7]越南VN30指数历史数据!$A:$B,2,)</f>
        <v>514.84</v>
      </c>
      <c r="AF30">
        <v>24284.880000000001</v>
      </c>
      <c r="AG30" s="9">
        <v>8944.99</v>
      </c>
      <c r="AH30">
        <v>11739.71</v>
      </c>
      <c r="AI30">
        <v>1033.49</v>
      </c>
      <c r="AJ30">
        <v>1172.06</v>
      </c>
    </row>
    <row r="31" spans="1:36" x14ac:dyDescent="0.3">
      <c r="A31" s="2">
        <v>40370</v>
      </c>
      <c r="B31" s="3">
        <v>2283.0700000000002</v>
      </c>
      <c r="C31" s="4">
        <v>62339</v>
      </c>
      <c r="D31" s="3">
        <v>4422.7</v>
      </c>
      <c r="E31" s="3">
        <v>10097.9</v>
      </c>
      <c r="F31" s="3">
        <v>11569.65</v>
      </c>
      <c r="G31" s="1">
        <v>610.39</v>
      </c>
      <c r="H31" s="3">
        <v>1064.8800000000001</v>
      </c>
      <c r="I31" s="3">
        <v>2179.0500000000002</v>
      </c>
      <c r="J31" s="3">
        <v>31783.39</v>
      </c>
      <c r="K31" s="1">
        <v>19553.330000000002</v>
      </c>
      <c r="L31" s="3">
        <v>2375.2399999999998</v>
      </c>
      <c r="M31" s="3">
        <v>6040.27</v>
      </c>
      <c r="N31" s="6">
        <f>VLOOKUP(A31,'[1]俄罗斯交易系统市值加权指数历史数据 (1)'!$A:$B,2,)</f>
        <v>1389.92</v>
      </c>
      <c r="O31" s="3">
        <v>3500.16</v>
      </c>
      <c r="P31" s="1">
        <v>323.99</v>
      </c>
      <c r="Q31" s="3">
        <v>6184.37</v>
      </c>
      <c r="R31" s="1">
        <v>577.29</v>
      </c>
      <c r="S31" s="3">
        <v>9991.7000000000007</v>
      </c>
      <c r="T31" s="3">
        <v>5158.8500000000004</v>
      </c>
      <c r="U31" s="3">
        <v>2645.61</v>
      </c>
      <c r="V31" s="6">
        <f>VLOOKUP(A31,[2]韩国KOSPI指数历史数据!$A:$B,2,)</f>
        <v>1738.45</v>
      </c>
      <c r="W31" s="6">
        <f>VLOOKUP(A31,[3]日经225指数历史数据!$A:$B,2,)</f>
        <v>9408.36</v>
      </c>
      <c r="X31" s="3">
        <v>1111.31</v>
      </c>
      <c r="Y31" s="6">
        <f>VLOOKUP(A31,[4]上证指数历史数据!$A:$B,2,)</f>
        <v>2424.27</v>
      </c>
      <c r="Z31" s="6">
        <f>VLOOKUP(A31,[5]深证成份指数历史数据!$A:$B,2,)</f>
        <v>9806.64</v>
      </c>
      <c r="AA31" s="6">
        <f>VLOOKUP(A31,[6]台湾加权指数历史数据!$A:$B,2,)</f>
        <v>7664.57</v>
      </c>
      <c r="AB31" s="3">
        <v>20250.16</v>
      </c>
      <c r="AC31" s="3">
        <v>2957.72</v>
      </c>
      <c r="AD31">
        <v>5393.9</v>
      </c>
      <c r="AE31" s="5">
        <f>VLOOKUP(A31,[7]越南VN30指数历史数据!$A:$B,2,)</f>
        <v>521.45000000000005</v>
      </c>
      <c r="AF31">
        <v>24465.49</v>
      </c>
      <c r="AG31" s="9">
        <v>8980.42</v>
      </c>
      <c r="AH31">
        <v>11846.22</v>
      </c>
      <c r="AI31">
        <v>1058</v>
      </c>
      <c r="AJ31">
        <v>1170.05</v>
      </c>
    </row>
    <row r="32" spans="1:36" x14ac:dyDescent="0.3">
      <c r="A32" s="2">
        <v>40377</v>
      </c>
      <c r="B32" s="3">
        <v>2375.1999999999998</v>
      </c>
      <c r="C32" s="4">
        <v>66323</v>
      </c>
      <c r="D32" s="3">
        <v>4458.3999999999996</v>
      </c>
      <c r="E32" s="3">
        <v>10424.620000000001</v>
      </c>
      <c r="F32" s="3">
        <v>11714.21</v>
      </c>
      <c r="G32" s="1">
        <v>650.65</v>
      </c>
      <c r="H32" s="3">
        <v>1102.6600000000001</v>
      </c>
      <c r="I32" s="3">
        <v>2269.4699999999998</v>
      </c>
      <c r="J32" s="3">
        <v>32806.03</v>
      </c>
      <c r="K32" s="1">
        <v>20026.73</v>
      </c>
      <c r="L32" s="3">
        <v>2460.96</v>
      </c>
      <c r="M32" s="3">
        <v>6166.34</v>
      </c>
      <c r="N32" s="6">
        <f>VLOOKUP(A32,'[1]俄罗斯交易系统市值加权指数历史数据 (1)'!$A:$B,2,)</f>
        <v>1449.19</v>
      </c>
      <c r="O32" s="3">
        <v>3607.05</v>
      </c>
      <c r="P32" s="1">
        <v>337.14</v>
      </c>
      <c r="Q32" s="3">
        <v>6201.25</v>
      </c>
      <c r="R32" s="1">
        <v>593</v>
      </c>
      <c r="S32" s="3">
        <v>10388.200000000001</v>
      </c>
      <c r="T32" s="3">
        <v>5312.62</v>
      </c>
      <c r="U32" s="3">
        <v>2719.13</v>
      </c>
      <c r="V32" s="6">
        <f>VLOOKUP(A32,[2]韩国KOSPI指数历史数据!$A:$B,2,)</f>
        <v>1758.06</v>
      </c>
      <c r="W32" s="6">
        <f>VLOOKUP(A32,[3]日经225指数历史数据!$A:$B,2,)</f>
        <v>9430.9599999999991</v>
      </c>
      <c r="X32" s="3">
        <v>1118.51</v>
      </c>
      <c r="Y32" s="6">
        <f>VLOOKUP(A32,[4]上证指数历史数据!$A:$B,2,)</f>
        <v>2572.0300000000002</v>
      </c>
      <c r="Z32" s="6">
        <f>VLOOKUP(A32,[5]深证成份指数历史数据!$A:$B,2,)</f>
        <v>10527.94</v>
      </c>
      <c r="AA32" s="6">
        <f>VLOOKUP(A32,[6]台湾加权指数历史数据!$A:$B,2,)</f>
        <v>7761.22</v>
      </c>
      <c r="AB32" s="3">
        <v>20815.330000000002</v>
      </c>
      <c r="AC32" s="3">
        <v>2973.47</v>
      </c>
      <c r="AD32">
        <v>5449.1</v>
      </c>
      <c r="AE32" s="5">
        <f>VLOOKUP(A32,[7]越南VN30指数历史数据!$A:$B,2,)</f>
        <v>515.39</v>
      </c>
      <c r="AF32">
        <v>25333.32</v>
      </c>
      <c r="AG32" s="9">
        <v>8945.14</v>
      </c>
      <c r="AH32">
        <v>11857.08</v>
      </c>
      <c r="AI32">
        <v>1068.93</v>
      </c>
      <c r="AJ32">
        <v>1171.3499999999999</v>
      </c>
    </row>
    <row r="33" spans="1:36" x14ac:dyDescent="0.3">
      <c r="A33" s="2">
        <v>40384</v>
      </c>
      <c r="B33" s="3">
        <v>2394.16</v>
      </c>
      <c r="C33" s="4">
        <v>67515</v>
      </c>
      <c r="D33" s="3">
        <v>4493.5</v>
      </c>
      <c r="E33" s="3">
        <v>10465.94</v>
      </c>
      <c r="F33" s="3">
        <v>11713.43</v>
      </c>
      <c r="G33" s="1">
        <v>650.89</v>
      </c>
      <c r="H33" s="3">
        <v>1101.5999999999999</v>
      </c>
      <c r="I33" s="3">
        <v>2254.6999999999998</v>
      </c>
      <c r="J33" s="3">
        <v>32308.74</v>
      </c>
      <c r="K33" s="1">
        <v>20296.63</v>
      </c>
      <c r="L33" s="3">
        <v>2474.67</v>
      </c>
      <c r="M33" s="3">
        <v>6147.97</v>
      </c>
      <c r="N33" s="6">
        <f>VLOOKUP(A33,'[1]俄罗斯交易系统市值加权指数历史数据 (1)'!$A:$B,2,)</f>
        <v>1479.73</v>
      </c>
      <c r="O33" s="3">
        <v>3643.14</v>
      </c>
      <c r="P33" s="1">
        <v>330.64</v>
      </c>
      <c r="Q33" s="3">
        <v>6200.78</v>
      </c>
      <c r="R33" s="1">
        <v>598.66999999999996</v>
      </c>
      <c r="S33" s="3">
        <v>10499.8</v>
      </c>
      <c r="T33" s="3">
        <v>5258.02</v>
      </c>
      <c r="U33" s="3">
        <v>2742.14</v>
      </c>
      <c r="V33" s="6">
        <f>VLOOKUP(A33,[2]韩国KOSPI指数历史数据!$A:$B,2,)</f>
        <v>1759.33</v>
      </c>
      <c r="W33" s="6">
        <f>VLOOKUP(A33,[3]日经225指数历史数据!$A:$B,2,)</f>
        <v>9537.2999999999993</v>
      </c>
      <c r="X33" s="3">
        <v>1118.5899999999999</v>
      </c>
      <c r="Y33" s="6">
        <f>VLOOKUP(A33,[4]上证指数历史数据!$A:$B,2,)</f>
        <v>2637.5</v>
      </c>
      <c r="Z33" s="6">
        <f>VLOOKUP(A33,[5]深证成份指数历史数据!$A:$B,2,)</f>
        <v>10785.35</v>
      </c>
      <c r="AA33" s="6">
        <f>VLOOKUP(A33,[6]台湾加权指数历史数据!$A:$B,2,)</f>
        <v>7760.63</v>
      </c>
      <c r="AB33" s="3">
        <v>21029.81</v>
      </c>
      <c r="AC33" s="3">
        <v>2987.7</v>
      </c>
      <c r="AD33">
        <v>5367.6</v>
      </c>
      <c r="AE33" s="5">
        <f>VLOOKUP(A33,[7]越南VN30指数历史数据!$A:$B,2,)</f>
        <v>512.21</v>
      </c>
      <c r="AF33">
        <v>25224.6</v>
      </c>
      <c r="AG33" s="9">
        <v>9357.2099999999991</v>
      </c>
      <c r="AH33">
        <v>11782.52</v>
      </c>
      <c r="AI33">
        <v>1112.26</v>
      </c>
      <c r="AJ33">
        <v>1171.1500000000001</v>
      </c>
    </row>
    <row r="34" spans="1:36" x14ac:dyDescent="0.3">
      <c r="A34" s="2">
        <v>40391</v>
      </c>
      <c r="B34" s="3">
        <v>2425.33</v>
      </c>
      <c r="C34" s="4">
        <v>68095</v>
      </c>
      <c r="D34" s="3">
        <v>4566.1000000000004</v>
      </c>
      <c r="E34" s="3">
        <v>10653.56</v>
      </c>
      <c r="F34" s="3">
        <v>11799.97</v>
      </c>
      <c r="G34" s="1">
        <v>650.67999999999995</v>
      </c>
      <c r="H34" s="3">
        <v>1121.6400000000001</v>
      </c>
      <c r="I34" s="3">
        <v>2288.4699999999998</v>
      </c>
      <c r="J34" s="3">
        <v>32917.919999999998</v>
      </c>
      <c r="K34" s="1">
        <v>20807.990000000002</v>
      </c>
      <c r="L34" s="3">
        <v>2548.63</v>
      </c>
      <c r="M34" s="3">
        <v>6259.63</v>
      </c>
      <c r="N34" s="6">
        <f>VLOOKUP(A34,'[1]俄罗斯交易系统市值加权指数历史数据 (1)'!$A:$B,2,)</f>
        <v>1509.85</v>
      </c>
      <c r="O34" s="3">
        <v>3716.05</v>
      </c>
      <c r="P34" s="1">
        <v>331.19</v>
      </c>
      <c r="Q34" s="3">
        <v>6321.36</v>
      </c>
      <c r="R34" s="1">
        <v>597.53</v>
      </c>
      <c r="S34" s="3">
        <v>10651.1</v>
      </c>
      <c r="T34" s="3">
        <v>5332.39</v>
      </c>
      <c r="U34" s="3">
        <v>2779.34</v>
      </c>
      <c r="V34" s="6">
        <f>VLOOKUP(A34,[2]韩国KOSPI指数历史数据!$A:$B,2,)</f>
        <v>1783.83</v>
      </c>
      <c r="W34" s="6">
        <f>VLOOKUP(A34,[3]日经225指数历史数据!$A:$B,2,)</f>
        <v>9642.1200000000008</v>
      </c>
      <c r="X34" s="3">
        <v>1149.5999999999999</v>
      </c>
      <c r="Y34" s="6">
        <f>VLOOKUP(A34,[4]上证指数历史数据!$A:$B,2,)</f>
        <v>2658.39</v>
      </c>
      <c r="Z34" s="6">
        <f>VLOOKUP(A34,[5]深证成份指数历史数据!$A:$B,2,)</f>
        <v>10942.93</v>
      </c>
      <c r="AA34" s="6">
        <f>VLOOKUP(A34,[6]台湾加权指数历史数据!$A:$B,2,)</f>
        <v>7963.3</v>
      </c>
      <c r="AB34" s="3">
        <v>21678.799999999999</v>
      </c>
      <c r="AC34" s="3">
        <v>2995.06</v>
      </c>
      <c r="AD34">
        <v>5439.25</v>
      </c>
      <c r="AE34" s="5">
        <f>VLOOKUP(A34,[7]越南VN30指数历史数据!$A:$B,2,)</f>
        <v>501.78</v>
      </c>
      <c r="AF34">
        <v>25172.71</v>
      </c>
      <c r="AG34" s="9">
        <v>9501.36</v>
      </c>
      <c r="AH34">
        <v>11761.11</v>
      </c>
      <c r="AI34">
        <v>1119.4100000000001</v>
      </c>
      <c r="AJ34">
        <v>1172.44</v>
      </c>
    </row>
    <row r="35" spans="1:36" x14ac:dyDescent="0.3">
      <c r="A35" s="2">
        <v>40398</v>
      </c>
      <c r="B35" s="3">
        <v>2367.98</v>
      </c>
      <c r="C35" s="4">
        <v>66264</v>
      </c>
      <c r="D35" s="3">
        <v>4459.6000000000004</v>
      </c>
      <c r="E35" s="3">
        <v>10303.15</v>
      </c>
      <c r="F35" s="3">
        <v>11528.25</v>
      </c>
      <c r="G35" s="1">
        <v>609.49</v>
      </c>
      <c r="H35" s="3">
        <v>1079.25</v>
      </c>
      <c r="I35" s="3">
        <v>2173.48</v>
      </c>
      <c r="J35" s="3">
        <v>32099.75</v>
      </c>
      <c r="K35" s="1">
        <v>20848.3</v>
      </c>
      <c r="L35" s="3">
        <v>2452.0500000000002</v>
      </c>
      <c r="M35" s="3">
        <v>6110.41</v>
      </c>
      <c r="N35" s="6">
        <f>VLOOKUP(A35,'[1]俄罗斯交易系统市值加权指数历史数据 (1)'!$A:$B,2,)</f>
        <v>1445.37</v>
      </c>
      <c r="O35" s="3">
        <v>3610.91</v>
      </c>
      <c r="P35" s="1">
        <v>323.92</v>
      </c>
      <c r="Q35" s="3">
        <v>6294.34</v>
      </c>
      <c r="R35" s="1">
        <v>584.79999999999995</v>
      </c>
      <c r="S35" s="3">
        <v>10275.799999999999</v>
      </c>
      <c r="T35" s="3">
        <v>5275.44</v>
      </c>
      <c r="U35" s="3">
        <v>2708.73</v>
      </c>
      <c r="V35" s="6">
        <f>VLOOKUP(A35,[2]韩国KOSPI指数历史数据!$A:$B,2,)</f>
        <v>1746.24</v>
      </c>
      <c r="W35" s="6">
        <f>VLOOKUP(A35,[3]日经225指数历史数据!$A:$B,2,)</f>
        <v>9253.4599999999991</v>
      </c>
      <c r="X35" s="3">
        <v>1140.26</v>
      </c>
      <c r="Y35" s="6">
        <f>VLOOKUP(A35,[4]上证指数历史数据!$A:$B,2,)</f>
        <v>2606.6999999999998</v>
      </c>
      <c r="Z35" s="6">
        <f>VLOOKUP(A35,[5]深证成份指数历史数据!$A:$B,2,)</f>
        <v>10886.57</v>
      </c>
      <c r="AA35" s="6">
        <f>VLOOKUP(A35,[6]台湾加权指数历史数据!$A:$B,2,)</f>
        <v>7891.58</v>
      </c>
      <c r="AB35" s="3">
        <v>21071.57</v>
      </c>
      <c r="AC35" s="3">
        <v>2939.97</v>
      </c>
      <c r="AD35">
        <v>5452.1</v>
      </c>
      <c r="AE35" s="5">
        <f>VLOOKUP(A35,[7]越南VN30指数历史数据!$A:$B,2,)</f>
        <v>469.15</v>
      </c>
      <c r="AF35">
        <v>24424.34</v>
      </c>
      <c r="AG35" s="9">
        <v>9397.1</v>
      </c>
      <c r="AH35">
        <v>11628.28</v>
      </c>
      <c r="AI35">
        <v>1077.53</v>
      </c>
      <c r="AJ35">
        <v>1172.68</v>
      </c>
    </row>
    <row r="36" spans="1:36" x14ac:dyDescent="0.3">
      <c r="A36" s="2">
        <v>40405</v>
      </c>
      <c r="B36" s="3">
        <v>2438.9699999999998</v>
      </c>
      <c r="C36" s="4">
        <v>66677</v>
      </c>
      <c r="D36" s="3">
        <v>4430.8999999999996</v>
      </c>
      <c r="E36" s="3">
        <v>10213.620000000001</v>
      </c>
      <c r="F36" s="3">
        <v>11722.07</v>
      </c>
      <c r="G36" s="1">
        <v>610.78</v>
      </c>
      <c r="H36" s="3">
        <v>1071.69</v>
      </c>
      <c r="I36" s="3">
        <v>2179.7600000000002</v>
      </c>
      <c r="J36" s="3">
        <v>32291.67</v>
      </c>
      <c r="K36" s="1">
        <v>21124.9</v>
      </c>
      <c r="L36" s="3">
        <v>2445.14</v>
      </c>
      <c r="M36" s="3">
        <v>6005.16</v>
      </c>
      <c r="N36" s="6">
        <f>VLOOKUP(A36,'[1]俄罗斯交易系统市值加权指数历史数据 (1)'!$A:$B,2,)</f>
        <v>1425.03</v>
      </c>
      <c r="O36" s="3">
        <v>3526.12</v>
      </c>
      <c r="P36" s="1">
        <v>318.02</v>
      </c>
      <c r="Q36" s="3">
        <v>6185.82</v>
      </c>
      <c r="R36" s="1">
        <v>587.5</v>
      </c>
      <c r="S36" s="3">
        <v>10094.299999999999</v>
      </c>
      <c r="T36" s="3">
        <v>5195.28</v>
      </c>
      <c r="U36" s="3">
        <v>2643.98</v>
      </c>
      <c r="V36" s="6">
        <f>VLOOKUP(A36,[2]韩国KOSPI指数历史数据!$A:$B,2,)</f>
        <v>1775.54</v>
      </c>
      <c r="W36" s="6">
        <f>VLOOKUP(A36,[3]日经225指数历史数据!$A:$B,2,)</f>
        <v>9179.3799999999992</v>
      </c>
      <c r="X36" s="3">
        <v>1162.43</v>
      </c>
      <c r="Y36" s="6">
        <f>VLOOKUP(A36,[4]上证指数历史数据!$A:$B,2,)</f>
        <v>2642.31</v>
      </c>
      <c r="Z36" s="6">
        <f>VLOOKUP(A36,[5]深证成份指数历史数据!$A:$B,2,)</f>
        <v>11090.46</v>
      </c>
      <c r="AA36" s="6">
        <f>VLOOKUP(A36,[6]台湾加权指数历史数据!$A:$B,2,)</f>
        <v>7927.31</v>
      </c>
      <c r="AB36" s="3">
        <v>20981.82</v>
      </c>
      <c r="AC36" s="3">
        <v>2936.48</v>
      </c>
      <c r="AD36">
        <v>5530.65</v>
      </c>
      <c r="AE36" s="5">
        <f>VLOOKUP(A36,[7]越南VN30指数历史数据!$A:$B,2,)</f>
        <v>472.26</v>
      </c>
      <c r="AF36">
        <v>23921.25</v>
      </c>
      <c r="AG36" s="9">
        <v>9474.1200000000008</v>
      </c>
      <c r="AH36">
        <v>11499.64</v>
      </c>
      <c r="AI36">
        <v>1048.79</v>
      </c>
      <c r="AJ36">
        <v>1174.57</v>
      </c>
    </row>
    <row r="37" spans="1:36" x14ac:dyDescent="0.3">
      <c r="A37" s="2">
        <v>40412</v>
      </c>
      <c r="B37" s="3">
        <v>2349.0700000000002</v>
      </c>
      <c r="C37" s="4">
        <v>65585</v>
      </c>
      <c r="D37" s="3">
        <v>4370.1000000000004</v>
      </c>
      <c r="E37" s="3">
        <v>10150.65</v>
      </c>
      <c r="F37" s="3">
        <v>11879.72</v>
      </c>
      <c r="G37" s="1">
        <v>616.76</v>
      </c>
      <c r="H37" s="3">
        <v>1064.5899999999999</v>
      </c>
      <c r="I37" s="3">
        <v>2153.63</v>
      </c>
      <c r="J37" s="3">
        <v>31755.35</v>
      </c>
      <c r="K37" s="1">
        <v>21020.82</v>
      </c>
      <c r="L37" s="3">
        <v>2430.39</v>
      </c>
      <c r="M37" s="3">
        <v>5951.17</v>
      </c>
      <c r="N37" s="6">
        <f>VLOOKUP(A37,'[1]俄罗斯交易系统市值加权指数历史数据 (1)'!$A:$B,2,)</f>
        <v>1421.47</v>
      </c>
      <c r="O37" s="3">
        <v>3507.44</v>
      </c>
      <c r="P37" s="1">
        <v>317.04000000000002</v>
      </c>
      <c r="Q37" s="3">
        <v>6183.14</v>
      </c>
      <c r="R37" s="1">
        <v>593.46</v>
      </c>
      <c r="S37" s="3">
        <v>10148.200000000001</v>
      </c>
      <c r="T37" s="3">
        <v>5201.5600000000004</v>
      </c>
      <c r="U37" s="3">
        <v>2630.35</v>
      </c>
      <c r="V37" s="6">
        <f>VLOOKUP(A37,[2]韩国KOSPI指数历史数据!$A:$B,2,)</f>
        <v>1729.56</v>
      </c>
      <c r="W37" s="6">
        <f>VLOOKUP(A37,[3]日经225指数历史数据!$A:$B,2,)</f>
        <v>8991.06</v>
      </c>
      <c r="X37" s="3">
        <v>1139.8</v>
      </c>
      <c r="Y37" s="6">
        <f>VLOOKUP(A37,[4]上证指数历史数据!$A:$B,2,)</f>
        <v>2610.7399999999998</v>
      </c>
      <c r="Z37" s="6">
        <f>VLOOKUP(A37,[5]深证成份指数历史数据!$A:$B,2,)</f>
        <v>11034.73</v>
      </c>
      <c r="AA37" s="6">
        <f>VLOOKUP(A37,[6]台湾加权指数历史数据!$A:$B,2,)</f>
        <v>7722.91</v>
      </c>
      <c r="AB37" s="3">
        <v>20597.349999999999</v>
      </c>
      <c r="AC37" s="3">
        <v>2938.74</v>
      </c>
      <c r="AD37">
        <v>5408.7</v>
      </c>
      <c r="AE37" s="5">
        <f>VLOOKUP(A37,[7]越南VN30指数历史数据!$A:$B,2,)</f>
        <v>450.41</v>
      </c>
      <c r="AF37">
        <v>23644.46</v>
      </c>
      <c r="AG37" s="9">
        <v>9604.31</v>
      </c>
      <c r="AH37">
        <v>11764.99</v>
      </c>
      <c r="AI37">
        <v>1021.72</v>
      </c>
      <c r="AJ37">
        <v>1174.57</v>
      </c>
    </row>
    <row r="38" spans="1:36" x14ac:dyDescent="0.3">
      <c r="A38" s="2">
        <v>40419</v>
      </c>
      <c r="B38" s="3">
        <v>2423.2199999999998</v>
      </c>
      <c r="C38" s="4">
        <v>66679</v>
      </c>
      <c r="D38" s="3">
        <v>4541.2</v>
      </c>
      <c r="E38" s="3">
        <v>10447.93</v>
      </c>
      <c r="F38" s="3">
        <v>12144.92</v>
      </c>
      <c r="G38" s="1">
        <v>643.36</v>
      </c>
      <c r="H38" s="3">
        <v>1104.51</v>
      </c>
      <c r="I38" s="3">
        <v>2233.75</v>
      </c>
      <c r="J38" s="3">
        <v>32592.87</v>
      </c>
      <c r="K38" s="1">
        <v>21673.71</v>
      </c>
      <c r="L38" s="3">
        <v>2476.19</v>
      </c>
      <c r="M38" s="3">
        <v>6134.62</v>
      </c>
      <c r="N38" s="6">
        <f>VLOOKUP(A38,'[1]俄罗斯交易系统市值加权指数历史数据 (1)'!$A:$B,2,)</f>
        <v>1467.62</v>
      </c>
      <c r="O38" s="3">
        <v>3672.2</v>
      </c>
      <c r="P38" s="1">
        <v>329.35</v>
      </c>
      <c r="Q38" s="3">
        <v>6400.71</v>
      </c>
      <c r="R38" s="1">
        <v>609.99</v>
      </c>
      <c r="S38" s="3">
        <v>10599.4</v>
      </c>
      <c r="T38" s="3">
        <v>5428.15</v>
      </c>
      <c r="U38" s="3">
        <v>2746.23</v>
      </c>
      <c r="V38" s="6">
        <f>VLOOKUP(A38,[2]韩国KOSPI指数历史数据!$A:$B,2,)</f>
        <v>1780.02</v>
      </c>
      <c r="W38" s="6">
        <f>VLOOKUP(A38,[3]日经225指数历史数据!$A:$B,2,)</f>
        <v>9114.1299999999992</v>
      </c>
      <c r="X38" s="3">
        <v>1157.45</v>
      </c>
      <c r="Y38" s="6">
        <f>VLOOKUP(A38,[4]上证指数历史数据!$A:$B,2,)</f>
        <v>2655.39</v>
      </c>
      <c r="Z38" s="6">
        <f>VLOOKUP(A38,[5]深证成份指数历史数据!$A:$B,2,)</f>
        <v>11467.09</v>
      </c>
      <c r="AA38" s="6">
        <f>VLOOKUP(A38,[6]台湾加权指数历史数据!$A:$B,2,)</f>
        <v>7830.21</v>
      </c>
      <c r="AB38" s="3">
        <v>20971.5</v>
      </c>
      <c r="AC38" s="3">
        <v>3002.56</v>
      </c>
      <c r="AD38">
        <v>5479.4</v>
      </c>
      <c r="AE38" s="5">
        <f>VLOOKUP(A38,[7]越南VN30指数历史数据!$A:$B,2,)</f>
        <v>481.65</v>
      </c>
      <c r="AF38">
        <v>24825.46</v>
      </c>
      <c r="AG38" s="9">
        <v>9685.0300000000007</v>
      </c>
      <c r="AH38">
        <v>11701.11</v>
      </c>
      <c r="AI38">
        <v>1019.79</v>
      </c>
      <c r="AJ38">
        <v>1174.48</v>
      </c>
    </row>
    <row r="39" spans="1:36" x14ac:dyDescent="0.3">
      <c r="A39" s="2">
        <v>40426</v>
      </c>
      <c r="B39" s="3">
        <v>2436.77</v>
      </c>
      <c r="C39" s="4">
        <v>66807</v>
      </c>
      <c r="D39" s="3">
        <v>4560.3</v>
      </c>
      <c r="E39" s="3">
        <v>10462.77</v>
      </c>
      <c r="F39" s="3">
        <v>12097.09</v>
      </c>
      <c r="G39" s="1">
        <v>636.46</v>
      </c>
      <c r="H39" s="3">
        <v>1109.55</v>
      </c>
      <c r="I39" s="3">
        <v>2242.48</v>
      </c>
      <c r="J39" s="3">
        <v>32626.87</v>
      </c>
      <c r="K39" s="1">
        <v>22106.52</v>
      </c>
      <c r="L39" s="3">
        <v>2524.48</v>
      </c>
      <c r="M39" s="3">
        <v>6214.77</v>
      </c>
      <c r="N39" s="6">
        <f>VLOOKUP(A39,'[1]俄罗斯交易系统市值加权指数历史数据 (1)'!$A:$B,2,)</f>
        <v>1487.09</v>
      </c>
      <c r="O39" s="3">
        <v>3725.82</v>
      </c>
      <c r="P39" s="1">
        <v>334.96</v>
      </c>
      <c r="Q39" s="3">
        <v>6467.69</v>
      </c>
      <c r="R39" s="1">
        <v>606.08000000000004</v>
      </c>
      <c r="S39" s="3">
        <v>10689.6</v>
      </c>
      <c r="T39" s="3">
        <v>5501.64</v>
      </c>
      <c r="U39" s="3">
        <v>2780.4</v>
      </c>
      <c r="V39" s="6">
        <f>VLOOKUP(A39,[2]韩国KOSPI指数历史数据!$A:$B,2,)</f>
        <v>1802.58</v>
      </c>
      <c r="W39" s="6">
        <f>VLOOKUP(A39,[3]日经225指数历史数据!$A:$B,2,)</f>
        <v>9239.17</v>
      </c>
      <c r="X39" s="3">
        <v>1171.06</v>
      </c>
      <c r="Y39" s="6">
        <f>VLOOKUP(A39,[4]上证指数历史数据!$A:$B,2,)</f>
        <v>2663.21</v>
      </c>
      <c r="Z39" s="6">
        <f>VLOOKUP(A39,[5]深证成份指数历史数据!$A:$B,2,)</f>
        <v>11530.99</v>
      </c>
      <c r="AA39" s="6">
        <f>VLOOKUP(A39,[6]台湾加权指数历史数据!$A:$B,2,)</f>
        <v>7890.11</v>
      </c>
      <c r="AB39" s="3">
        <v>21257.39</v>
      </c>
      <c r="AC39" s="3">
        <v>3022.28</v>
      </c>
      <c r="AD39">
        <v>5640.05</v>
      </c>
      <c r="AE39" s="5">
        <f>VLOOKUP(A39,[7]越南VN30指数历史数据!$A:$B,2,)</f>
        <v>470.51</v>
      </c>
      <c r="AF39">
        <v>24966.81</v>
      </c>
      <c r="AG39" s="9">
        <v>9648.39</v>
      </c>
      <c r="AH39">
        <v>11694.4</v>
      </c>
      <c r="AI39">
        <v>1002.27</v>
      </c>
      <c r="AJ39">
        <v>1176.8599999999999</v>
      </c>
    </row>
    <row r="40" spans="1:36" x14ac:dyDescent="0.3">
      <c r="A40" s="2">
        <v>40433</v>
      </c>
      <c r="B40" s="3">
        <v>2473.4299999999998</v>
      </c>
      <c r="C40" s="4">
        <v>67089</v>
      </c>
      <c r="D40" s="3">
        <v>4638.8999999999996</v>
      </c>
      <c r="E40" s="3">
        <v>10607.85</v>
      </c>
      <c r="F40" s="3">
        <v>12164.56</v>
      </c>
      <c r="G40" s="1">
        <v>651.44000000000005</v>
      </c>
      <c r="H40" s="3">
        <v>1125.5899999999999</v>
      </c>
      <c r="I40" s="3">
        <v>2315.61</v>
      </c>
      <c r="J40" s="3">
        <v>33046.69</v>
      </c>
      <c r="K40" s="1">
        <v>22499.78</v>
      </c>
      <c r="L40" s="3">
        <v>2539.42</v>
      </c>
      <c r="M40" s="3">
        <v>6209.76</v>
      </c>
      <c r="N40" s="6">
        <f>VLOOKUP(A40,'[1]俄罗斯交易系统市值加权指数历史数据 (1)'!$A:$B,2,)</f>
        <v>1464.18</v>
      </c>
      <c r="O40" s="3">
        <v>3722.02</v>
      </c>
      <c r="P40" s="1">
        <v>334.54</v>
      </c>
      <c r="Q40" s="3">
        <v>6389.02</v>
      </c>
      <c r="R40" s="1">
        <v>638.62</v>
      </c>
      <c r="S40" s="3">
        <v>10588.6</v>
      </c>
      <c r="T40" s="3">
        <v>5508.45</v>
      </c>
      <c r="U40" s="3">
        <v>2757.37</v>
      </c>
      <c r="V40" s="6">
        <f>VLOOKUP(A40,[2]韩国KOSPI指数历史数据!$A:$B,2,)</f>
        <v>1827.35</v>
      </c>
      <c r="W40" s="6">
        <f>VLOOKUP(A40,[3]日经225指数历史数据!$A:$B,2,)</f>
        <v>9626.09</v>
      </c>
      <c r="X40" s="3">
        <v>1174.95</v>
      </c>
      <c r="Y40" s="6">
        <f>VLOOKUP(A40,[4]上证指数历史数据!$A:$B,2,)</f>
        <v>2598.69</v>
      </c>
      <c r="Z40" s="6">
        <f>VLOOKUP(A40,[5]深证成份指数历史数据!$A:$B,2,)</f>
        <v>11208.25</v>
      </c>
      <c r="AA40" s="6">
        <f>VLOOKUP(A40,[6]台湾加权指数历史数据!$A:$B,2,)</f>
        <v>8158.33</v>
      </c>
      <c r="AB40" s="3">
        <v>21970.86</v>
      </c>
      <c r="AC40" s="3">
        <v>3076.37</v>
      </c>
      <c r="AD40">
        <v>5884.95</v>
      </c>
      <c r="AE40" s="5">
        <f>VLOOKUP(A40,[7]越南VN30指数历史数据!$A:$B,2,)</f>
        <v>476.11</v>
      </c>
      <c r="AF40">
        <v>25258.33</v>
      </c>
      <c r="AG40" s="9">
        <v>9669.56</v>
      </c>
      <c r="AH40">
        <v>11683.77</v>
      </c>
      <c r="AI40">
        <v>979.36</v>
      </c>
      <c r="AJ40">
        <v>1176.8599999999999</v>
      </c>
    </row>
    <row r="41" spans="1:36" x14ac:dyDescent="0.3">
      <c r="A41" s="2">
        <v>40440</v>
      </c>
      <c r="B41" s="3">
        <v>2577.7399999999998</v>
      </c>
      <c r="C41" s="4">
        <v>68196</v>
      </c>
      <c r="D41" s="3">
        <v>4601.8999999999996</v>
      </c>
      <c r="E41" s="3">
        <v>10860.26</v>
      </c>
      <c r="F41" s="3">
        <v>12204.86</v>
      </c>
      <c r="G41" s="1">
        <v>671.01</v>
      </c>
      <c r="H41" s="3">
        <v>1148.67</v>
      </c>
      <c r="I41" s="3">
        <v>2381.2199999999998</v>
      </c>
      <c r="J41" s="3">
        <v>33280.75</v>
      </c>
      <c r="K41" s="1">
        <v>22151.94</v>
      </c>
      <c r="L41" s="3">
        <v>2606.7800000000002</v>
      </c>
      <c r="M41" s="3">
        <v>6298.3</v>
      </c>
      <c r="N41" s="6">
        <f>VLOOKUP(A41,'[1]俄罗斯交易系统市值加权指数历史数据 (1)'!$A:$B,2,)</f>
        <v>1488.67</v>
      </c>
      <c r="O41" s="3">
        <v>3782.48</v>
      </c>
      <c r="P41" s="1">
        <v>337.85</v>
      </c>
      <c r="Q41" s="3">
        <v>6360.77</v>
      </c>
      <c r="R41" s="1">
        <v>642.41</v>
      </c>
      <c r="S41" s="3">
        <v>10727.6</v>
      </c>
      <c r="T41" s="3">
        <v>5598.48</v>
      </c>
      <c r="U41" s="3">
        <v>2792.75</v>
      </c>
      <c r="V41" s="6">
        <f>VLOOKUP(A41,[2]韩国KOSPI指数历史数据!$A:$B,2,)</f>
        <v>1846.6</v>
      </c>
      <c r="W41" s="6">
        <f>VLOOKUP(A41,[3]日经225指数历史数据!$A:$B,2,)</f>
        <v>9471.67</v>
      </c>
      <c r="X41" s="3">
        <v>1227.19</v>
      </c>
      <c r="Y41" s="6">
        <f>VLOOKUP(A41,[4]上证指数历史数据!$A:$B,2,)</f>
        <v>2591.5500000000002</v>
      </c>
      <c r="Z41" s="6">
        <f>VLOOKUP(A41,[5]深证成份指数历史数据!$A:$B,2,)</f>
        <v>11210.74</v>
      </c>
      <c r="AA41" s="6">
        <f>VLOOKUP(A41,[6]台湾加权指数历史数据!$A:$B,2,)</f>
        <v>8166.62</v>
      </c>
      <c r="AB41" s="3">
        <v>22119.43</v>
      </c>
      <c r="AC41" s="3">
        <v>3092.68</v>
      </c>
      <c r="AD41">
        <v>6018.3</v>
      </c>
      <c r="AE41" s="5">
        <f>VLOOKUP(A41,[7]越南VN30指数历史数据!$A:$B,2,)</f>
        <v>467.58</v>
      </c>
      <c r="AF41">
        <v>25521.119999999999</v>
      </c>
      <c r="AG41" s="9">
        <v>9944.75</v>
      </c>
      <c r="AH41">
        <v>11718.23</v>
      </c>
      <c r="AI41">
        <v>973.58</v>
      </c>
      <c r="AJ41">
        <v>1174.31</v>
      </c>
    </row>
    <row r="42" spans="1:36" x14ac:dyDescent="0.3">
      <c r="A42" s="2">
        <v>40447</v>
      </c>
      <c r="B42" s="3">
        <v>2652.29</v>
      </c>
      <c r="C42" s="4">
        <v>70229</v>
      </c>
      <c r="D42" s="3">
        <v>4579.2</v>
      </c>
      <c r="E42" s="3">
        <v>10829.68</v>
      </c>
      <c r="F42" s="3">
        <v>12363.08</v>
      </c>
      <c r="G42" s="1">
        <v>679.29</v>
      </c>
      <c r="H42" s="3">
        <v>1146.24</v>
      </c>
      <c r="I42" s="3">
        <v>2370.75</v>
      </c>
      <c r="J42" s="3">
        <v>33807.480000000003</v>
      </c>
      <c r="K42" s="1">
        <v>22393.439999999999</v>
      </c>
      <c r="L42" s="3">
        <v>2611.3000000000002</v>
      </c>
      <c r="M42" s="3">
        <v>6211.34</v>
      </c>
      <c r="N42" s="6">
        <f>VLOOKUP(A42,'[1]俄罗斯交易系统市值加权指数历史数据 (1)'!$A:$B,2,)</f>
        <v>1531.91</v>
      </c>
      <c r="O42" s="3">
        <v>3692.09</v>
      </c>
      <c r="P42" s="1">
        <v>333.78</v>
      </c>
      <c r="Q42" s="3">
        <v>6284.17</v>
      </c>
      <c r="R42" s="1">
        <v>648.83000000000004</v>
      </c>
      <c r="S42" s="3">
        <v>10450.1</v>
      </c>
      <c r="T42" s="3">
        <v>5592.9</v>
      </c>
      <c r="U42" s="3">
        <v>2732.91</v>
      </c>
      <c r="V42" s="6">
        <f>VLOOKUP(A42,[2]韩国KOSPI指数历史数据!$A:$B,2,)</f>
        <v>1876.73</v>
      </c>
      <c r="W42" s="6">
        <f>VLOOKUP(A42,[3]日经225指数历史数据!$A:$B,2,)</f>
        <v>9404.23</v>
      </c>
      <c r="X42" s="3">
        <v>1225.92</v>
      </c>
      <c r="Y42" s="6">
        <f>VLOOKUP(A42,[4]上证指数历史数据!$A:$B,2,)</f>
        <v>2655.66</v>
      </c>
      <c r="Z42" s="6">
        <f>VLOOKUP(A42,[5]深证成份指数历史数据!$A:$B,2,)</f>
        <v>11468.54</v>
      </c>
      <c r="AA42" s="6">
        <f>VLOOKUP(A42,[6]台湾加权指数历史数据!$A:$B,2,)</f>
        <v>8244.18</v>
      </c>
      <c r="AB42" s="3">
        <v>22358.17</v>
      </c>
      <c r="AC42" s="3">
        <v>3130.9</v>
      </c>
      <c r="AD42">
        <v>6143.4</v>
      </c>
      <c r="AE42" s="5">
        <f>VLOOKUP(A42,[7]越南VN30指数历史数据!$A:$B,2,)</f>
        <v>471.35</v>
      </c>
      <c r="AF42">
        <v>25982.05</v>
      </c>
      <c r="AG42" s="9">
        <v>9798.7000000000007</v>
      </c>
      <c r="AH42">
        <v>11825.45</v>
      </c>
      <c r="AI42">
        <v>1002.45</v>
      </c>
      <c r="AJ42">
        <v>1172.99</v>
      </c>
    </row>
    <row r="43" spans="1:36" x14ac:dyDescent="0.3">
      <c r="A43" s="2">
        <v>40454</v>
      </c>
      <c r="B43" s="3">
        <v>2699.49</v>
      </c>
      <c r="C43" s="4">
        <v>70809</v>
      </c>
      <c r="D43" s="3">
        <v>4681.3999999999996</v>
      </c>
      <c r="E43" s="3">
        <v>11006.48</v>
      </c>
      <c r="F43" s="3">
        <v>12535.59</v>
      </c>
      <c r="G43" s="1">
        <v>693.82</v>
      </c>
      <c r="H43" s="3">
        <v>1165.1500000000001</v>
      </c>
      <c r="I43" s="3">
        <v>2401.91</v>
      </c>
      <c r="J43" s="3">
        <v>34464.82</v>
      </c>
      <c r="K43" s="1">
        <v>22005.7</v>
      </c>
      <c r="L43" s="3">
        <v>2609.15</v>
      </c>
      <c r="M43" s="3">
        <v>6291.67</v>
      </c>
      <c r="N43" s="6">
        <f>VLOOKUP(A43,'[1]俄罗斯交易系统市值加权指数历史数据 (1)'!$A:$B,2,)</f>
        <v>1566.85</v>
      </c>
      <c r="O43" s="3">
        <v>3763.18</v>
      </c>
      <c r="P43" s="1">
        <v>336.53</v>
      </c>
      <c r="Q43" s="3">
        <v>6363.16</v>
      </c>
      <c r="R43" s="1">
        <v>672.17</v>
      </c>
      <c r="S43" s="3">
        <v>10720.8</v>
      </c>
      <c r="T43" s="3">
        <v>5657.61</v>
      </c>
      <c r="U43" s="3">
        <v>2785.43</v>
      </c>
      <c r="V43" s="6">
        <f>VLOOKUP(A43,[2]韩国KOSPI指数历史数据!$A:$B,2,)</f>
        <v>1897.07</v>
      </c>
      <c r="W43" s="6">
        <f>VLOOKUP(A43,[3]日经225指数历史数据!$A:$B,2,)</f>
        <v>9588.8799999999992</v>
      </c>
      <c r="X43" s="3">
        <v>1216.3800000000001</v>
      </c>
      <c r="Y43" s="6">
        <f>VLOOKUP(A43,[4]上证指数历史数据!$A:$B,2,)</f>
        <v>2738.74</v>
      </c>
      <c r="Z43" s="6">
        <f>VLOOKUP(A43,[5]深证成份指数历史数据!$A:$B,2,)</f>
        <v>11911.37</v>
      </c>
      <c r="AA43" s="6">
        <f>VLOOKUP(A43,[6]台湾加权指数历史数据!$A:$B,2,)</f>
        <v>8244.19</v>
      </c>
      <c r="AB43" s="3">
        <v>22944.18</v>
      </c>
      <c r="AC43" s="3">
        <v>3153.34</v>
      </c>
      <c r="AD43">
        <v>6103.45</v>
      </c>
      <c r="AE43" s="5">
        <f>VLOOKUP(A43,[7]越南VN30指数历史数据!$A:$B,2,)</f>
        <v>481.98</v>
      </c>
      <c r="AF43">
        <v>26393.16</v>
      </c>
      <c r="AG43" s="9">
        <v>10180.61</v>
      </c>
      <c r="AH43">
        <v>11862.31</v>
      </c>
      <c r="AI43">
        <v>1016.16</v>
      </c>
      <c r="AJ43">
        <v>1171.53</v>
      </c>
    </row>
    <row r="44" spans="1:36" x14ac:dyDescent="0.3">
      <c r="A44" s="2">
        <v>40461</v>
      </c>
      <c r="B44" s="3">
        <v>2735.47</v>
      </c>
      <c r="C44" s="4">
        <v>71830</v>
      </c>
      <c r="D44" s="3">
        <v>4689</v>
      </c>
      <c r="E44" s="3">
        <v>11062.78</v>
      </c>
      <c r="F44" s="3">
        <v>12609.07</v>
      </c>
      <c r="G44" s="1">
        <v>703.16</v>
      </c>
      <c r="H44" s="3">
        <v>1176.19</v>
      </c>
      <c r="I44" s="3">
        <v>2468.77</v>
      </c>
      <c r="J44" s="3">
        <v>34741.54</v>
      </c>
      <c r="K44" s="1">
        <v>22129.09</v>
      </c>
      <c r="L44" s="3">
        <v>2654.25</v>
      </c>
      <c r="M44" s="3">
        <v>6492.3</v>
      </c>
      <c r="N44" s="6">
        <f>VLOOKUP(A44,'[1]俄罗斯交易系统市值加权指数历史数据 (1)'!$A:$B,2,)</f>
        <v>1581.9</v>
      </c>
      <c r="O44" s="3">
        <v>3827.37</v>
      </c>
      <c r="P44" s="1">
        <v>341.45</v>
      </c>
      <c r="Q44" s="3">
        <v>6443.01</v>
      </c>
      <c r="R44" s="1">
        <v>701.01</v>
      </c>
      <c r="S44" s="3">
        <v>10868.2</v>
      </c>
      <c r="T44" s="3">
        <v>5703.37</v>
      </c>
      <c r="U44" s="3">
        <v>2841.65</v>
      </c>
      <c r="V44" s="6">
        <f>VLOOKUP(A44,[2]韩国KOSPI指数历史数据!$A:$B,2,)</f>
        <v>1902.29</v>
      </c>
      <c r="W44" s="6">
        <f>VLOOKUP(A44,[3]日经225指数历史数据!$A:$B,2,)</f>
        <v>9500.25</v>
      </c>
      <c r="X44" s="3">
        <v>1256.98</v>
      </c>
      <c r="Y44" s="6">
        <f>VLOOKUP(A44,[4]上证指数历史数据!$A:$B,2,)</f>
        <v>2971.16</v>
      </c>
      <c r="Z44" s="6">
        <f>VLOOKUP(A44,[5]深证成份指数历史数据!$A:$B,2,)</f>
        <v>12765.5</v>
      </c>
      <c r="AA44" s="6">
        <f>VLOOKUP(A44,[6]台湾加权指数历史数据!$A:$B,2,)</f>
        <v>8205.2999999999993</v>
      </c>
      <c r="AB44" s="3">
        <v>23757.63</v>
      </c>
      <c r="AC44" s="3">
        <v>3204.27</v>
      </c>
      <c r="AD44">
        <v>6062.65</v>
      </c>
      <c r="AE44" s="5">
        <f>VLOOKUP(A44,[7]越南VN30指数历史数据!$A:$B,2,)</f>
        <v>477.89</v>
      </c>
      <c r="AF44">
        <v>26772.720000000001</v>
      </c>
      <c r="AG44" s="9">
        <v>10161.06</v>
      </c>
      <c r="AH44">
        <v>12113.52</v>
      </c>
      <c r="AI44">
        <v>1061.74</v>
      </c>
      <c r="AJ44">
        <v>1172.99</v>
      </c>
    </row>
    <row r="45" spans="1:36" x14ac:dyDescent="0.3">
      <c r="A45" s="2">
        <v>40468</v>
      </c>
      <c r="B45" s="3">
        <v>2851.91</v>
      </c>
      <c r="C45" s="4">
        <v>69530</v>
      </c>
      <c r="D45" s="3">
        <v>4648.2</v>
      </c>
      <c r="E45" s="3">
        <v>11132.56</v>
      </c>
      <c r="F45" s="3">
        <v>12601.18</v>
      </c>
      <c r="G45" s="1">
        <v>703.43</v>
      </c>
      <c r="H45" s="3">
        <v>1183.08</v>
      </c>
      <c r="I45" s="3">
        <v>2479.39</v>
      </c>
      <c r="J45" s="3">
        <v>35120.879999999997</v>
      </c>
      <c r="K45" s="1">
        <v>22396.86</v>
      </c>
      <c r="L45" s="3">
        <v>2641.6</v>
      </c>
      <c r="M45" s="3">
        <v>6605.84</v>
      </c>
      <c r="N45" s="6">
        <f>VLOOKUP(A45,'[1]俄罗斯交易系统市值加权指数历史数据 (1)'!$A:$B,2,)</f>
        <v>1608.71</v>
      </c>
      <c r="O45" s="3">
        <v>3868.54</v>
      </c>
      <c r="P45" s="1">
        <v>341.07</v>
      </c>
      <c r="Q45" s="3">
        <v>6477.13</v>
      </c>
      <c r="R45" s="1">
        <v>710.07</v>
      </c>
      <c r="S45" s="3">
        <v>10924.8</v>
      </c>
      <c r="T45" s="3">
        <v>5741.37</v>
      </c>
      <c r="U45" s="3">
        <v>2873.74</v>
      </c>
      <c r="V45" s="6">
        <f>VLOOKUP(A45,[2]韩国KOSPI指数历史数据!$A:$B,2,)</f>
        <v>1897.31</v>
      </c>
      <c r="W45" s="6">
        <f>VLOOKUP(A45,[3]日经225指数历史数据!$A:$B,2,)</f>
        <v>9426.7099999999991</v>
      </c>
      <c r="X45" s="3">
        <v>1272.25</v>
      </c>
      <c r="Y45" s="6">
        <f>VLOOKUP(A45,[4]上证指数历史数据!$A:$B,2,)</f>
        <v>2975.04</v>
      </c>
      <c r="Z45" s="6">
        <f>VLOOKUP(A45,[5]深证成份指数历史数据!$A:$B,2,)</f>
        <v>13224.98</v>
      </c>
      <c r="AA45" s="6">
        <f>VLOOKUP(A45,[6]台湾加权指数历史数据!$A:$B,2,)</f>
        <v>8168.06</v>
      </c>
      <c r="AB45" s="3">
        <v>23517.54</v>
      </c>
      <c r="AC45" s="3">
        <v>3173.57</v>
      </c>
      <c r="AD45">
        <v>6066.05</v>
      </c>
      <c r="AE45" s="5">
        <f>VLOOKUP(A45,[7]越南VN30指数历史数据!$A:$B,2,)</f>
        <v>465.45</v>
      </c>
      <c r="AF45">
        <v>26763.73</v>
      </c>
      <c r="AG45" s="9">
        <v>10026.83</v>
      </c>
      <c r="AH45">
        <v>12325.96</v>
      </c>
      <c r="AI45">
        <v>1059.47</v>
      </c>
      <c r="AJ45">
        <v>1172.99</v>
      </c>
    </row>
    <row r="46" spans="1:36" x14ac:dyDescent="0.3">
      <c r="A46" s="2">
        <v>40475</v>
      </c>
      <c r="B46" s="3">
        <v>3007.41</v>
      </c>
      <c r="C46" s="4">
        <v>70673</v>
      </c>
      <c r="D46" s="3">
        <v>4661.6000000000004</v>
      </c>
      <c r="E46" s="3">
        <v>11118.49</v>
      </c>
      <c r="F46" s="3">
        <v>12676.24</v>
      </c>
      <c r="G46" s="1">
        <v>703.35</v>
      </c>
      <c r="H46" s="3">
        <v>1183.26</v>
      </c>
      <c r="I46" s="3">
        <v>2507.41</v>
      </c>
      <c r="J46" s="3">
        <v>35568.22</v>
      </c>
      <c r="K46" s="1">
        <v>22874.62</v>
      </c>
      <c r="L46" s="3">
        <v>2651.27</v>
      </c>
      <c r="M46" s="3">
        <v>6601.37</v>
      </c>
      <c r="N46" s="6">
        <f>VLOOKUP(A46,'[1]俄罗斯交易系统市值加权指数历史数据 (1)'!$A:$B,2,)</f>
        <v>1587.14</v>
      </c>
      <c r="O46" s="3">
        <v>3833.5</v>
      </c>
      <c r="P46" s="1">
        <v>337.23</v>
      </c>
      <c r="Q46" s="3">
        <v>6472.23</v>
      </c>
      <c r="R46" s="1">
        <v>687.6</v>
      </c>
      <c r="S46" s="3">
        <v>10812.9</v>
      </c>
      <c r="T46" s="3">
        <v>5675.16</v>
      </c>
      <c r="U46" s="3">
        <v>2844.99</v>
      </c>
      <c r="V46" s="6">
        <f>VLOOKUP(A46,[2]韩国KOSPI指数历史数据!$A:$B,2,)</f>
        <v>1882.95</v>
      </c>
      <c r="W46" s="6">
        <f>VLOOKUP(A46,[3]日经225指数历史数据!$A:$B,2,)</f>
        <v>9202.4500000000007</v>
      </c>
      <c r="X46" s="3">
        <v>1270.3800000000001</v>
      </c>
      <c r="Y46" s="6">
        <f>VLOOKUP(A46,[4]上证指数历史数据!$A:$B,2,)</f>
        <v>2978.83</v>
      </c>
      <c r="Z46" s="6">
        <f>VLOOKUP(A46,[5]深证成份指数历史数据!$A:$B,2,)</f>
        <v>13367.24</v>
      </c>
      <c r="AA46" s="6">
        <f>VLOOKUP(A46,[6]台湾加权指数历史数据!$A:$B,2,)</f>
        <v>8287.09</v>
      </c>
      <c r="AB46" s="3">
        <v>23096.32</v>
      </c>
      <c r="AC46" s="3">
        <v>3142.62</v>
      </c>
      <c r="AD46">
        <v>6017.7</v>
      </c>
      <c r="AE46" s="5">
        <f>VLOOKUP(A46,[7]越南VN30指数历史数据!$A:$B,2,)</f>
        <v>476.56</v>
      </c>
      <c r="AF46">
        <v>27053.68</v>
      </c>
      <c r="AG46" s="9">
        <v>9855.48</v>
      </c>
      <c r="AH46">
        <v>12196.7</v>
      </c>
      <c r="AI46">
        <v>1050.8699999999999</v>
      </c>
      <c r="AJ46">
        <v>1172.99</v>
      </c>
    </row>
    <row r="47" spans="1:36" x14ac:dyDescent="0.3">
      <c r="A47" s="2">
        <v>40482</v>
      </c>
      <c r="B47" s="3">
        <v>3352.33</v>
      </c>
      <c r="C47" s="4">
        <v>72607</v>
      </c>
      <c r="D47" s="3">
        <v>4800.6000000000004</v>
      </c>
      <c r="E47" s="3">
        <v>11444.08</v>
      </c>
      <c r="F47" s="3">
        <v>12925.11</v>
      </c>
      <c r="G47" s="1">
        <v>736.59</v>
      </c>
      <c r="H47" s="3">
        <v>1225.8499999999999</v>
      </c>
      <c r="I47" s="3">
        <v>2578.98</v>
      </c>
      <c r="J47" s="3">
        <v>36317.51</v>
      </c>
      <c r="K47" s="1">
        <v>22992.54</v>
      </c>
      <c r="L47" s="3">
        <v>2733.37</v>
      </c>
      <c r="M47" s="3">
        <v>6754.2</v>
      </c>
      <c r="N47" s="6">
        <f>VLOOKUP(A47,'[1]俄罗斯交易系统市值加权指数历史数据 (1)'!$A:$B,2,)</f>
        <v>1602.53</v>
      </c>
      <c r="O47" s="3">
        <v>3916.73</v>
      </c>
      <c r="P47" s="1">
        <v>346.9</v>
      </c>
      <c r="Q47" s="3">
        <v>6587.72</v>
      </c>
      <c r="R47" s="1">
        <v>707.79</v>
      </c>
      <c r="S47" s="3">
        <v>10428.1</v>
      </c>
      <c r="T47" s="3">
        <v>5875.35</v>
      </c>
      <c r="U47" s="3">
        <v>2875.94</v>
      </c>
      <c r="V47" s="6">
        <f>VLOOKUP(A47,[2]韩国KOSPI指数历史数据!$A:$B,2,)</f>
        <v>1938.96</v>
      </c>
      <c r="W47" s="6">
        <f>VLOOKUP(A47,[3]日经225指数历史数据!$A:$B,2,)</f>
        <v>9625.99</v>
      </c>
      <c r="X47" s="3">
        <v>1265.2</v>
      </c>
      <c r="Y47" s="6">
        <f>VLOOKUP(A47,[4]上证指数历史数据!$A:$B,2,)</f>
        <v>3129.5</v>
      </c>
      <c r="Z47" s="6">
        <f>VLOOKUP(A47,[5]深证成份指数历史数据!$A:$B,2,)</f>
        <v>13733.36</v>
      </c>
      <c r="AA47" s="6">
        <f>VLOOKUP(A47,[6]台湾加权指数历史数据!$A:$B,2,)</f>
        <v>8449.34</v>
      </c>
      <c r="AB47" s="3">
        <v>24876.82</v>
      </c>
      <c r="AC47" s="3">
        <v>3240.31</v>
      </c>
      <c r="AD47">
        <v>6312.45</v>
      </c>
      <c r="AE47" s="5">
        <f>VLOOKUP(A47,[7]越南VN30指数历史数据!$A:$B,2,)</f>
        <v>481.46</v>
      </c>
      <c r="AF47">
        <v>28048.91</v>
      </c>
      <c r="AG47" s="9">
        <v>9960.3700000000008</v>
      </c>
      <c r="AH47">
        <v>12229.27</v>
      </c>
      <c r="AI47">
        <v>1045.6400000000001</v>
      </c>
      <c r="AJ47">
        <v>1172.99</v>
      </c>
    </row>
    <row r="48" spans="1:36" x14ac:dyDescent="0.3">
      <c r="A48" s="2">
        <v>40489</v>
      </c>
      <c r="B48" s="3">
        <v>3215.48</v>
      </c>
      <c r="C48" s="4">
        <v>70367</v>
      </c>
      <c r="D48" s="3">
        <v>4692.7</v>
      </c>
      <c r="E48" s="3">
        <v>11192.58</v>
      </c>
      <c r="F48" s="3">
        <v>12749.24</v>
      </c>
      <c r="G48" s="1">
        <v>719.27</v>
      </c>
      <c r="H48" s="3">
        <v>1199.21</v>
      </c>
      <c r="I48" s="3">
        <v>2518.21</v>
      </c>
      <c r="J48" s="3">
        <v>36057.39</v>
      </c>
      <c r="K48" s="1">
        <v>23053.09</v>
      </c>
      <c r="L48" s="3">
        <v>2739.5</v>
      </c>
      <c r="M48" s="3">
        <v>6734.61</v>
      </c>
      <c r="N48" s="6">
        <f>VLOOKUP(A48,'[1]俄罗斯交易系统市值加权指数历史数据 (1)'!$A:$B,2,)</f>
        <v>1610.97</v>
      </c>
      <c r="O48" s="3">
        <v>3831.12</v>
      </c>
      <c r="P48" s="1">
        <v>343.2</v>
      </c>
      <c r="Q48" s="3">
        <v>6505.29</v>
      </c>
      <c r="R48" s="1">
        <v>695.53</v>
      </c>
      <c r="S48" s="3">
        <v>10226.799999999999</v>
      </c>
      <c r="T48" s="3">
        <v>5796.87</v>
      </c>
      <c r="U48" s="3">
        <v>2822.43</v>
      </c>
      <c r="V48" s="6">
        <f>VLOOKUP(A48,[2]韩国KOSPI指数历史数据!$A:$B,2,)</f>
        <v>1913.12</v>
      </c>
      <c r="W48" s="6">
        <f>VLOOKUP(A48,[3]日经225指数历史数据!$A:$B,2,)</f>
        <v>9724.81</v>
      </c>
      <c r="X48" s="3">
        <v>1240.52</v>
      </c>
      <c r="Y48" s="6">
        <f>VLOOKUP(A48,[4]上证指数历史数据!$A:$B,2,)</f>
        <v>2985.43</v>
      </c>
      <c r="Z48" s="6">
        <f>VLOOKUP(A48,[5]深证成份指数历史数据!$A:$B,2,)</f>
        <v>12726.54</v>
      </c>
      <c r="AA48" s="6">
        <f>VLOOKUP(A48,[6]台湾加权指数历史数据!$A:$B,2,)</f>
        <v>8316.0499999999993</v>
      </c>
      <c r="AB48" s="3">
        <v>24222.58</v>
      </c>
      <c r="AC48" s="3">
        <v>3252</v>
      </c>
      <c r="AD48">
        <v>6071.65</v>
      </c>
      <c r="AE48" s="5">
        <f>VLOOKUP(A48,[7]越南VN30指数历史数据!$A:$B,2,)</f>
        <v>462.24</v>
      </c>
      <c r="AF48">
        <v>28253.759999999998</v>
      </c>
      <c r="AG48" s="9">
        <v>9969.1</v>
      </c>
      <c r="AH48">
        <v>12235.44</v>
      </c>
      <c r="AI48">
        <v>1079.9100000000001</v>
      </c>
      <c r="AJ48">
        <v>1172.99</v>
      </c>
    </row>
    <row r="49" spans="1:36" x14ac:dyDescent="0.3">
      <c r="A49" s="2">
        <v>40496</v>
      </c>
      <c r="B49" s="3">
        <v>3260.8</v>
      </c>
      <c r="C49" s="4">
        <v>70898</v>
      </c>
      <c r="D49" s="3">
        <v>4629.2</v>
      </c>
      <c r="E49" s="3">
        <v>11203.55</v>
      </c>
      <c r="F49" s="3">
        <v>12956.33</v>
      </c>
      <c r="G49" s="1">
        <v>724.36</v>
      </c>
      <c r="H49" s="3">
        <v>1199.73</v>
      </c>
      <c r="I49" s="3">
        <v>2518.12</v>
      </c>
      <c r="J49" s="3">
        <v>36601.4</v>
      </c>
      <c r="K49" s="1">
        <v>23015.34</v>
      </c>
      <c r="L49" s="3">
        <v>2655.84</v>
      </c>
      <c r="M49" s="3">
        <v>6843.55</v>
      </c>
      <c r="N49" s="6">
        <f>VLOOKUP(A49,'[1]俄罗斯交易系统市值加权指数历史数据 (1)'!$A:$B,2,)</f>
        <v>1600.98</v>
      </c>
      <c r="O49" s="3">
        <v>3860.16</v>
      </c>
      <c r="P49" s="1">
        <v>344.58</v>
      </c>
      <c r="Q49" s="3">
        <v>6590.84</v>
      </c>
      <c r="R49" s="1">
        <v>699.98</v>
      </c>
      <c r="S49" s="3">
        <v>10271.700000000001</v>
      </c>
      <c r="T49" s="3">
        <v>5732.83</v>
      </c>
      <c r="U49" s="3">
        <v>2845.75</v>
      </c>
      <c r="V49" s="6">
        <f>VLOOKUP(A49,[2]韩国KOSPI指数历史数据!$A:$B,2,)</f>
        <v>1940.96</v>
      </c>
      <c r="W49" s="6">
        <f>VLOOKUP(A49,[3]日经225指数历史数据!$A:$B,2,)</f>
        <v>10022.39</v>
      </c>
      <c r="X49" s="3">
        <v>1265.1099999999999</v>
      </c>
      <c r="Y49" s="6">
        <f>VLOOKUP(A49,[4]上证指数历史数据!$A:$B,2,)</f>
        <v>2888.57</v>
      </c>
      <c r="Z49" s="6">
        <f>VLOOKUP(A49,[5]深证成份指数历史数据!$A:$B,2,)</f>
        <v>12295.85</v>
      </c>
      <c r="AA49" s="6">
        <f>VLOOKUP(A49,[6]台湾加权指数历史数据!$A:$B,2,)</f>
        <v>8306.1200000000008</v>
      </c>
      <c r="AB49" s="3">
        <v>23605.71</v>
      </c>
      <c r="AC49" s="3">
        <v>3197.37</v>
      </c>
      <c r="AD49">
        <v>5890.3</v>
      </c>
      <c r="AE49" s="5">
        <f>VLOOKUP(A49,[7]越南VN30指数历史数据!$A:$B,2,)</f>
        <v>445.73</v>
      </c>
      <c r="AF49">
        <v>27930.33</v>
      </c>
      <c r="AG49" s="9">
        <v>10078.280000000001</v>
      </c>
      <c r="AH49">
        <v>12326.38</v>
      </c>
      <c r="AI49">
        <v>1076.8</v>
      </c>
      <c r="AJ49">
        <v>1174.3900000000001</v>
      </c>
    </row>
    <row r="50" spans="1:36" x14ac:dyDescent="0.3">
      <c r="A50" s="2">
        <v>40503</v>
      </c>
      <c r="B50" s="3">
        <v>3302.88</v>
      </c>
      <c r="C50" s="4">
        <v>68226</v>
      </c>
      <c r="D50" s="3">
        <v>4598.3</v>
      </c>
      <c r="E50" s="3">
        <v>11092</v>
      </c>
      <c r="F50" s="3">
        <v>12892.71</v>
      </c>
      <c r="G50" s="1">
        <v>732.73</v>
      </c>
      <c r="H50" s="3">
        <v>1189.4000000000001</v>
      </c>
      <c r="I50" s="3">
        <v>2534.56</v>
      </c>
      <c r="J50" s="3">
        <v>36904.53</v>
      </c>
      <c r="K50" s="1">
        <v>23015.39</v>
      </c>
      <c r="L50" s="3">
        <v>2641.81</v>
      </c>
      <c r="M50" s="3">
        <v>6848.98</v>
      </c>
      <c r="N50" s="6">
        <f>VLOOKUP(A50,'[1]俄罗斯交易系统市值加权指数历史数据 (1)'!$A:$B,2,)</f>
        <v>1602.48</v>
      </c>
      <c r="O50" s="3">
        <v>3728.65</v>
      </c>
      <c r="P50" s="1">
        <v>336.26</v>
      </c>
      <c r="Q50" s="3">
        <v>6483.56</v>
      </c>
      <c r="R50" s="1">
        <v>661.48</v>
      </c>
      <c r="S50" s="3">
        <v>9547.2000000000007</v>
      </c>
      <c r="T50" s="3">
        <v>5668.7</v>
      </c>
      <c r="U50" s="3">
        <v>2736.96</v>
      </c>
      <c r="V50" s="6">
        <f>VLOOKUP(A50,[2]韩国KOSPI指数历史数据!$A:$B,2,)</f>
        <v>1901.8</v>
      </c>
      <c r="W50" s="6">
        <f>VLOOKUP(A50,[3]日经225指数历史数据!$A:$B,2,)</f>
        <v>10039.56</v>
      </c>
      <c r="X50" s="3">
        <v>1262.42</v>
      </c>
      <c r="Y50" s="6">
        <f>VLOOKUP(A50,[4]上证指数历史数据!$A:$B,2,)</f>
        <v>2871.7</v>
      </c>
      <c r="Z50" s="6">
        <f>VLOOKUP(A50,[5]深证成份指数历史数据!$A:$B,2,)</f>
        <v>12539.01</v>
      </c>
      <c r="AA50" s="6">
        <f>VLOOKUP(A50,[6]台湾加权指数历史数据!$A:$B,2,)</f>
        <v>8312.15</v>
      </c>
      <c r="AB50" s="3">
        <v>22877.25</v>
      </c>
      <c r="AC50" s="3">
        <v>3158.08</v>
      </c>
      <c r="AD50">
        <v>5751.95</v>
      </c>
      <c r="AE50" s="5">
        <f>VLOOKUP(A50,[7]越南VN30指数历史数据!$A:$B,2,)</f>
        <v>459.11</v>
      </c>
      <c r="AF50">
        <v>27730.43</v>
      </c>
      <c r="AG50" s="9">
        <v>10103.549999999999</v>
      </c>
      <c r="AH50">
        <v>12115.95</v>
      </c>
      <c r="AI50">
        <v>1058.2</v>
      </c>
      <c r="AJ50">
        <v>1162.02</v>
      </c>
    </row>
    <row r="51" spans="1:36" x14ac:dyDescent="0.3">
      <c r="A51" s="2">
        <v>40510</v>
      </c>
      <c r="B51" s="3">
        <v>3422.43</v>
      </c>
      <c r="C51" s="4">
        <v>69766</v>
      </c>
      <c r="D51" s="3">
        <v>4694.2</v>
      </c>
      <c r="E51" s="3">
        <v>11382.09</v>
      </c>
      <c r="F51" s="3">
        <v>13178.95</v>
      </c>
      <c r="G51" s="1">
        <v>756.42</v>
      </c>
      <c r="H51" s="3">
        <v>1224.71</v>
      </c>
      <c r="I51" s="3">
        <v>2591.46</v>
      </c>
      <c r="J51" s="3">
        <v>37385.910000000003</v>
      </c>
      <c r="K51" s="1">
        <v>23006.22</v>
      </c>
      <c r="L51" s="3">
        <v>2712.09</v>
      </c>
      <c r="M51" s="3">
        <v>6947.72</v>
      </c>
      <c r="N51" s="6">
        <f>VLOOKUP(A51,'[1]俄罗斯交易系统市值加权指数历史数据 (1)'!$A:$B,2,)</f>
        <v>1687.36</v>
      </c>
      <c r="O51" s="3">
        <v>3750.55</v>
      </c>
      <c r="P51" s="1">
        <v>342.19</v>
      </c>
      <c r="Q51" s="3">
        <v>6440.9</v>
      </c>
      <c r="R51" s="1">
        <v>668.6</v>
      </c>
      <c r="S51" s="3">
        <v>10014.799999999999</v>
      </c>
      <c r="T51" s="3">
        <v>5745.32</v>
      </c>
      <c r="U51" s="3">
        <v>2782.39</v>
      </c>
      <c r="V51" s="6">
        <f>VLOOKUP(A51,[2]韩国KOSPI指数历史数据!$A:$B,2,)</f>
        <v>1957.26</v>
      </c>
      <c r="W51" s="6">
        <f>VLOOKUP(A51,[3]日经225指数历史数据!$A:$B,2,)</f>
        <v>10178.32</v>
      </c>
      <c r="X51" s="3">
        <v>1261.73</v>
      </c>
      <c r="Y51" s="6">
        <f>VLOOKUP(A51,[4]上证指数历史数据!$A:$B,2,)</f>
        <v>2842.43</v>
      </c>
      <c r="Z51" s="6">
        <f>VLOOKUP(A51,[5]深证成份指数历史数据!$A:$B,2,)</f>
        <v>12443</v>
      </c>
      <c r="AA51" s="6">
        <f>VLOOKUP(A51,[6]台湾加权指数历史数据!$A:$B,2,)</f>
        <v>8624.01</v>
      </c>
      <c r="AB51" s="3">
        <v>23320.52</v>
      </c>
      <c r="AC51" s="3">
        <v>3172.44</v>
      </c>
      <c r="AD51">
        <v>5992.8</v>
      </c>
      <c r="AE51" s="5">
        <f>VLOOKUP(A51,[7]越南VN30指数历史数据!$A:$B,2,)</f>
        <v>487.18</v>
      </c>
      <c r="AF51">
        <v>27933.41</v>
      </c>
      <c r="AG51" s="9">
        <v>9885.2199999999993</v>
      </c>
      <c r="AH51">
        <v>12401.03</v>
      </c>
      <c r="AI51">
        <v>1068.45</v>
      </c>
      <c r="AJ51">
        <v>1162.49</v>
      </c>
    </row>
    <row r="52" spans="1:36" x14ac:dyDescent="0.3">
      <c r="A52" s="2">
        <v>40517</v>
      </c>
      <c r="B52" s="3">
        <v>3390.87</v>
      </c>
      <c r="C52" s="4">
        <v>68342</v>
      </c>
      <c r="D52" s="3">
        <v>4745.8999999999996</v>
      </c>
      <c r="E52" s="3">
        <v>11410.32</v>
      </c>
      <c r="F52" s="3">
        <v>13239.47</v>
      </c>
      <c r="G52" s="1">
        <v>776.83</v>
      </c>
      <c r="H52" s="3">
        <v>1240.4000000000001</v>
      </c>
      <c r="I52" s="3">
        <v>2637.54</v>
      </c>
      <c r="J52" s="3">
        <v>37677.78</v>
      </c>
      <c r="K52" s="1">
        <v>23012.71</v>
      </c>
      <c r="L52" s="3">
        <v>2763.26</v>
      </c>
      <c r="M52" s="3">
        <v>7006.17</v>
      </c>
      <c r="N52" s="6">
        <f>VLOOKUP(A52,'[1]俄罗斯交易系统市值加权指数历史数据 (1)'!$A:$B,2,)</f>
        <v>1712.93</v>
      </c>
      <c r="O52" s="3">
        <v>3857.35</v>
      </c>
      <c r="P52" s="1">
        <v>350.21</v>
      </c>
      <c r="Q52" s="3">
        <v>6519.14</v>
      </c>
      <c r="R52" s="1">
        <v>647.59</v>
      </c>
      <c r="S52" s="3">
        <v>10121.9</v>
      </c>
      <c r="T52" s="3">
        <v>5812.95</v>
      </c>
      <c r="U52" s="3">
        <v>2839.53</v>
      </c>
      <c r="V52" s="6">
        <f>VLOOKUP(A52,[2]韩国KOSPI指数历史数据!$A:$B,2,)</f>
        <v>1986.14</v>
      </c>
      <c r="W52" s="6">
        <f>VLOOKUP(A52,[3]日经225指数历史数据!$A:$B,2,)</f>
        <v>10211.950000000001</v>
      </c>
      <c r="X52" s="3">
        <v>1298.97</v>
      </c>
      <c r="Y52" s="6">
        <f>VLOOKUP(A52,[4]上证指数历史数据!$A:$B,2,)</f>
        <v>2841.04</v>
      </c>
      <c r="Z52" s="6">
        <f>VLOOKUP(A52,[5]深证成份指数历史数据!$A:$B,2,)</f>
        <v>12460.46</v>
      </c>
      <c r="AA52" s="6">
        <f>VLOOKUP(A52,[6]台湾加权指数历史数据!$A:$B,2,)</f>
        <v>8718.83</v>
      </c>
      <c r="AB52" s="3">
        <v>23162.91</v>
      </c>
      <c r="AC52" s="3">
        <v>3185.42</v>
      </c>
      <c r="AD52">
        <v>5857.35</v>
      </c>
      <c r="AE52" s="5">
        <f>VLOOKUP(A52,[7]越南VN30指数历史数据!$A:$B,2,)</f>
        <v>501.99</v>
      </c>
      <c r="AF52">
        <v>28050.46</v>
      </c>
      <c r="AG52" s="9">
        <v>10136.35</v>
      </c>
      <c r="AH52">
        <v>12813.85</v>
      </c>
      <c r="AI52">
        <v>1045.1099999999999</v>
      </c>
      <c r="AJ52">
        <v>1161.3</v>
      </c>
    </row>
    <row r="53" spans="1:36" x14ac:dyDescent="0.3">
      <c r="A53" s="2">
        <v>40524</v>
      </c>
      <c r="B53" s="3">
        <v>3403.08</v>
      </c>
      <c r="C53" s="4">
        <v>67981</v>
      </c>
      <c r="D53" s="3">
        <v>4763.1000000000004</v>
      </c>
      <c r="E53" s="3">
        <v>11491.91</v>
      </c>
      <c r="F53" s="3">
        <v>13201.46</v>
      </c>
      <c r="G53" s="1">
        <v>779.51</v>
      </c>
      <c r="H53" s="3">
        <v>1243.9100000000001</v>
      </c>
      <c r="I53" s="3">
        <v>2642.97</v>
      </c>
      <c r="J53" s="3">
        <v>37997.339999999997</v>
      </c>
      <c r="K53" s="1">
        <v>23269.54</v>
      </c>
      <c r="L53" s="3">
        <v>2759.52</v>
      </c>
      <c r="M53" s="3">
        <v>6982.45</v>
      </c>
      <c r="N53" s="6">
        <f>VLOOKUP(A53,'[1]俄罗斯交易系统市值加权指数历史数据 (1)'!$A:$B,2,)</f>
        <v>1743.87</v>
      </c>
      <c r="O53" s="3">
        <v>3867.35</v>
      </c>
      <c r="P53" s="1">
        <v>352.05</v>
      </c>
      <c r="Q53" s="3">
        <v>6538.16</v>
      </c>
      <c r="R53" s="1">
        <v>635.24</v>
      </c>
      <c r="S53" s="3">
        <v>9898.1</v>
      </c>
      <c r="T53" s="3">
        <v>5871.75</v>
      </c>
      <c r="U53" s="3">
        <v>2821.77</v>
      </c>
      <c r="V53" s="6">
        <f>VLOOKUP(A53,[2]韩国KOSPI指数历史数据!$A:$B,2,)</f>
        <v>2026.3</v>
      </c>
      <c r="W53" s="6">
        <f>VLOOKUP(A53,[3]日经225指数历史数据!$A:$B,2,)</f>
        <v>10303.83</v>
      </c>
      <c r="X53" s="3">
        <v>1306.18</v>
      </c>
      <c r="Y53" s="6">
        <f>VLOOKUP(A53,[4]上证指数历史数据!$A:$B,2,)</f>
        <v>2893.74</v>
      </c>
      <c r="Z53" s="6">
        <f>VLOOKUP(A53,[5]深证成份指数历史数据!$A:$B,2,)</f>
        <v>12759.6</v>
      </c>
      <c r="AA53" s="6">
        <f>VLOOKUP(A53,[6]台湾加权指数历史数据!$A:$B,2,)</f>
        <v>8817.9</v>
      </c>
      <c r="AB53" s="3">
        <v>22714.85</v>
      </c>
      <c r="AC53" s="3">
        <v>3153.01</v>
      </c>
      <c r="AD53">
        <v>5948.75</v>
      </c>
      <c r="AE53" s="5">
        <f>VLOOKUP(A53,[7]越南VN30指数历史数据!$A:$B,2,)</f>
        <v>524.03</v>
      </c>
      <c r="AF53">
        <v>28215.48</v>
      </c>
      <c r="AG53" s="9">
        <v>10136.01</v>
      </c>
      <c r="AH53">
        <v>12714.58</v>
      </c>
      <c r="AI53">
        <v>1051.5999999999999</v>
      </c>
      <c r="AJ53">
        <v>1161.3</v>
      </c>
    </row>
    <row r="54" spans="1:36" x14ac:dyDescent="0.3">
      <c r="A54" s="2">
        <v>40531</v>
      </c>
      <c r="B54" s="3">
        <v>3476.42</v>
      </c>
      <c r="C54" s="4">
        <v>68486</v>
      </c>
      <c r="D54" s="3">
        <v>4777.3</v>
      </c>
      <c r="E54" s="3">
        <v>11573.49</v>
      </c>
      <c r="F54" s="3">
        <v>13383.16</v>
      </c>
      <c r="G54" s="1">
        <v>788.96</v>
      </c>
      <c r="H54" s="3">
        <v>1256.77</v>
      </c>
      <c r="I54" s="3">
        <v>2665.6</v>
      </c>
      <c r="J54" s="3">
        <v>38081.07</v>
      </c>
      <c r="K54" s="1">
        <v>22921.59</v>
      </c>
      <c r="L54" s="3">
        <v>2768.66</v>
      </c>
      <c r="M54" s="3">
        <v>7057.69</v>
      </c>
      <c r="N54" s="6">
        <f>VLOOKUP(A54,'[1]俄罗斯交易系统市值加权指数历史数据 (1)'!$A:$B,2,)</f>
        <v>1769.57</v>
      </c>
      <c r="O54" s="3">
        <v>3900.39</v>
      </c>
      <c r="P54" s="1">
        <v>355.92</v>
      </c>
      <c r="Q54" s="3">
        <v>6599.43</v>
      </c>
      <c r="R54" s="1">
        <v>662.67</v>
      </c>
      <c r="S54" s="3">
        <v>10106.9</v>
      </c>
      <c r="T54" s="3">
        <v>6008.92</v>
      </c>
      <c r="U54" s="3">
        <v>2861.94</v>
      </c>
      <c r="V54" s="6">
        <f>VLOOKUP(A54,[2]韩国KOSPI指数历史数据!$A:$B,2,)</f>
        <v>2029.6</v>
      </c>
      <c r="W54" s="6">
        <f>VLOOKUP(A54,[3]日经225指数历史数据!$A:$B,2,)</f>
        <v>10279.19</v>
      </c>
      <c r="X54" s="3">
        <v>1305.45</v>
      </c>
      <c r="Y54" s="6">
        <f>VLOOKUP(A54,[4]上证指数历史数据!$A:$B,2,)</f>
        <v>2835.16</v>
      </c>
      <c r="Z54" s="6">
        <f>VLOOKUP(A54,[5]深证成份指数历史数据!$A:$B,2,)</f>
        <v>12556.84</v>
      </c>
      <c r="AA54" s="6">
        <f>VLOOKUP(A54,[6]台湾加权指数历史数据!$A:$B,2,)</f>
        <v>8861.1</v>
      </c>
      <c r="AB54" s="3">
        <v>22833.8</v>
      </c>
      <c r="AC54" s="3">
        <v>3143.8</v>
      </c>
      <c r="AD54">
        <v>6011.6</v>
      </c>
      <c r="AE54" s="5">
        <f>VLOOKUP(A54,[7]越南VN30指数历史数据!$A:$B,2,)</f>
        <v>502.49</v>
      </c>
      <c r="AF54">
        <v>28582.68</v>
      </c>
      <c r="AG54" s="9">
        <v>10203</v>
      </c>
      <c r="AH54">
        <v>12645.3</v>
      </c>
      <c r="AI54">
        <v>1069.94</v>
      </c>
      <c r="AJ54">
        <v>1161.3</v>
      </c>
    </row>
    <row r="55" spans="1:36" x14ac:dyDescent="0.3">
      <c r="A55" s="2">
        <v>40538</v>
      </c>
      <c r="B55" s="3">
        <v>3523.59</v>
      </c>
      <c r="C55" s="4">
        <v>69305</v>
      </c>
      <c r="D55" s="3">
        <v>4745.2</v>
      </c>
      <c r="E55" s="3">
        <v>11577.51</v>
      </c>
      <c r="F55" s="3">
        <v>13443.22</v>
      </c>
      <c r="G55" s="1">
        <v>783.65</v>
      </c>
      <c r="H55" s="3">
        <v>1257.6400000000001</v>
      </c>
      <c r="I55" s="3">
        <v>2652.87</v>
      </c>
      <c r="J55" s="3">
        <v>38550.79</v>
      </c>
      <c r="K55" s="1">
        <v>22979.22</v>
      </c>
      <c r="L55" s="3">
        <v>2744.17</v>
      </c>
      <c r="M55" s="3">
        <v>6914.19</v>
      </c>
      <c r="N55" s="6">
        <f>VLOOKUP(A55,'[1]俄罗斯交易系统市值加权指数历史数据 (1)'!$A:$B,2,)</f>
        <v>1770.28</v>
      </c>
      <c r="O55" s="3">
        <v>3804.78</v>
      </c>
      <c r="P55" s="1">
        <v>354.57</v>
      </c>
      <c r="Q55" s="3">
        <v>6436.04</v>
      </c>
      <c r="R55" s="1">
        <v>660.04</v>
      </c>
      <c r="S55" s="3">
        <v>9859.1</v>
      </c>
      <c r="T55" s="3">
        <v>5899.94</v>
      </c>
      <c r="U55" s="3">
        <v>2792.82</v>
      </c>
      <c r="V55" s="6">
        <f>VLOOKUP(A55,[2]韩国KOSPI指数历史数据!$A:$B,2,)</f>
        <v>2051</v>
      </c>
      <c r="W55" s="6">
        <f>VLOOKUP(A55,[3]日经225指数历史数据!$A:$B,2,)</f>
        <v>10228.92</v>
      </c>
      <c r="X55" s="3">
        <v>1326.44</v>
      </c>
      <c r="Y55" s="6">
        <f>VLOOKUP(A55,[4]上证指数历史数据!$A:$B,2,)</f>
        <v>2808.08</v>
      </c>
      <c r="Z55" s="6">
        <f>VLOOKUP(A55,[5]深证成份指数历史数据!$A:$B,2,)</f>
        <v>12458.55</v>
      </c>
      <c r="AA55" s="6">
        <f>VLOOKUP(A55,[6]台湾加权指数历史数据!$A:$B,2,)</f>
        <v>8972.5</v>
      </c>
      <c r="AB55" s="3">
        <v>23035.45</v>
      </c>
      <c r="AC55" s="3">
        <v>3190.04</v>
      </c>
      <c r="AD55">
        <v>6134.5</v>
      </c>
      <c r="AE55" s="5">
        <f>VLOOKUP(A55,[7]越南VN30指数历史数据!$A:$B,2,)</f>
        <v>513.6</v>
      </c>
      <c r="AF55">
        <v>28639.4</v>
      </c>
      <c r="AG55" s="9">
        <v>10451.799999999999</v>
      </c>
      <c r="AH55">
        <v>12655.2</v>
      </c>
      <c r="AI55">
        <v>1077.25</v>
      </c>
      <c r="AJ55">
        <v>1163.8900000000001</v>
      </c>
    </row>
    <row r="56" spans="1:36" x14ac:dyDescent="0.3">
      <c r="A56" s="2">
        <v>40545</v>
      </c>
      <c r="B56" s="3">
        <v>3546.26</v>
      </c>
      <c r="C56" s="4">
        <v>70057</v>
      </c>
      <c r="D56" s="3">
        <v>4705</v>
      </c>
      <c r="E56" s="3">
        <v>11674.76</v>
      </c>
      <c r="F56" s="3">
        <v>13272.3</v>
      </c>
      <c r="G56" s="1">
        <v>787.83</v>
      </c>
      <c r="H56" s="3">
        <v>1271.5</v>
      </c>
      <c r="I56" s="3">
        <v>2703.17</v>
      </c>
      <c r="J56" s="3">
        <v>38600.86</v>
      </c>
      <c r="K56" s="1">
        <v>23210.23</v>
      </c>
      <c r="L56" s="3">
        <v>2682</v>
      </c>
      <c r="M56" s="3">
        <v>6947.84</v>
      </c>
      <c r="N56" s="6" t="e">
        <f>VLOOKUP(A56,'[1]俄罗斯交易系统市值加权指数历史数据 (1)'!$A:$B,2,)</f>
        <v>#N/A</v>
      </c>
      <c r="O56" s="3">
        <v>3865.58</v>
      </c>
      <c r="P56" s="1">
        <v>356.44</v>
      </c>
      <c r="Q56" s="3">
        <v>6497.64</v>
      </c>
      <c r="R56" s="1">
        <v>687.7</v>
      </c>
      <c r="S56" s="3">
        <v>9560.7000000000007</v>
      </c>
      <c r="T56" s="3">
        <v>5984.33</v>
      </c>
      <c r="U56" s="3">
        <v>2808.25</v>
      </c>
      <c r="V56" s="6">
        <f>VLOOKUP(A56,[2]韩国KOSPI指数历史数据!$A:$B,2,)</f>
        <v>2086.1999999999998</v>
      </c>
      <c r="W56" s="6">
        <f>VLOOKUP(A56,[3]日经225指数历史数据!$A:$B,2,)</f>
        <v>10541.04</v>
      </c>
      <c r="X56" s="3">
        <v>1335.99</v>
      </c>
      <c r="Y56" s="6">
        <f>VLOOKUP(A56,[4]上证指数历史数据!$A:$B,2,)</f>
        <v>2838.8</v>
      </c>
      <c r="Z56" s="6">
        <f>VLOOKUP(A56,[5]深证成份指数历史数据!$A:$B,2,)</f>
        <v>12573.94</v>
      </c>
      <c r="AA56" s="6">
        <f>VLOOKUP(A56,[6]台湾加权指数历史数据!$A:$B,2,)</f>
        <v>8782.7199999999993</v>
      </c>
      <c r="AB56" s="3">
        <v>23686.63</v>
      </c>
      <c r="AC56" s="3">
        <v>3261.35</v>
      </c>
      <c r="AD56">
        <v>5904.6</v>
      </c>
      <c r="AE56" s="5">
        <f>VLOOKUP(A56,[7]越南VN30指数历史数据!$A:$B,2,)</f>
        <v>504.18</v>
      </c>
      <c r="AF56">
        <v>28415.54</v>
      </c>
      <c r="AG56" s="9">
        <v>10582.45</v>
      </c>
      <c r="AH56">
        <v>13027.52</v>
      </c>
      <c r="AI56">
        <v>1145.29</v>
      </c>
      <c r="AJ56">
        <v>1165.29</v>
      </c>
    </row>
    <row r="57" spans="1:36" x14ac:dyDescent="0.3">
      <c r="A57" s="2">
        <v>40552</v>
      </c>
      <c r="B57" s="3">
        <v>3539.06</v>
      </c>
      <c r="C57" s="4">
        <v>70940</v>
      </c>
      <c r="D57" s="3">
        <v>4801.5</v>
      </c>
      <c r="E57" s="3">
        <v>11787.38</v>
      </c>
      <c r="F57" s="3">
        <v>13464.06</v>
      </c>
      <c r="G57" s="1">
        <v>807.57</v>
      </c>
      <c r="H57" s="3">
        <v>1293.24</v>
      </c>
      <c r="I57" s="3">
        <v>2755.3</v>
      </c>
      <c r="J57" s="3">
        <v>37994.720000000001</v>
      </c>
      <c r="K57" s="1">
        <v>23179.07</v>
      </c>
      <c r="L57" s="3">
        <v>2704.88</v>
      </c>
      <c r="M57" s="3">
        <v>7075.7</v>
      </c>
      <c r="N57" s="6">
        <f>VLOOKUP(A57,'[1]俄罗斯交易系统市值加权指数历史数据 (1)'!$A:$B,2,)</f>
        <v>1870.09</v>
      </c>
      <c r="O57" s="3">
        <v>3983.28</v>
      </c>
      <c r="P57" s="1">
        <v>361.32</v>
      </c>
      <c r="Q57" s="3">
        <v>6556.09</v>
      </c>
      <c r="R57" s="1">
        <v>678.8</v>
      </c>
      <c r="S57" s="3">
        <v>10385.1</v>
      </c>
      <c r="T57" s="3">
        <v>6002.07</v>
      </c>
      <c r="U57" s="3">
        <v>2920.4</v>
      </c>
      <c r="V57" s="6">
        <f>VLOOKUP(A57,[2]韩国KOSPI指数历史数据!$A:$B,2,)</f>
        <v>2108.17</v>
      </c>
      <c r="W57" s="6">
        <f>VLOOKUP(A57,[3]日经225指数历史数据!$A:$B,2,)</f>
        <v>10499.04</v>
      </c>
      <c r="X57" s="3">
        <v>1335.82</v>
      </c>
      <c r="Y57" s="6">
        <f>VLOOKUP(A57,[4]上证指数历史数据!$A:$B,2,)</f>
        <v>2791.34</v>
      </c>
      <c r="Z57" s="6">
        <f>VLOOKUP(A57,[5]深证成份指数历史数据!$A:$B,2,)</f>
        <v>12294.17</v>
      </c>
      <c r="AA57" s="6">
        <f>VLOOKUP(A57,[6]台湾加权指数历史数据!$A:$B,2,)</f>
        <v>8972.51</v>
      </c>
      <c r="AB57" s="3">
        <v>24283.23</v>
      </c>
      <c r="AC57" s="3">
        <v>3245.96</v>
      </c>
      <c r="AD57">
        <v>5654.55</v>
      </c>
      <c r="AE57" s="5">
        <f>VLOOKUP(A57,[7]越南VN30指数历史数据!$A:$B,2,)</f>
        <v>509.86</v>
      </c>
      <c r="AF57">
        <v>29226.959999999999</v>
      </c>
      <c r="AG57" s="9">
        <v>10540.7</v>
      </c>
      <c r="AH57">
        <v>13292.27</v>
      </c>
      <c r="AI57">
        <v>1203.69</v>
      </c>
      <c r="AJ57">
        <v>1167.17</v>
      </c>
    </row>
    <row r="58" spans="1:36" x14ac:dyDescent="0.3">
      <c r="A58" s="2">
        <v>40559</v>
      </c>
      <c r="B58" s="3">
        <v>3648.26</v>
      </c>
      <c r="C58" s="4">
        <v>69133</v>
      </c>
      <c r="D58" s="3">
        <v>4755.7</v>
      </c>
      <c r="E58" s="3">
        <v>11871.84</v>
      </c>
      <c r="F58" s="3">
        <v>13258.57</v>
      </c>
      <c r="G58" s="1">
        <v>773.18</v>
      </c>
      <c r="H58" s="3">
        <v>1283.3499999999999</v>
      </c>
      <c r="I58" s="3">
        <v>2689.54</v>
      </c>
      <c r="J58" s="3">
        <v>37321.11</v>
      </c>
      <c r="K58" s="1">
        <v>23042.48</v>
      </c>
      <c r="L58" s="3">
        <v>2733.31</v>
      </c>
      <c r="M58" s="3">
        <v>7062.42</v>
      </c>
      <c r="N58" s="6">
        <f>VLOOKUP(A58,'[1]俄罗斯交易系统市值加权指数历史数据 (1)'!$A:$B,2,)</f>
        <v>1884.76</v>
      </c>
      <c r="O58" s="3">
        <v>4017.45</v>
      </c>
      <c r="P58" s="1">
        <v>361.05</v>
      </c>
      <c r="Q58" s="3">
        <v>6567.31</v>
      </c>
      <c r="R58" s="1">
        <v>659.27</v>
      </c>
      <c r="S58" s="3">
        <v>10829.1</v>
      </c>
      <c r="T58" s="3">
        <v>5896.25</v>
      </c>
      <c r="U58" s="3">
        <v>2970.56</v>
      </c>
      <c r="V58" s="6">
        <f>VLOOKUP(A58,[2]韩国KOSPI指数历史数据!$A:$B,2,)</f>
        <v>2069.92</v>
      </c>
      <c r="W58" s="6">
        <f>VLOOKUP(A58,[3]日经225指数历史数据!$A:$B,2,)</f>
        <v>10274.52</v>
      </c>
      <c r="X58" s="3">
        <v>1337.56</v>
      </c>
      <c r="Y58" s="6">
        <f>VLOOKUP(A58,[4]上证指数历史数据!$A:$B,2,)</f>
        <v>2715.29</v>
      </c>
      <c r="Z58" s="6">
        <f>VLOOKUP(A58,[5]深证成份指数历史数据!$A:$B,2,)</f>
        <v>11639.96</v>
      </c>
      <c r="AA58" s="6">
        <f>VLOOKUP(A58,[6]台湾加权指数历史数据!$A:$B,2,)</f>
        <v>8954.3799999999992</v>
      </c>
      <c r="AB58" s="3">
        <v>23876.86</v>
      </c>
      <c r="AC58" s="3">
        <v>3184.6</v>
      </c>
      <c r="AD58">
        <v>5696.5</v>
      </c>
      <c r="AE58" s="5">
        <f>VLOOKUP(A58,[7]越南VN30指数历史数据!$A:$B,2,)</f>
        <v>528.36</v>
      </c>
      <c r="AF58">
        <v>28808.74</v>
      </c>
      <c r="AG58" s="9">
        <v>9869.15</v>
      </c>
      <c r="AH58">
        <v>13151.07</v>
      </c>
      <c r="AI58">
        <v>1216.21</v>
      </c>
      <c r="AJ58">
        <v>1173.67</v>
      </c>
    </row>
    <row r="59" spans="1:36" x14ac:dyDescent="0.3">
      <c r="A59" s="2">
        <v>40566</v>
      </c>
      <c r="B59" s="3">
        <v>3583.11</v>
      </c>
      <c r="C59" s="4">
        <v>66698</v>
      </c>
      <c r="D59" s="3">
        <v>4774.8999999999996</v>
      </c>
      <c r="E59" s="3">
        <v>11823.7</v>
      </c>
      <c r="F59" s="3">
        <v>13437.58</v>
      </c>
      <c r="G59" s="1">
        <v>775.4</v>
      </c>
      <c r="H59" s="3">
        <v>1276.3399999999999</v>
      </c>
      <c r="I59" s="3">
        <v>2686.89</v>
      </c>
      <c r="J59" s="3">
        <v>36839.72</v>
      </c>
      <c r="K59" s="1">
        <v>22240.73</v>
      </c>
      <c r="L59" s="3">
        <v>2704.92</v>
      </c>
      <c r="M59" s="3">
        <v>7102.8</v>
      </c>
      <c r="N59" s="6">
        <f>VLOOKUP(A59,'[1]俄罗斯交易系统市值加权指数历史数据 (1)'!$A:$B,2,)</f>
        <v>1885.53</v>
      </c>
      <c r="O59" s="3">
        <v>4002.32</v>
      </c>
      <c r="P59" s="1">
        <v>361.16</v>
      </c>
      <c r="Q59" s="3">
        <v>6528.13</v>
      </c>
      <c r="R59" s="1">
        <v>632.11</v>
      </c>
      <c r="S59" s="3">
        <v>10747</v>
      </c>
      <c r="T59" s="3">
        <v>5881.37</v>
      </c>
      <c r="U59" s="3">
        <v>2954.13</v>
      </c>
      <c r="V59" s="6">
        <f>VLOOKUP(A59,[2]韩国KOSPI指数历史数据!$A:$B,2,)</f>
        <v>2107.87</v>
      </c>
      <c r="W59" s="6">
        <f>VLOOKUP(A59,[3]日经225指数历史数据!$A:$B,2,)</f>
        <v>10360.34</v>
      </c>
      <c r="X59" s="3">
        <v>1332.49</v>
      </c>
      <c r="Y59" s="6">
        <f>VLOOKUP(A59,[4]上证指数历史数据!$A:$B,2,)</f>
        <v>2752.75</v>
      </c>
      <c r="Z59" s="6">
        <f>VLOOKUP(A59,[5]深证成份指数历史数据!$A:$B,2,)</f>
        <v>11894.23</v>
      </c>
      <c r="AA59" s="6">
        <f>VLOOKUP(A59,[6]台湾加权指数历史数据!$A:$B,2,)</f>
        <v>9145.35</v>
      </c>
      <c r="AB59" s="3">
        <v>23617.02</v>
      </c>
      <c r="AC59" s="3">
        <v>3229.69</v>
      </c>
      <c r="AD59">
        <v>5512.15</v>
      </c>
      <c r="AE59" s="5">
        <f>VLOOKUP(A59,[7]越南VN30指数历史数据!$A:$B,2,)</f>
        <v>531.47</v>
      </c>
      <c r="AF59">
        <v>28232.1</v>
      </c>
      <c r="AG59" s="9">
        <v>8282.8700000000008</v>
      </c>
      <c r="AH59">
        <v>12860.16</v>
      </c>
      <c r="AI59">
        <v>1200.75</v>
      </c>
      <c r="AJ59">
        <v>1173.67</v>
      </c>
    </row>
    <row r="60" spans="1:36" x14ac:dyDescent="0.3">
      <c r="A60" s="2">
        <v>40573</v>
      </c>
      <c r="B60" s="3">
        <v>3631.22</v>
      </c>
      <c r="C60" s="4">
        <v>65269</v>
      </c>
      <c r="D60" s="3">
        <v>4862.7</v>
      </c>
      <c r="E60" s="3">
        <v>12092.15</v>
      </c>
      <c r="F60" s="3">
        <v>13791.85</v>
      </c>
      <c r="G60" s="1">
        <v>800.11</v>
      </c>
      <c r="H60" s="3">
        <v>1310.87</v>
      </c>
      <c r="I60" s="3">
        <v>2769.3</v>
      </c>
      <c r="J60" s="3">
        <v>37451.839999999997</v>
      </c>
      <c r="K60" s="1">
        <v>21987.4</v>
      </c>
      <c r="L60" s="3">
        <v>2742.34</v>
      </c>
      <c r="M60" s="3">
        <v>7216.21</v>
      </c>
      <c r="N60" s="6">
        <f>VLOOKUP(A60,'[1]俄罗斯交易系统市值加权指数历史数据 (1)'!$A:$B,2,)</f>
        <v>1928.58</v>
      </c>
      <c r="O60" s="3">
        <v>4047.21</v>
      </c>
      <c r="P60" s="1">
        <v>365.51</v>
      </c>
      <c r="Q60" s="3">
        <v>6584.4</v>
      </c>
      <c r="R60" s="1">
        <v>653.09</v>
      </c>
      <c r="S60" s="3">
        <v>10854.7</v>
      </c>
      <c r="T60" s="3">
        <v>5997.38</v>
      </c>
      <c r="U60" s="3">
        <v>3003.19</v>
      </c>
      <c r="V60" s="6">
        <f>VLOOKUP(A60,[2]韩国KOSPI指数历史数据!$A:$B,2,)</f>
        <v>2072.0300000000002</v>
      </c>
      <c r="W60" s="6">
        <f>VLOOKUP(A60,[3]日经225指数历史数据!$A:$B,2,)</f>
        <v>10543.52</v>
      </c>
      <c r="X60" s="3">
        <v>1299.1199999999999</v>
      </c>
      <c r="Y60" s="6">
        <f>VLOOKUP(A60,[4]上证指数历史数据!$A:$B,2,)</f>
        <v>2798.96</v>
      </c>
      <c r="Z60" s="6">
        <f>VLOOKUP(A60,[5]深证成份指数历史数据!$A:$B,2,)</f>
        <v>11991.51</v>
      </c>
      <c r="AA60" s="6" t="e">
        <f>VLOOKUP(A60,[6]台湾加权指数历史数据!$A:$B,2,)</f>
        <v>#N/A</v>
      </c>
      <c r="AB60" s="3">
        <v>23908.959999999999</v>
      </c>
      <c r="AC60" s="3">
        <v>3211.12</v>
      </c>
      <c r="AD60">
        <v>5395.75</v>
      </c>
      <c r="AE60" s="5" t="e">
        <f>VLOOKUP(A60,[7]越南VN30指数历史数据!$A:$B,2,)</f>
        <v>#N/A</v>
      </c>
      <c r="AF60">
        <v>29718.959999999999</v>
      </c>
      <c r="AG60" s="9" t="e">
        <v>#N/A</v>
      </c>
      <c r="AH60">
        <v>12560.01</v>
      </c>
      <c r="AI60">
        <v>1171.74</v>
      </c>
      <c r="AJ60">
        <v>1173.75</v>
      </c>
    </row>
    <row r="61" spans="1:36" x14ac:dyDescent="0.3">
      <c r="A61" s="2">
        <v>40580</v>
      </c>
      <c r="B61" s="3">
        <v>3460.04</v>
      </c>
      <c r="C61" s="4">
        <v>65756</v>
      </c>
      <c r="D61" s="3">
        <v>4880.8999999999996</v>
      </c>
      <c r="E61" s="3">
        <v>12273.26</v>
      </c>
      <c r="F61" s="3">
        <v>13766.76</v>
      </c>
      <c r="G61" s="1">
        <v>822.11</v>
      </c>
      <c r="H61" s="3">
        <v>1329.15</v>
      </c>
      <c r="I61" s="3">
        <v>2809.44</v>
      </c>
      <c r="J61" s="3">
        <v>37011.49</v>
      </c>
      <c r="K61" s="1">
        <v>21797.99</v>
      </c>
      <c r="L61" s="3">
        <v>2727.06</v>
      </c>
      <c r="M61" s="3">
        <v>7371.2</v>
      </c>
      <c r="N61" s="6">
        <f>VLOOKUP(A61,'[1]俄罗斯交易系统市值加权指数历史数据 (1)'!$A:$B,2,)</f>
        <v>1881.9</v>
      </c>
      <c r="O61" s="3">
        <v>4101.3100000000004</v>
      </c>
      <c r="P61" s="1">
        <v>369.65</v>
      </c>
      <c r="Q61" s="3">
        <v>6665.22</v>
      </c>
      <c r="R61" s="1">
        <v>647.29999999999995</v>
      </c>
      <c r="S61" s="3">
        <v>10803.6</v>
      </c>
      <c r="T61" s="3">
        <v>6062.9</v>
      </c>
      <c r="U61" s="3">
        <v>3024.37</v>
      </c>
      <c r="V61" s="6">
        <f>VLOOKUP(A61,[2]韩国KOSPI指数历史数据!$A:$B,2,)</f>
        <v>1977.19</v>
      </c>
      <c r="W61" s="6">
        <f>VLOOKUP(A61,[3]日经225指数历史数据!$A:$B,2,)</f>
        <v>10605.65</v>
      </c>
      <c r="X61" s="3">
        <v>1302.3800000000001</v>
      </c>
      <c r="Y61" s="6">
        <f>VLOOKUP(A61,[4]上证指数历史数据!$A:$B,2,)</f>
        <v>2827.33</v>
      </c>
      <c r="Z61" s="6">
        <f>VLOOKUP(A61,[5]深证成份指数历史数据!$A:$B,2,)</f>
        <v>12292.49</v>
      </c>
      <c r="AA61" s="6">
        <f>VLOOKUP(A61,[6]台湾加权指数历史数据!$A:$B,2,)</f>
        <v>8609.86</v>
      </c>
      <c r="AB61" s="3">
        <v>22828.92</v>
      </c>
      <c r="AC61" s="3">
        <v>3077.27</v>
      </c>
      <c r="AD61">
        <v>5310</v>
      </c>
      <c r="AE61" s="5">
        <f>VLOOKUP(A61,[7]越南VN30指数历史数据!$A:$B,2,)</f>
        <v>540.13</v>
      </c>
      <c r="AF61">
        <v>29813.43</v>
      </c>
      <c r="AG61" s="9" t="e">
        <v>#N/A</v>
      </c>
      <c r="AH61">
        <v>12775.71</v>
      </c>
      <c r="AI61">
        <v>1162.82</v>
      </c>
      <c r="AJ61">
        <v>1175.08</v>
      </c>
    </row>
    <row r="62" spans="1:36" x14ac:dyDescent="0.3">
      <c r="A62" s="2">
        <v>40587</v>
      </c>
      <c r="B62" s="3">
        <v>3537.06</v>
      </c>
      <c r="C62" s="4">
        <v>68067</v>
      </c>
      <c r="D62" s="3">
        <v>4936.7</v>
      </c>
      <c r="E62" s="3">
        <v>12391.25</v>
      </c>
      <c r="F62" s="3">
        <v>14123.11</v>
      </c>
      <c r="G62" s="1">
        <v>834.82</v>
      </c>
      <c r="H62" s="3">
        <v>1340.43</v>
      </c>
      <c r="I62" s="3">
        <v>2833.95</v>
      </c>
      <c r="J62" s="3">
        <v>37522.300000000003</v>
      </c>
      <c r="K62" s="1">
        <v>21310.33</v>
      </c>
      <c r="L62" s="3">
        <v>2663.53</v>
      </c>
      <c r="M62" s="3">
        <v>7426.81</v>
      </c>
      <c r="N62" s="6">
        <f>VLOOKUP(A62,'[1]俄罗斯交易系统市值加权指数历史数据 (1)'!$A:$B,2,)</f>
        <v>1868.4</v>
      </c>
      <c r="O62" s="3">
        <v>4157.1400000000003</v>
      </c>
      <c r="P62" s="1">
        <v>374.19</v>
      </c>
      <c r="Q62" s="3">
        <v>6717.25</v>
      </c>
      <c r="R62" s="1">
        <v>659.86</v>
      </c>
      <c r="S62" s="3">
        <v>11068.1</v>
      </c>
      <c r="T62" s="3">
        <v>6082.99</v>
      </c>
      <c r="U62" s="3">
        <v>3068</v>
      </c>
      <c r="V62" s="6">
        <f>VLOOKUP(A62,[2]韩国KOSPI指数历史数据!$A:$B,2,)</f>
        <v>2013.14</v>
      </c>
      <c r="W62" s="6">
        <f>VLOOKUP(A62,[3]日经225指数历史数据!$A:$B,2,)</f>
        <v>10842.8</v>
      </c>
      <c r="X62" s="3">
        <v>1334.73</v>
      </c>
      <c r="Y62" s="6">
        <f>VLOOKUP(A62,[4]上证指数历史数据!$A:$B,2,)</f>
        <v>2899.79</v>
      </c>
      <c r="Z62" s="6">
        <f>VLOOKUP(A62,[5]深证成份指数历史数据!$A:$B,2,)</f>
        <v>12613.11</v>
      </c>
      <c r="AA62" s="6">
        <f>VLOOKUP(A62,[6]台湾加权指数历史数据!$A:$B,2,)</f>
        <v>8843.84</v>
      </c>
      <c r="AB62" s="3">
        <v>23595.24</v>
      </c>
      <c r="AC62" s="3">
        <v>3086.92</v>
      </c>
      <c r="AD62">
        <v>5458.95</v>
      </c>
      <c r="AE62" s="5">
        <f>VLOOKUP(A62,[7]越南VN30指数历史数据!$A:$B,2,)</f>
        <v>518.86</v>
      </c>
      <c r="AF62">
        <v>29292.85</v>
      </c>
      <c r="AG62" s="9" t="e">
        <v>#N/A</v>
      </c>
      <c r="AH62">
        <v>12629.05</v>
      </c>
      <c r="AI62">
        <v>1166.95</v>
      </c>
      <c r="AJ62">
        <v>1176.3800000000001</v>
      </c>
    </row>
    <row r="63" spans="1:36" x14ac:dyDescent="0.3">
      <c r="A63" s="2">
        <v>40594</v>
      </c>
      <c r="B63" s="3">
        <v>3435.44</v>
      </c>
      <c r="C63" s="4">
        <v>66903</v>
      </c>
      <c r="D63" s="3">
        <v>4836.5</v>
      </c>
      <c r="E63" s="3">
        <v>12130.45</v>
      </c>
      <c r="F63" s="3">
        <v>14052.13</v>
      </c>
      <c r="G63" s="1">
        <v>821.95</v>
      </c>
      <c r="H63" s="3">
        <v>1319.88</v>
      </c>
      <c r="I63" s="3">
        <v>2781.05</v>
      </c>
      <c r="J63" s="3">
        <v>36880.199999999997</v>
      </c>
      <c r="K63" s="1">
        <v>20934.95</v>
      </c>
      <c r="L63" s="3">
        <v>2673.52</v>
      </c>
      <c r="M63" s="3">
        <v>7185.17</v>
      </c>
      <c r="N63" s="6">
        <f>VLOOKUP(A63,'[1]俄罗斯交易系统市值加权指数历史数据 (1)'!$A:$B,2,)</f>
        <v>1932.82</v>
      </c>
      <c r="O63" s="3">
        <v>4070.38</v>
      </c>
      <c r="P63" s="1">
        <v>366.77</v>
      </c>
      <c r="Q63" s="3">
        <v>6537.2</v>
      </c>
      <c r="R63" s="1">
        <v>613.66999999999996</v>
      </c>
      <c r="S63" s="3">
        <v>10822.7</v>
      </c>
      <c r="T63" s="3">
        <v>6001.2</v>
      </c>
      <c r="U63" s="3">
        <v>2985.02</v>
      </c>
      <c r="V63" s="6">
        <f>VLOOKUP(A63,[2]韩国KOSPI指数历史数据!$A:$B,2,)</f>
        <v>1963.43</v>
      </c>
      <c r="W63" s="6">
        <f>VLOOKUP(A63,[3]日经225指数历史数据!$A:$B,2,)</f>
        <v>10526.76</v>
      </c>
      <c r="X63" s="3">
        <v>1272.6199999999999</v>
      </c>
      <c r="Y63" s="6">
        <f>VLOOKUP(A63,[4]上证指数历史数据!$A:$B,2,)</f>
        <v>2878.57</v>
      </c>
      <c r="Z63" s="6">
        <f>VLOOKUP(A63,[5]深证成份指数历史数据!$A:$B,2,)</f>
        <v>12633.88</v>
      </c>
      <c r="AA63" s="6">
        <f>VLOOKUP(A63,[6]台湾加权指数历史数据!$A:$B,2,)</f>
        <v>8599.65</v>
      </c>
      <c r="AB63" s="3">
        <v>23012.37</v>
      </c>
      <c r="AC63" s="3">
        <v>3025.16</v>
      </c>
      <c r="AD63">
        <v>5303.55</v>
      </c>
      <c r="AE63" s="5">
        <f>VLOOKUP(A63,[7]越南VN30指数历史数据!$A:$B,2,)</f>
        <v>490.71</v>
      </c>
      <c r="AF63">
        <v>28803.79</v>
      </c>
      <c r="AG63" s="9" t="e">
        <v>#N/A</v>
      </c>
      <c r="AH63">
        <v>12709.84</v>
      </c>
      <c r="AI63">
        <v>1147.1400000000001</v>
      </c>
      <c r="AJ63">
        <v>1178.7</v>
      </c>
    </row>
    <row r="64" spans="1:36" x14ac:dyDescent="0.3">
      <c r="A64" s="2">
        <v>40601</v>
      </c>
      <c r="B64" s="3">
        <v>3467.72</v>
      </c>
      <c r="C64" s="4">
        <v>68012</v>
      </c>
      <c r="D64" s="3">
        <v>4864.3</v>
      </c>
      <c r="E64" s="3">
        <v>12169.88</v>
      </c>
      <c r="F64" s="3">
        <v>14252.77</v>
      </c>
      <c r="G64" s="1">
        <v>824.99</v>
      </c>
      <c r="H64" s="3">
        <v>1321.15</v>
      </c>
      <c r="I64" s="3">
        <v>2784.67</v>
      </c>
      <c r="J64" s="3">
        <v>36900.839999999997</v>
      </c>
      <c r="K64" s="1">
        <v>21562.01</v>
      </c>
      <c r="L64" s="3">
        <v>2783.11</v>
      </c>
      <c r="M64" s="3">
        <v>7178.9</v>
      </c>
      <c r="N64" s="6">
        <f>VLOOKUP(A64,'[1]俄罗斯交易系统市值加权指数历史数据 (1)'!$A:$B,2,)</f>
        <v>2012.68</v>
      </c>
      <c r="O64" s="3">
        <v>4020.21</v>
      </c>
      <c r="P64" s="1">
        <v>367.95</v>
      </c>
      <c r="Q64" s="3">
        <v>6530.54</v>
      </c>
      <c r="R64" s="1">
        <v>611.13</v>
      </c>
      <c r="S64" s="3">
        <v>10498.7</v>
      </c>
      <c r="T64" s="3">
        <v>5990.39</v>
      </c>
      <c r="U64" s="3">
        <v>2949.18</v>
      </c>
      <c r="V64" s="6">
        <f>VLOOKUP(A64,[2]韩国KOSPI指数历史数据!$A:$B,2,)</f>
        <v>2004.68</v>
      </c>
      <c r="W64" s="6">
        <f>VLOOKUP(A64,[3]日经225指数历史数据!$A:$B,2,)</f>
        <v>10693.66</v>
      </c>
      <c r="X64" s="3">
        <v>1272.55</v>
      </c>
      <c r="Y64" s="6">
        <f>VLOOKUP(A64,[4]上证指数历史数据!$A:$B,2,)</f>
        <v>2942.31</v>
      </c>
      <c r="Z64" s="6">
        <f>VLOOKUP(A64,[5]深证成份指数历史数据!$A:$B,2,)</f>
        <v>12893.84</v>
      </c>
      <c r="AA64" s="6">
        <f>VLOOKUP(A64,[6]台湾加权指数历史数据!$A:$B,2,)</f>
        <v>8784.4</v>
      </c>
      <c r="AB64" s="3">
        <v>23408.86</v>
      </c>
      <c r="AC64" s="3">
        <v>3061.31</v>
      </c>
      <c r="AD64">
        <v>5538.75</v>
      </c>
      <c r="AE64" s="5">
        <f>VLOOKUP(A64,[7]越南VN30指数历史数据!$A:$B,2,)</f>
        <v>477.72</v>
      </c>
      <c r="AF64">
        <v>29178.12</v>
      </c>
      <c r="AG64" s="9" t="e">
        <v>#N/A</v>
      </c>
      <c r="AH64">
        <v>12728.73</v>
      </c>
      <c r="AI64">
        <v>1104.67</v>
      </c>
      <c r="AJ64">
        <v>1184.6099999999999</v>
      </c>
    </row>
    <row r="65" spans="1:36" x14ac:dyDescent="0.3">
      <c r="A65" s="2">
        <v>40608</v>
      </c>
      <c r="B65" s="3">
        <v>3403.51</v>
      </c>
      <c r="C65" s="4">
        <v>66685</v>
      </c>
      <c r="D65" s="3">
        <v>4644.8</v>
      </c>
      <c r="E65" s="3">
        <v>12044.4</v>
      </c>
      <c r="F65" s="3">
        <v>13674.25</v>
      </c>
      <c r="G65" s="1">
        <v>802.83</v>
      </c>
      <c r="H65" s="3">
        <v>1304.28</v>
      </c>
      <c r="I65" s="3">
        <v>2715.61</v>
      </c>
      <c r="J65" s="3">
        <v>36091.22</v>
      </c>
      <c r="K65" s="1">
        <v>20725.29</v>
      </c>
      <c r="L65" s="3">
        <v>2749.3</v>
      </c>
      <c r="M65" s="3">
        <v>6981.49</v>
      </c>
      <c r="N65" s="6">
        <f>VLOOKUP(A65,'[1]俄罗斯交易系统市值加权指数历史数据 (1)'!$A:$B,2,)</f>
        <v>1929.59</v>
      </c>
      <c r="O65" s="3">
        <v>3928.68</v>
      </c>
      <c r="P65" s="1">
        <v>359.07</v>
      </c>
      <c r="Q65" s="3">
        <v>6353.76</v>
      </c>
      <c r="R65" s="1">
        <v>637.82000000000005</v>
      </c>
      <c r="S65" s="3">
        <v>10398.4</v>
      </c>
      <c r="T65" s="3">
        <v>5828.67</v>
      </c>
      <c r="U65" s="3">
        <v>2883.84</v>
      </c>
      <c r="V65" s="6">
        <f>VLOOKUP(A65,[2]韩国KOSPI指数历史数据!$A:$B,2,)</f>
        <v>1955.54</v>
      </c>
      <c r="W65" s="6">
        <f>VLOOKUP(A65,[3]日经225指数历史数据!$A:$B,2,)</f>
        <v>10254.43</v>
      </c>
      <c r="X65" s="3">
        <v>1262.47</v>
      </c>
      <c r="Y65" s="6">
        <f>VLOOKUP(A65,[4]上证指数历史数据!$A:$B,2,)</f>
        <v>2933.8</v>
      </c>
      <c r="Z65" s="6">
        <f>VLOOKUP(A65,[5]深证成份指数历史数据!$A:$B,2,)</f>
        <v>12848.02</v>
      </c>
      <c r="AA65" s="6">
        <f>VLOOKUP(A65,[6]台湾加权指数历史数据!$A:$B,2,)</f>
        <v>8567.82</v>
      </c>
      <c r="AB65" s="3">
        <v>23249.78</v>
      </c>
      <c r="AC65" s="3">
        <v>3043.49</v>
      </c>
      <c r="AD65">
        <v>5445.45</v>
      </c>
      <c r="AE65" s="5">
        <f>VLOOKUP(A65,[7]越南VN30指数历史数据!$A:$B,2,)</f>
        <v>510.74</v>
      </c>
      <c r="AF65">
        <v>28070.66</v>
      </c>
      <c r="AG65" s="9" t="e">
        <v>#N/A</v>
      </c>
      <c r="AH65">
        <v>12770.18</v>
      </c>
      <c r="AI65">
        <v>1115.95</v>
      </c>
      <c r="AJ65">
        <v>1172.67</v>
      </c>
    </row>
    <row r="66" spans="1:36" x14ac:dyDescent="0.3">
      <c r="A66" s="2">
        <v>40615</v>
      </c>
      <c r="B66" s="3">
        <v>3277.87</v>
      </c>
      <c r="C66" s="4">
        <v>66880</v>
      </c>
      <c r="D66" s="3">
        <v>4626.3999999999996</v>
      </c>
      <c r="E66" s="3">
        <v>11858.52</v>
      </c>
      <c r="F66" s="3">
        <v>13789.63</v>
      </c>
      <c r="G66" s="1">
        <v>794.66</v>
      </c>
      <c r="H66" s="3">
        <v>1279.2</v>
      </c>
      <c r="I66" s="3">
        <v>2643.67</v>
      </c>
      <c r="J66" s="3">
        <v>35418.5</v>
      </c>
      <c r="K66" s="1">
        <v>20653.89</v>
      </c>
      <c r="L66" s="3">
        <v>2779.69</v>
      </c>
      <c r="M66" s="3">
        <v>6664.4</v>
      </c>
      <c r="N66" s="6">
        <f>VLOOKUP(A66,'[1]俄罗斯交易系统市值加权指数历史数据 (1)'!$A:$B,2,)</f>
        <v>1962.92</v>
      </c>
      <c r="O66" s="3">
        <v>3810.22</v>
      </c>
      <c r="P66" s="1">
        <v>350.41</v>
      </c>
      <c r="Q66" s="3">
        <v>6098.05</v>
      </c>
      <c r="R66" s="1">
        <v>638.39</v>
      </c>
      <c r="S66" s="3">
        <v>10328.4</v>
      </c>
      <c r="T66" s="3">
        <v>5718.13</v>
      </c>
      <c r="U66" s="3">
        <v>2792.61</v>
      </c>
      <c r="V66" s="6">
        <f>VLOOKUP(A66,[2]韩国KOSPI指数历史数据!$A:$B,2,)</f>
        <v>1981.13</v>
      </c>
      <c r="W66" s="6">
        <f>VLOOKUP(A66,[3]日经225指数历史数据!$A:$B,2,)</f>
        <v>9206.75</v>
      </c>
      <c r="X66" s="3">
        <v>1267.54</v>
      </c>
      <c r="Y66" s="6">
        <f>VLOOKUP(A66,[4]上证指数历史数据!$A:$B,2,)</f>
        <v>2906.89</v>
      </c>
      <c r="Z66" s="6">
        <f>VLOOKUP(A66,[5]深证成份指数历史数据!$A:$B,2,)</f>
        <v>12721.99</v>
      </c>
      <c r="AA66" s="6">
        <f>VLOOKUP(A66,[6]台湾加权指数历史数据!$A:$B,2,)</f>
        <v>8394.75</v>
      </c>
      <c r="AB66" s="3">
        <v>22300.23</v>
      </c>
      <c r="AC66" s="3">
        <v>2935.78</v>
      </c>
      <c r="AD66">
        <v>5373.7</v>
      </c>
      <c r="AE66" s="5">
        <f>VLOOKUP(A66,[7]越南VN30指数历史数据!$A:$B,2,)</f>
        <v>491.61</v>
      </c>
      <c r="AF66">
        <v>27612.91</v>
      </c>
      <c r="AG66" s="9" t="e">
        <v>#N/A</v>
      </c>
      <c r="AH66">
        <v>12661.6</v>
      </c>
      <c r="AI66">
        <v>1047.5899999999999</v>
      </c>
      <c r="AJ66">
        <v>1187.94</v>
      </c>
    </row>
    <row r="67" spans="1:36" x14ac:dyDescent="0.3">
      <c r="A67" s="2">
        <v>40622</v>
      </c>
      <c r="B67" s="3">
        <v>3348.83</v>
      </c>
      <c r="C67" s="4">
        <v>67766</v>
      </c>
      <c r="D67" s="3">
        <v>4742.6000000000004</v>
      </c>
      <c r="E67" s="3">
        <v>12220.59</v>
      </c>
      <c r="F67" s="3">
        <v>14039.39</v>
      </c>
      <c r="G67" s="1">
        <v>823.85</v>
      </c>
      <c r="H67" s="3">
        <v>1313.8</v>
      </c>
      <c r="I67" s="3">
        <v>2743.06</v>
      </c>
      <c r="J67" s="3">
        <v>36784.269999999997</v>
      </c>
      <c r="K67" s="1">
        <v>21722.1</v>
      </c>
      <c r="L67" s="3">
        <v>2813.89</v>
      </c>
      <c r="M67" s="3">
        <v>6946.36</v>
      </c>
      <c r="N67" s="6">
        <f>VLOOKUP(A67,'[1]俄罗斯交易系统市值加权指数历史数据 (1)'!$A:$B,2,)</f>
        <v>2041.49</v>
      </c>
      <c r="O67" s="3">
        <v>3972.38</v>
      </c>
      <c r="P67" s="1">
        <v>364.65</v>
      </c>
      <c r="Q67" s="3">
        <v>6352.28</v>
      </c>
      <c r="R67" s="1">
        <v>642.47</v>
      </c>
      <c r="S67" s="3">
        <v>10710.4</v>
      </c>
      <c r="T67" s="3">
        <v>5900.76</v>
      </c>
      <c r="U67" s="3">
        <v>2911.33</v>
      </c>
      <c r="V67" s="6">
        <f>VLOOKUP(A67,[2]韩国KOSPI指数历史数据!$A:$B,2,)</f>
        <v>2054.04</v>
      </c>
      <c r="W67" s="6">
        <f>VLOOKUP(A67,[3]日经225指数历史数据!$A:$B,2,)</f>
        <v>9536.1299999999992</v>
      </c>
      <c r="X67" s="3">
        <v>1280.44</v>
      </c>
      <c r="Y67" s="6">
        <f>VLOOKUP(A67,[4]上证指数历史数据!$A:$B,2,)</f>
        <v>2977.81</v>
      </c>
      <c r="Z67" s="6">
        <f>VLOOKUP(A67,[5]深证成份指数历史数据!$A:$B,2,)</f>
        <v>12942.07</v>
      </c>
      <c r="AA67" s="6">
        <f>VLOOKUP(A67,[6]台湾加权指数历史数据!$A:$B,2,)</f>
        <v>8610.39</v>
      </c>
      <c r="AB67" s="3">
        <v>23158.67</v>
      </c>
      <c r="AC67" s="3">
        <v>3070.84</v>
      </c>
      <c r="AD67">
        <v>5654.25</v>
      </c>
      <c r="AE67" s="5">
        <f>VLOOKUP(A67,[7]越南VN30指数历史数据!$A:$B,2,)</f>
        <v>488.07</v>
      </c>
      <c r="AF67">
        <v>28492.55</v>
      </c>
      <c r="AG67" s="9">
        <v>7286.3</v>
      </c>
      <c r="AH67">
        <v>12416.27</v>
      </c>
      <c r="AI67">
        <v>1075.56</v>
      </c>
      <c r="AJ67">
        <v>1214.28</v>
      </c>
    </row>
    <row r="68" spans="1:36" x14ac:dyDescent="0.3">
      <c r="A68" s="2">
        <v>40629</v>
      </c>
      <c r="B68" s="3">
        <v>3471.95</v>
      </c>
      <c r="C68" s="4">
        <v>69268</v>
      </c>
      <c r="D68" s="3">
        <v>4861.8</v>
      </c>
      <c r="E68" s="3">
        <v>12376.72</v>
      </c>
      <c r="F68" s="3">
        <v>14130.15</v>
      </c>
      <c r="G68" s="1">
        <v>846.77</v>
      </c>
      <c r="H68" s="3">
        <v>1332.41</v>
      </c>
      <c r="I68" s="3">
        <v>2789.6</v>
      </c>
      <c r="J68" s="3">
        <v>37775.07</v>
      </c>
      <c r="K68" s="1">
        <v>22235.759999999998</v>
      </c>
      <c r="L68" s="3">
        <v>2877.24</v>
      </c>
      <c r="M68" s="3">
        <v>7179.81</v>
      </c>
      <c r="N68" s="6">
        <f>VLOOKUP(A68,'[1]俄罗斯交易系统市值加权指数历史数据 (1)'!$A:$B,2,)</f>
        <v>2076.7800000000002</v>
      </c>
      <c r="O68" s="3">
        <v>4054.76</v>
      </c>
      <c r="P68" s="1">
        <v>369.45</v>
      </c>
      <c r="Q68" s="3">
        <v>6439.91</v>
      </c>
      <c r="R68" s="1">
        <v>657.14</v>
      </c>
      <c r="S68" s="3">
        <v>10729.9</v>
      </c>
      <c r="T68" s="3">
        <v>6009.92</v>
      </c>
      <c r="U68" s="3">
        <v>2962.92</v>
      </c>
      <c r="V68" s="6">
        <f>VLOOKUP(A68,[2]韩国KOSPI指数历史数据!$A:$B,2,)</f>
        <v>2121.0100000000002</v>
      </c>
      <c r="W68" s="6">
        <f>VLOOKUP(A68,[3]日经225指数历史数据!$A:$B,2,)</f>
        <v>9708.39</v>
      </c>
      <c r="X68" s="3">
        <v>1321.18</v>
      </c>
      <c r="Y68" s="6">
        <f>VLOOKUP(A68,[4]上证指数历史数据!$A:$B,2,)</f>
        <v>2967.41</v>
      </c>
      <c r="Z68" s="6">
        <f>VLOOKUP(A68,[5]深证成份指数历史数据!$A:$B,2,)</f>
        <v>12699.42</v>
      </c>
      <c r="AA68" s="6">
        <f>VLOOKUP(A68,[6]台湾加权指数历史数据!$A:$B,2,)</f>
        <v>8705.1299999999992</v>
      </c>
      <c r="AB68" s="3">
        <v>23801.9</v>
      </c>
      <c r="AC68" s="3">
        <v>3120.47</v>
      </c>
      <c r="AD68">
        <v>5826.05</v>
      </c>
      <c r="AE68" s="5">
        <f>VLOOKUP(A68,[7]越南VN30指数历史数据!$A:$B,2,)</f>
        <v>487.57</v>
      </c>
      <c r="AF68">
        <v>29175.56</v>
      </c>
      <c r="AG68" s="9">
        <v>7978.96</v>
      </c>
      <c r="AH68">
        <v>11956.83</v>
      </c>
      <c r="AI68">
        <v>1067.94</v>
      </c>
      <c r="AJ68">
        <v>1216.04</v>
      </c>
    </row>
    <row r="69" spans="1:36" x14ac:dyDescent="0.3">
      <c r="A69" s="2">
        <v>40636</v>
      </c>
      <c r="B69" s="3">
        <v>3480.39</v>
      </c>
      <c r="C69" s="4">
        <v>68718</v>
      </c>
      <c r="D69" s="3">
        <v>4940.6000000000004</v>
      </c>
      <c r="E69" s="3">
        <v>12380.05</v>
      </c>
      <c r="F69" s="3">
        <v>14208.43</v>
      </c>
      <c r="G69" s="1">
        <v>840.89</v>
      </c>
      <c r="H69" s="3">
        <v>1328.17</v>
      </c>
      <c r="I69" s="3">
        <v>2780.41</v>
      </c>
      <c r="J69" s="3">
        <v>37471.72</v>
      </c>
      <c r="K69" s="1">
        <v>22356.26</v>
      </c>
      <c r="L69" s="3">
        <v>2903.53</v>
      </c>
      <c r="M69" s="3">
        <v>7217.02</v>
      </c>
      <c r="N69" s="6">
        <f>VLOOKUP(A69,'[1]俄罗斯交易系统市值加权指数历史数据 (1)'!$A:$B,2,)</f>
        <v>2123.56</v>
      </c>
      <c r="O69" s="3">
        <v>4061.91</v>
      </c>
      <c r="P69" s="1">
        <v>366.94</v>
      </c>
      <c r="Q69" s="3">
        <v>6457.93</v>
      </c>
      <c r="R69" s="1">
        <v>680.93</v>
      </c>
      <c r="S69" s="3">
        <v>10913.2</v>
      </c>
      <c r="T69" s="3">
        <v>6055.75</v>
      </c>
      <c r="U69" s="3">
        <v>2984.66</v>
      </c>
      <c r="V69" s="6">
        <f>VLOOKUP(A69,[2]韩国KOSPI指数历史数据!$A:$B,2,)</f>
        <v>2127.9699999999998</v>
      </c>
      <c r="W69" s="6">
        <f>VLOOKUP(A69,[3]日经225指数历史数据!$A:$B,2,)</f>
        <v>9768.08</v>
      </c>
      <c r="X69" s="3">
        <v>1317.69</v>
      </c>
      <c r="Y69" s="6">
        <f>VLOOKUP(A69,[4]上证指数历史数据!$A:$B,2,)</f>
        <v>3030.02</v>
      </c>
      <c r="Z69" s="6">
        <f>VLOOKUP(A69,[5]深证成份指数历史数据!$A:$B,2,)</f>
        <v>13036.23</v>
      </c>
      <c r="AA69" s="6">
        <f>VLOOKUP(A69,[6]台湾加权指数历史数据!$A:$B,2,)</f>
        <v>8894.5400000000009</v>
      </c>
      <c r="AB69" s="3">
        <v>24396.07</v>
      </c>
      <c r="AC69" s="3">
        <v>3187.31</v>
      </c>
      <c r="AD69">
        <v>5842</v>
      </c>
      <c r="AE69" s="5">
        <f>VLOOKUP(A69,[7]越南VN30指数历史数据!$A:$B,2,)</f>
        <v>498.28</v>
      </c>
      <c r="AF69">
        <v>29561.08</v>
      </c>
      <c r="AG69" s="9">
        <v>7937.74</v>
      </c>
      <c r="AH69">
        <v>12038.88</v>
      </c>
      <c r="AI69">
        <v>1077.1199999999999</v>
      </c>
      <c r="AJ69">
        <v>1192.98</v>
      </c>
    </row>
    <row r="70" spans="1:36" x14ac:dyDescent="0.3">
      <c r="A70" s="2">
        <v>40643</v>
      </c>
      <c r="B70" s="3">
        <v>3381.25</v>
      </c>
      <c r="C70" s="4">
        <v>66684</v>
      </c>
      <c r="D70" s="3">
        <v>4852.1000000000004</v>
      </c>
      <c r="E70" s="3">
        <v>12341.83</v>
      </c>
      <c r="F70" s="3">
        <v>13799.12</v>
      </c>
      <c r="G70" s="1">
        <v>834.98</v>
      </c>
      <c r="H70" s="3">
        <v>1319.68</v>
      </c>
      <c r="I70" s="3">
        <v>2764.65</v>
      </c>
      <c r="J70" s="3">
        <v>36988.379999999997</v>
      </c>
      <c r="K70" s="1">
        <v>22176.38</v>
      </c>
      <c r="L70" s="3">
        <v>2917.21</v>
      </c>
      <c r="M70" s="3">
        <v>7178.29</v>
      </c>
      <c r="N70" s="6">
        <f>VLOOKUP(A70,'[1]俄罗斯交易系统市值加权指数历史数据 (1)'!$A:$B,2,)</f>
        <v>2030.32</v>
      </c>
      <c r="O70" s="3">
        <v>3974.48</v>
      </c>
      <c r="P70" s="1">
        <v>359</v>
      </c>
      <c r="Q70" s="3">
        <v>6400.26</v>
      </c>
      <c r="R70" s="1">
        <v>684.5</v>
      </c>
      <c r="S70" s="3">
        <v>10558.6</v>
      </c>
      <c r="T70" s="3">
        <v>5996.01</v>
      </c>
      <c r="U70" s="3">
        <v>2919.05</v>
      </c>
      <c r="V70" s="6">
        <f>VLOOKUP(A70,[2]韩国KOSPI指数历史数据!$A:$B,2,)</f>
        <v>2140.5</v>
      </c>
      <c r="W70" s="6">
        <f>VLOOKUP(A70,[3]日经225指数历史数据!$A:$B,2,)</f>
        <v>9591.52</v>
      </c>
      <c r="X70" s="3">
        <v>1326.19</v>
      </c>
      <c r="Y70" s="6">
        <f>VLOOKUP(A70,[4]上证指数历史数据!$A:$B,2,)</f>
        <v>3050.53</v>
      </c>
      <c r="Z70" s="6">
        <f>VLOOKUP(A70,[5]深证成份指数历史数据!$A:$B,2,)</f>
        <v>12965.75</v>
      </c>
      <c r="AA70" s="6">
        <f>VLOOKUP(A70,[6]台湾加权指数历史数据!$A:$B,2,)</f>
        <v>8718.1200000000008</v>
      </c>
      <c r="AB70" s="3">
        <v>24008.07</v>
      </c>
      <c r="AC70" s="3">
        <v>3153.3</v>
      </c>
      <c r="AD70">
        <v>5824.55</v>
      </c>
      <c r="AE70" s="5">
        <f>VLOOKUP(A70,[7]越南VN30指数历史数据!$A:$B,2,)</f>
        <v>488.92</v>
      </c>
      <c r="AF70">
        <v>29003.69</v>
      </c>
      <c r="AG70" s="9">
        <v>7762.98</v>
      </c>
      <c r="AH70">
        <v>11937.23</v>
      </c>
      <c r="AI70">
        <v>1101.8599999999999</v>
      </c>
      <c r="AJ70">
        <v>1186.57</v>
      </c>
    </row>
    <row r="71" spans="1:36" x14ac:dyDescent="0.3">
      <c r="A71" s="2">
        <v>40650</v>
      </c>
      <c r="B71" s="3">
        <v>3413.94</v>
      </c>
      <c r="C71" s="4">
        <v>67058</v>
      </c>
      <c r="D71" s="3">
        <v>4913.8</v>
      </c>
      <c r="E71" s="3">
        <v>12505.99</v>
      </c>
      <c r="F71" s="3">
        <v>13972.02</v>
      </c>
      <c r="G71" s="1">
        <v>845.64</v>
      </c>
      <c r="H71" s="3">
        <v>1337.38</v>
      </c>
      <c r="I71" s="3">
        <v>2820.16</v>
      </c>
      <c r="J71" s="3">
        <v>36816.31</v>
      </c>
      <c r="K71" s="1">
        <v>22457.919999999998</v>
      </c>
      <c r="L71" s="3">
        <v>2908.02</v>
      </c>
      <c r="M71" s="3">
        <v>7295.49</v>
      </c>
      <c r="N71" s="6">
        <f>VLOOKUP(A71,'[1]俄罗斯交易系统市值加权指数历史数据 (1)'!$A:$B,2,)</f>
        <v>2049.0300000000002</v>
      </c>
      <c r="O71" s="3">
        <v>4021.88</v>
      </c>
      <c r="P71" s="1">
        <v>359.01</v>
      </c>
      <c r="Q71" s="3">
        <v>6457.16</v>
      </c>
      <c r="R71" s="1">
        <v>686.92</v>
      </c>
      <c r="S71" s="3">
        <v>10584.1</v>
      </c>
      <c r="T71" s="3">
        <v>6018.3</v>
      </c>
      <c r="U71" s="3">
        <v>2936.3</v>
      </c>
      <c r="V71" s="6">
        <f>VLOOKUP(A71,[2]韩国KOSPI指数历史数据!$A:$B,2,)</f>
        <v>2197.8200000000002</v>
      </c>
      <c r="W71" s="6">
        <f>VLOOKUP(A71,[3]日经225指数历史数据!$A:$B,2,)</f>
        <v>9682.2099999999991</v>
      </c>
      <c r="X71" s="3">
        <v>1341.89</v>
      </c>
      <c r="Y71" s="6">
        <f>VLOOKUP(A71,[4]上证指数历史数据!$A:$B,2,)</f>
        <v>3010.52</v>
      </c>
      <c r="Z71" s="6">
        <f>VLOOKUP(A71,[5]深证成份指数历史数据!$A:$B,2,)</f>
        <v>12708.42</v>
      </c>
      <c r="AA71" s="6">
        <f>VLOOKUP(A71,[6]台湾加权指数历史数据!$A:$B,2,)</f>
        <v>8969.43</v>
      </c>
      <c r="AB71" s="3">
        <v>24138.31</v>
      </c>
      <c r="AC71" s="3">
        <v>3194.73</v>
      </c>
      <c r="AD71">
        <v>5884.7</v>
      </c>
      <c r="AE71" s="5">
        <f>VLOOKUP(A71,[7]越南VN30指数历史数据!$A:$B,2,)</f>
        <v>476.75</v>
      </c>
      <c r="AF71">
        <v>29457.17</v>
      </c>
      <c r="AG71" s="9">
        <v>7301.65</v>
      </c>
      <c r="AH71">
        <v>11957.23</v>
      </c>
      <c r="AI71">
        <v>1105.44</v>
      </c>
      <c r="AJ71">
        <v>1185.4100000000001</v>
      </c>
    </row>
    <row r="72" spans="1:36" x14ac:dyDescent="0.3">
      <c r="A72" s="2">
        <v>40657</v>
      </c>
      <c r="B72" s="3">
        <v>3406.02</v>
      </c>
      <c r="C72" s="4">
        <v>66133</v>
      </c>
      <c r="D72" s="3">
        <v>4823.2</v>
      </c>
      <c r="E72" s="3">
        <v>12810.54</v>
      </c>
      <c r="F72" s="3">
        <v>13944.79</v>
      </c>
      <c r="G72" s="1">
        <v>865.29</v>
      </c>
      <c r="H72" s="3">
        <v>1363.61</v>
      </c>
      <c r="I72" s="3">
        <v>2873.54</v>
      </c>
      <c r="J72" s="3">
        <v>36962.620000000003</v>
      </c>
      <c r="K72" s="1">
        <v>22784.53</v>
      </c>
      <c r="L72" s="3">
        <v>2913.13</v>
      </c>
      <c r="M72" s="3">
        <v>7514.46</v>
      </c>
      <c r="N72" s="6">
        <f>VLOOKUP(A72,'[1]俄罗斯交易系统市值加权指数历史数据 (1)'!$A:$B,2,)</f>
        <v>2026.94</v>
      </c>
      <c r="O72" s="3">
        <v>4106.92</v>
      </c>
      <c r="P72" s="1">
        <v>359.94</v>
      </c>
      <c r="Q72" s="3">
        <v>6539.7</v>
      </c>
      <c r="R72" s="1">
        <v>692.5</v>
      </c>
      <c r="S72" s="3">
        <v>10878.9</v>
      </c>
      <c r="T72" s="3">
        <v>6069.9</v>
      </c>
      <c r="U72" s="3">
        <v>3011.25</v>
      </c>
      <c r="V72" s="6">
        <f>VLOOKUP(A72,[2]韩国KOSPI指数历史数据!$A:$B,2,)</f>
        <v>2192.36</v>
      </c>
      <c r="W72" s="6">
        <f>VLOOKUP(A72,[3]日经225指数历史数据!$A:$B,2,)</f>
        <v>9849.74</v>
      </c>
      <c r="X72" s="3">
        <v>1314.56</v>
      </c>
      <c r="Y72" s="6">
        <f>VLOOKUP(A72,[4]上证指数历史数据!$A:$B,2,)</f>
        <v>2911.51</v>
      </c>
      <c r="Z72" s="6">
        <f>VLOOKUP(A72,[5]深证成份指数历史数据!$A:$B,2,)</f>
        <v>12312.99</v>
      </c>
      <c r="AA72" s="6">
        <f>VLOOKUP(A72,[6]台湾加权指数历史数据!$A:$B,2,)</f>
        <v>9007.8700000000008</v>
      </c>
      <c r="AB72" s="3">
        <v>23720.81</v>
      </c>
      <c r="AC72" s="3">
        <v>3179.86</v>
      </c>
      <c r="AD72">
        <v>5749.5</v>
      </c>
      <c r="AE72" s="5">
        <f>VLOOKUP(A72,[7]越南VN30指数历史数据!$A:$B,2,)</f>
        <v>487.92</v>
      </c>
      <c r="AF72">
        <v>29564.28</v>
      </c>
      <c r="AG72" s="9">
        <v>7307.5</v>
      </c>
      <c r="AH72">
        <v>11551.5</v>
      </c>
      <c r="AI72">
        <v>1117.3399999999999</v>
      </c>
      <c r="AJ72">
        <v>1185.4100000000001</v>
      </c>
    </row>
    <row r="73" spans="1:36" x14ac:dyDescent="0.3">
      <c r="A73" s="2">
        <v>40664</v>
      </c>
      <c r="B73" s="3">
        <v>3315.84</v>
      </c>
      <c r="C73" s="4">
        <v>64417</v>
      </c>
      <c r="D73" s="3">
        <v>4743</v>
      </c>
      <c r="E73" s="3">
        <v>12638.74</v>
      </c>
      <c r="F73" s="3">
        <v>13566.6</v>
      </c>
      <c r="G73" s="1">
        <v>833.34</v>
      </c>
      <c r="H73" s="3">
        <v>1340.2</v>
      </c>
      <c r="I73" s="3">
        <v>2827.56</v>
      </c>
      <c r="J73" s="3">
        <v>35212.230000000003</v>
      </c>
      <c r="K73" s="1">
        <v>22794.19</v>
      </c>
      <c r="L73" s="3">
        <v>2867.19</v>
      </c>
      <c r="M73" s="3">
        <v>7492.25</v>
      </c>
      <c r="N73" s="6">
        <f>VLOOKUP(A73,'[1]俄罗斯交易系统市值加权指数历史数据 (1)'!$A:$B,2,)</f>
        <v>1936.29</v>
      </c>
      <c r="O73" s="3">
        <v>4058.01</v>
      </c>
      <c r="P73" s="1">
        <v>359.12</v>
      </c>
      <c r="Q73" s="3">
        <v>6526.51</v>
      </c>
      <c r="R73" s="1">
        <v>682.41</v>
      </c>
      <c r="S73" s="3">
        <v>10610.5</v>
      </c>
      <c r="T73" s="3">
        <v>5976.77</v>
      </c>
      <c r="U73" s="3">
        <v>2952.9</v>
      </c>
      <c r="V73" s="6">
        <f>VLOOKUP(A73,[2]韩国KOSPI指数历史数据!$A:$B,2,)</f>
        <v>2147.4499999999998</v>
      </c>
      <c r="W73" s="6">
        <f>VLOOKUP(A73,[3]日经225指数历史数据!$A:$B,2,)</f>
        <v>9859.2000000000007</v>
      </c>
      <c r="X73" s="3">
        <v>1277.24</v>
      </c>
      <c r="Y73" s="6">
        <f>VLOOKUP(A73,[4]上证指数历史数据!$A:$B,2,)</f>
        <v>2863.89</v>
      </c>
      <c r="Z73" s="6">
        <f>VLOOKUP(A73,[5]深证成份指数历史数据!$A:$B,2,)</f>
        <v>12067.61</v>
      </c>
      <c r="AA73" s="6">
        <f>VLOOKUP(A73,[6]台湾加权指数历史数据!$A:$B,2,)</f>
        <v>8977.23</v>
      </c>
      <c r="AB73" s="3">
        <v>23159.14</v>
      </c>
      <c r="AC73" s="3">
        <v>3099.52</v>
      </c>
      <c r="AD73">
        <v>5551.45</v>
      </c>
      <c r="AE73" s="5">
        <f>VLOOKUP(A73,[7]越南VN30指数历史数据!$A:$B,2,)</f>
        <v>487.16</v>
      </c>
      <c r="AF73">
        <v>28626.86</v>
      </c>
      <c r="AG73" s="9">
        <v>7198.11</v>
      </c>
      <c r="AH73">
        <v>11915.01</v>
      </c>
      <c r="AI73">
        <v>1143.8399999999999</v>
      </c>
      <c r="AJ73">
        <v>1184.05</v>
      </c>
    </row>
    <row r="74" spans="1:36" x14ac:dyDescent="0.3">
      <c r="A74" s="2">
        <v>40671</v>
      </c>
      <c r="B74" s="3">
        <v>3378.18</v>
      </c>
      <c r="C74" s="4">
        <v>63235</v>
      </c>
      <c r="D74" s="3">
        <v>4711.3999999999996</v>
      </c>
      <c r="E74" s="3">
        <v>12595.75</v>
      </c>
      <c r="F74" s="3">
        <v>13377.16</v>
      </c>
      <c r="G74" s="1">
        <v>835.67</v>
      </c>
      <c r="H74" s="3">
        <v>1337.78</v>
      </c>
      <c r="I74" s="3">
        <v>2828.47</v>
      </c>
      <c r="J74" s="3">
        <v>35045.14</v>
      </c>
      <c r="K74" s="1">
        <v>22966.67</v>
      </c>
      <c r="L74" s="3">
        <v>2822.57</v>
      </c>
      <c r="M74" s="3">
        <v>7403.31</v>
      </c>
      <c r="N74" s="6">
        <f>VLOOKUP(A74,'[1]俄罗斯交易系统市值加权指数历史数据 (1)'!$A:$B,2,)</f>
        <v>1866.3</v>
      </c>
      <c r="O74" s="3">
        <v>4018.85</v>
      </c>
      <c r="P74" s="1">
        <v>354.86</v>
      </c>
      <c r="Q74" s="3">
        <v>6563.26</v>
      </c>
      <c r="R74" s="1">
        <v>645.85</v>
      </c>
      <c r="S74" s="3">
        <v>10356.5</v>
      </c>
      <c r="T74" s="3">
        <v>5925.87</v>
      </c>
      <c r="U74" s="3">
        <v>2894.6</v>
      </c>
      <c r="V74" s="6">
        <f>VLOOKUP(A74,[2]韩国KOSPI指数历史数据!$A:$B,2,)</f>
        <v>2120.08</v>
      </c>
      <c r="W74" s="6">
        <f>VLOOKUP(A74,[3]日经225指数历史数据!$A:$B,2,)</f>
        <v>9648.77</v>
      </c>
      <c r="X74" s="3">
        <v>1290.8</v>
      </c>
      <c r="Y74" s="6">
        <f>VLOOKUP(A74,[4]上证指数历史数据!$A:$B,2,)</f>
        <v>2871.03</v>
      </c>
      <c r="Z74" s="6">
        <f>VLOOKUP(A74,[5]深证成份指数历史数据!$A:$B,2,)</f>
        <v>12156.6</v>
      </c>
      <c r="AA74" s="6">
        <f>VLOOKUP(A74,[6]台湾加权指数历史数据!$A:$B,2,)</f>
        <v>9006.61</v>
      </c>
      <c r="AB74" s="3">
        <v>23276.27</v>
      </c>
      <c r="AC74" s="3">
        <v>3163.68</v>
      </c>
      <c r="AD74">
        <v>5544.75</v>
      </c>
      <c r="AE74" s="5">
        <f>VLOOKUP(A74,[7]越南VN30指数历史数据!$A:$B,2,)</f>
        <v>488.75</v>
      </c>
      <c r="AF74">
        <v>28722.89</v>
      </c>
      <c r="AG74" s="9">
        <v>7282.7</v>
      </c>
      <c r="AH74">
        <v>12064.39</v>
      </c>
      <c r="AI74">
        <v>1165.8800000000001</v>
      </c>
      <c r="AJ74">
        <v>1184.0899999999999</v>
      </c>
    </row>
    <row r="75" spans="1:36" x14ac:dyDescent="0.3">
      <c r="A75" s="2">
        <v>40678</v>
      </c>
      <c r="B75" s="3">
        <v>3383.79</v>
      </c>
      <c r="C75" s="4">
        <v>62597</v>
      </c>
      <c r="D75" s="3">
        <v>4732.2</v>
      </c>
      <c r="E75" s="3">
        <v>12512.04</v>
      </c>
      <c r="F75" s="3">
        <v>13652.27</v>
      </c>
      <c r="G75" s="1">
        <v>829.06</v>
      </c>
      <c r="H75" s="3">
        <v>1333.27</v>
      </c>
      <c r="I75" s="3">
        <v>2803.32</v>
      </c>
      <c r="J75" s="3">
        <v>35298.67</v>
      </c>
      <c r="K75" s="1">
        <v>22820.17</v>
      </c>
      <c r="L75" s="3">
        <v>2829.43</v>
      </c>
      <c r="M75" s="3">
        <v>7266.82</v>
      </c>
      <c r="N75" s="6">
        <f>VLOOKUP(A75,'[1]俄罗斯交易系统市值加权指数历史数据 (1)'!$A:$B,2,)</f>
        <v>1825.34</v>
      </c>
      <c r="O75" s="3">
        <v>3990.85</v>
      </c>
      <c r="P75" s="1">
        <v>348.24</v>
      </c>
      <c r="Q75" s="3">
        <v>6530.61</v>
      </c>
      <c r="R75" s="1">
        <v>632.99</v>
      </c>
      <c r="S75" s="3">
        <v>10226.6</v>
      </c>
      <c r="T75" s="3">
        <v>5948.49</v>
      </c>
      <c r="U75" s="3">
        <v>2853.98</v>
      </c>
      <c r="V75" s="6">
        <f>VLOOKUP(A75,[2]韩国KOSPI指数历史数据!$A:$B,2,)</f>
        <v>2111.5</v>
      </c>
      <c r="W75" s="6">
        <f>VLOOKUP(A75,[3]日经225指数历史数据!$A:$B,2,)</f>
        <v>9607.08</v>
      </c>
      <c r="X75" s="3">
        <v>1293.24</v>
      </c>
      <c r="Y75" s="6">
        <f>VLOOKUP(A75,[4]上证指数历史数据!$A:$B,2,)</f>
        <v>2858.46</v>
      </c>
      <c r="Z75" s="6">
        <f>VLOOKUP(A75,[5]深证成份指数历史数据!$A:$B,2,)</f>
        <v>12161.03</v>
      </c>
      <c r="AA75" s="6">
        <f>VLOOKUP(A75,[6]台湾加权指数历史数据!$A:$B,2,)</f>
        <v>8837.0300000000007</v>
      </c>
      <c r="AB75" s="3">
        <v>23199.39</v>
      </c>
      <c r="AC75" s="3">
        <v>3168.54</v>
      </c>
      <c r="AD75">
        <v>5486.35</v>
      </c>
      <c r="AE75" s="5">
        <f>VLOOKUP(A75,[7]越南VN30指数历史数据!$A:$B,2,)</f>
        <v>452.52</v>
      </c>
      <c r="AF75">
        <v>28552.45</v>
      </c>
      <c r="AG75" s="9">
        <v>7664.56</v>
      </c>
      <c r="AH75">
        <v>11880.61</v>
      </c>
      <c r="AI75">
        <v>1139.81</v>
      </c>
      <c r="AJ75">
        <v>1190.19</v>
      </c>
    </row>
    <row r="76" spans="1:36" x14ac:dyDescent="0.3">
      <c r="A76" s="2">
        <v>40685</v>
      </c>
      <c r="B76" s="3">
        <v>3265.82</v>
      </c>
      <c r="C76" s="4">
        <v>64295</v>
      </c>
      <c r="D76" s="3">
        <v>4684</v>
      </c>
      <c r="E76" s="3">
        <v>12441.58</v>
      </c>
      <c r="F76" s="3">
        <v>13797.59</v>
      </c>
      <c r="G76" s="1">
        <v>836.26</v>
      </c>
      <c r="H76" s="3">
        <v>1331.1</v>
      </c>
      <c r="I76" s="3">
        <v>2796.86</v>
      </c>
      <c r="J76" s="3">
        <v>35819.199999999997</v>
      </c>
      <c r="K76" s="1">
        <v>22907.23</v>
      </c>
      <c r="L76" s="3">
        <v>2866.63</v>
      </c>
      <c r="M76" s="3">
        <v>7163.47</v>
      </c>
      <c r="N76" s="6">
        <f>VLOOKUP(A76,'[1]俄罗斯交易系统市值加权指数历史数据 (1)'!$A:$B,2,)</f>
        <v>1858.39</v>
      </c>
      <c r="O76" s="3">
        <v>3950.98</v>
      </c>
      <c r="P76" s="1">
        <v>346.06</v>
      </c>
      <c r="Q76" s="3">
        <v>6489.32</v>
      </c>
      <c r="R76" s="1">
        <v>624.07000000000005</v>
      </c>
      <c r="S76" s="3">
        <v>10261.200000000001</v>
      </c>
      <c r="T76" s="3">
        <v>5938.87</v>
      </c>
      <c r="U76" s="3">
        <v>2819.4</v>
      </c>
      <c r="V76" s="6">
        <f>VLOOKUP(A76,[2]韩国KOSPI指数历史数据!$A:$B,2,)</f>
        <v>2100.2399999999998</v>
      </c>
      <c r="W76" s="6">
        <f>VLOOKUP(A76,[3]日经225指数历史数据!$A:$B,2,)</f>
        <v>9521.94</v>
      </c>
      <c r="X76" s="3">
        <v>1237.8900000000001</v>
      </c>
      <c r="Y76" s="6">
        <f>VLOOKUP(A76,[4]上证指数历史数据!$A:$B,2,)</f>
        <v>2709.95</v>
      </c>
      <c r="Z76" s="6">
        <f>VLOOKUP(A76,[5]深证成份指数历史数据!$A:$B,2,)</f>
        <v>11492.71</v>
      </c>
      <c r="AA76" s="6">
        <f>VLOOKUP(A76,[6]台湾加权指数历史数据!$A:$B,2,)</f>
        <v>8810</v>
      </c>
      <c r="AB76" s="3">
        <v>23118.07</v>
      </c>
      <c r="AC76" s="3">
        <v>3135.52</v>
      </c>
      <c r="AD76">
        <v>5476.1</v>
      </c>
      <c r="AE76" s="5">
        <f>VLOOKUP(A76,[7]越南VN30指数历史数据!$A:$B,2,)</f>
        <v>428.45</v>
      </c>
      <c r="AF76">
        <v>29141.21</v>
      </c>
      <c r="AG76" s="9">
        <v>7878.91</v>
      </c>
      <c r="AH76">
        <v>12154.48</v>
      </c>
      <c r="AI76">
        <v>1145.99</v>
      </c>
      <c r="AJ76">
        <v>1261.6199999999999</v>
      </c>
    </row>
    <row r="77" spans="1:36" x14ac:dyDescent="0.3">
      <c r="A77" s="2">
        <v>40692</v>
      </c>
      <c r="B77" s="3">
        <v>3164.97</v>
      </c>
      <c r="C77" s="4">
        <v>64341</v>
      </c>
      <c r="D77" s="3">
        <v>4583.1000000000004</v>
      </c>
      <c r="E77" s="3">
        <v>12151.26</v>
      </c>
      <c r="F77" s="3">
        <v>13517.91</v>
      </c>
      <c r="G77" s="1">
        <v>808.13</v>
      </c>
      <c r="H77" s="3">
        <v>1300.1600000000001</v>
      </c>
      <c r="I77" s="3">
        <v>2732.78</v>
      </c>
      <c r="J77" s="3">
        <v>35123.89</v>
      </c>
      <c r="K77" s="1">
        <v>23007.22</v>
      </c>
      <c r="L77" s="3">
        <v>2883.82</v>
      </c>
      <c r="M77" s="3">
        <v>7109.03</v>
      </c>
      <c r="N77" s="6">
        <f>VLOOKUP(A77,'[1]俄罗斯交易系统市值加权指数历史数据 (1)'!$A:$B,2,)</f>
        <v>1858.08</v>
      </c>
      <c r="O77" s="3">
        <v>3890.68</v>
      </c>
      <c r="P77" s="1">
        <v>340.24</v>
      </c>
      <c r="Q77" s="3">
        <v>6407.39</v>
      </c>
      <c r="R77" s="1">
        <v>628.07000000000005</v>
      </c>
      <c r="S77" s="3">
        <v>10285.700000000001</v>
      </c>
      <c r="T77" s="3">
        <v>5855.01</v>
      </c>
      <c r="U77" s="3">
        <v>2789.11</v>
      </c>
      <c r="V77" s="6">
        <f>VLOOKUP(A77,[2]韩国KOSPI指数历史数据!$A:$B,2,)</f>
        <v>2113.4699999999998</v>
      </c>
      <c r="W77" s="6">
        <f>VLOOKUP(A77,[3]日经225指数历史数据!$A:$B,2,)</f>
        <v>9492.2099999999991</v>
      </c>
      <c r="X77" s="3">
        <v>1227.95</v>
      </c>
      <c r="Y77" s="6">
        <f>VLOOKUP(A77,[4]上证指数历史数据!$A:$B,2,)</f>
        <v>2728.02</v>
      </c>
      <c r="Z77" s="6">
        <f>VLOOKUP(A77,[5]深证成份指数历史数据!$A:$B,2,)</f>
        <v>11642.4</v>
      </c>
      <c r="AA77" s="6">
        <f>VLOOKUP(A77,[6]台湾加权指数历史数据!$A:$B,2,)</f>
        <v>9046.2800000000007</v>
      </c>
      <c r="AB77" s="3">
        <v>22949.56</v>
      </c>
      <c r="AC77" s="3">
        <v>3145.67</v>
      </c>
      <c r="AD77">
        <v>5516.75</v>
      </c>
      <c r="AE77" s="5">
        <f>VLOOKUP(A77,[7]越南VN30指数历史数据!$A:$B,2,)</f>
        <v>458.32</v>
      </c>
      <c r="AF77">
        <v>28258.28</v>
      </c>
      <c r="AG77" s="9">
        <v>7811.25</v>
      </c>
      <c r="AH77">
        <v>12196.53</v>
      </c>
      <c r="AI77">
        <v>1158.96</v>
      </c>
      <c r="AJ77">
        <v>1262.82</v>
      </c>
    </row>
    <row r="78" spans="1:36" x14ac:dyDescent="0.3">
      <c r="A78" s="2">
        <v>40699</v>
      </c>
      <c r="B78" s="3">
        <v>3227.77</v>
      </c>
      <c r="C78" s="4">
        <v>62697</v>
      </c>
      <c r="D78" s="3">
        <v>4562.1000000000004</v>
      </c>
      <c r="E78" s="3">
        <v>11951.91</v>
      </c>
      <c r="F78" s="3">
        <v>13084</v>
      </c>
      <c r="G78" s="1">
        <v>779.54</v>
      </c>
      <c r="H78" s="3">
        <v>1270.98</v>
      </c>
      <c r="I78" s="3">
        <v>2643.73</v>
      </c>
      <c r="J78" s="3">
        <v>34963.78</v>
      </c>
      <c r="K78" s="1">
        <v>22466.37</v>
      </c>
      <c r="L78" s="3">
        <v>2852.16</v>
      </c>
      <c r="M78" s="3">
        <v>7069.9</v>
      </c>
      <c r="N78" s="6">
        <f>VLOOKUP(A78,'[1]俄罗斯交易系统市值加权指数历史数据 (1)'!$A:$B,2,)</f>
        <v>1926.02</v>
      </c>
      <c r="O78" s="3">
        <v>3805.09</v>
      </c>
      <c r="P78" s="1">
        <v>333.83</v>
      </c>
      <c r="Q78" s="3">
        <v>6197.25</v>
      </c>
      <c r="R78" s="1">
        <v>637</v>
      </c>
      <c r="S78" s="3">
        <v>9950.7999999999993</v>
      </c>
      <c r="T78" s="3">
        <v>5765.8</v>
      </c>
      <c r="U78" s="3">
        <v>2732.54</v>
      </c>
      <c r="V78" s="6">
        <f>VLOOKUP(A78,[2]韩国KOSPI指数历史数据!$A:$B,2,)</f>
        <v>2046.67</v>
      </c>
      <c r="W78" s="6">
        <f>VLOOKUP(A78,[3]日经225指数历史数据!$A:$B,2,)</f>
        <v>9514.44</v>
      </c>
      <c r="X78" s="3">
        <v>1219.45</v>
      </c>
      <c r="Y78" s="6">
        <f>VLOOKUP(A78,[4]上证指数历史数据!$A:$B,2,)</f>
        <v>2705.14</v>
      </c>
      <c r="Z78" s="6">
        <f>VLOOKUP(A78,[5]深证成份指数历史数据!$A:$B,2,)</f>
        <v>11593.38</v>
      </c>
      <c r="AA78" s="6">
        <f>VLOOKUP(A78,[6]台湾加权指数历史数据!$A:$B,2,)</f>
        <v>8837.82</v>
      </c>
      <c r="AB78" s="3">
        <v>22420.37</v>
      </c>
      <c r="AC78" s="3">
        <v>3078.35</v>
      </c>
      <c r="AD78">
        <v>5485.8</v>
      </c>
      <c r="AE78" s="5">
        <f>VLOOKUP(A78,[7]越南VN30指数历史数据!$A:$B,2,)</f>
        <v>460.24</v>
      </c>
      <c r="AF78">
        <v>27809.9</v>
      </c>
      <c r="AG78" s="9">
        <v>7967.12</v>
      </c>
      <c r="AH78">
        <v>12036.45</v>
      </c>
      <c r="AI78">
        <v>1146</v>
      </c>
      <c r="AJ78">
        <v>1263.5899999999999</v>
      </c>
    </row>
    <row r="79" spans="1:36" x14ac:dyDescent="0.3">
      <c r="A79" s="2">
        <v>40706</v>
      </c>
      <c r="B79" s="3">
        <v>3269.28</v>
      </c>
      <c r="C79" s="4">
        <v>61060</v>
      </c>
      <c r="D79" s="3">
        <v>4484.8999999999996</v>
      </c>
      <c r="E79" s="3">
        <v>12004.36</v>
      </c>
      <c r="F79" s="3">
        <v>12789.95</v>
      </c>
      <c r="G79" s="1">
        <v>781.75</v>
      </c>
      <c r="H79" s="3">
        <v>1271.5</v>
      </c>
      <c r="I79" s="3">
        <v>2616.48</v>
      </c>
      <c r="J79" s="3">
        <v>35025.74</v>
      </c>
      <c r="K79" s="1">
        <v>21965.22</v>
      </c>
      <c r="L79" s="3">
        <v>2880.13</v>
      </c>
      <c r="M79" s="3">
        <v>7164.05</v>
      </c>
      <c r="N79" s="6">
        <f>VLOOKUP(A79,'[1]俄罗斯交易系统市值加权指数历史数据 (1)'!$A:$B,2,)</f>
        <v>1878.55</v>
      </c>
      <c r="O79" s="3">
        <v>3823.74</v>
      </c>
      <c r="P79" s="1">
        <v>333.11</v>
      </c>
      <c r="Q79" s="3">
        <v>6145.16</v>
      </c>
      <c r="R79" s="1">
        <v>617.16999999999996</v>
      </c>
      <c r="S79" s="3">
        <v>10135.200000000001</v>
      </c>
      <c r="T79" s="3">
        <v>5714.94</v>
      </c>
      <c r="U79" s="3">
        <v>2770.12</v>
      </c>
      <c r="V79" s="6">
        <f>VLOOKUP(A79,[2]韩国KOSPI指数历史数据!$A:$B,2,)</f>
        <v>2031.93</v>
      </c>
      <c r="W79" s="6">
        <f>VLOOKUP(A79,[3]日经225指数历史数据!$A:$B,2,)</f>
        <v>9351.4</v>
      </c>
      <c r="X79" s="3">
        <v>1205.5899999999999</v>
      </c>
      <c r="Y79" s="6">
        <f>VLOOKUP(A79,[4]上证指数历史数据!$A:$B,2,)</f>
        <v>2642.82</v>
      </c>
      <c r="Z79" s="6">
        <f>VLOOKUP(A79,[5]深证成份指数历史数据!$A:$B,2,)</f>
        <v>11409.16</v>
      </c>
      <c r="AA79" s="6">
        <f>VLOOKUP(A79,[6]台湾加权指数历史数据!$A:$B,2,)</f>
        <v>8636.1</v>
      </c>
      <c r="AB79" s="3">
        <v>21695.26</v>
      </c>
      <c r="AC79" s="3">
        <v>3005.28</v>
      </c>
      <c r="AD79">
        <v>5366.4</v>
      </c>
      <c r="AE79" s="5">
        <f>VLOOKUP(A79,[7]越南VN30指数历史数据!$A:$B,2,)</f>
        <v>460.9</v>
      </c>
      <c r="AF79">
        <v>27324.34</v>
      </c>
      <c r="AG79" s="9">
        <v>8054.51</v>
      </c>
      <c r="AH79">
        <v>11741.51</v>
      </c>
      <c r="AI79">
        <v>1130.73</v>
      </c>
      <c r="AJ79">
        <v>1264.1400000000001</v>
      </c>
    </row>
    <row r="80" spans="1:36" x14ac:dyDescent="0.3">
      <c r="A80" s="2">
        <v>40713</v>
      </c>
      <c r="B80" s="3">
        <v>3287.62</v>
      </c>
      <c r="C80" s="4">
        <v>61017</v>
      </c>
      <c r="D80" s="3">
        <v>4508.1000000000004</v>
      </c>
      <c r="E80" s="3">
        <v>11934.58</v>
      </c>
      <c r="F80" s="3">
        <v>12908.89</v>
      </c>
      <c r="G80" s="1">
        <v>797.79</v>
      </c>
      <c r="H80" s="3">
        <v>1268.45</v>
      </c>
      <c r="I80" s="3">
        <v>2652.89</v>
      </c>
      <c r="J80" s="3">
        <v>35347.85</v>
      </c>
      <c r="K80" s="1">
        <v>22191</v>
      </c>
      <c r="L80" s="3">
        <v>2801.59</v>
      </c>
      <c r="M80" s="3">
        <v>7121.38</v>
      </c>
      <c r="N80" s="6">
        <f>VLOOKUP(A80,'[1]俄罗斯交易系统市值加权指数历史数据 (1)'!$A:$B,2,)</f>
        <v>1857.04</v>
      </c>
      <c r="O80" s="3">
        <v>3784.8</v>
      </c>
      <c r="P80" s="1">
        <v>328.74</v>
      </c>
      <c r="Q80" s="3">
        <v>5998.02</v>
      </c>
      <c r="R80" s="1">
        <v>620.73</v>
      </c>
      <c r="S80" s="3">
        <v>9812.7000000000007</v>
      </c>
      <c r="T80" s="3">
        <v>5697.72</v>
      </c>
      <c r="U80" s="3">
        <v>2715.88</v>
      </c>
      <c r="V80" s="6">
        <f>VLOOKUP(A80,[2]韩国KOSPI指数历史数据!$A:$B,2,)</f>
        <v>2090.81</v>
      </c>
      <c r="W80" s="6">
        <f>VLOOKUP(A80,[3]日经225指数历史数据!$A:$B,2,)</f>
        <v>9678.7099999999991</v>
      </c>
      <c r="X80" s="3">
        <v>1211.08</v>
      </c>
      <c r="Y80" s="6">
        <f>VLOOKUP(A80,[4]上证指数历史数据!$A:$B,2,)</f>
        <v>2746.21</v>
      </c>
      <c r="Z80" s="6">
        <f>VLOOKUP(A80,[5]深证成份指数历史数据!$A:$B,2,)</f>
        <v>11996.08</v>
      </c>
      <c r="AA80" s="6">
        <f>VLOOKUP(A80,[6]台湾加权指数历史数据!$A:$B,2,)</f>
        <v>8532.83</v>
      </c>
      <c r="AB80" s="3">
        <v>22171.95</v>
      </c>
      <c r="AC80" s="3">
        <v>3066.85</v>
      </c>
      <c r="AD80">
        <v>5471.25</v>
      </c>
      <c r="AE80" s="5">
        <f>VLOOKUP(A80,[7]越南VN30指数历史数据!$A:$B,2,)</f>
        <v>457.45</v>
      </c>
      <c r="AF80">
        <v>27391.89</v>
      </c>
      <c r="AG80" s="9">
        <v>7962.21</v>
      </c>
      <c r="AH80">
        <v>11601.53</v>
      </c>
      <c r="AI80">
        <v>1128.6199999999999</v>
      </c>
      <c r="AJ80">
        <v>1263.1199999999999</v>
      </c>
    </row>
    <row r="81" spans="1:36" x14ac:dyDescent="0.3">
      <c r="A81" s="2">
        <v>40720</v>
      </c>
      <c r="B81" s="3">
        <v>3396</v>
      </c>
      <c r="C81" s="4">
        <v>63394</v>
      </c>
      <c r="D81" s="3">
        <v>4591.2</v>
      </c>
      <c r="E81" s="3">
        <v>12582.77</v>
      </c>
      <c r="F81" s="3">
        <v>13300.87</v>
      </c>
      <c r="G81" s="1">
        <v>840.04</v>
      </c>
      <c r="H81" s="3">
        <v>1339.67</v>
      </c>
      <c r="I81" s="3">
        <v>2816.03</v>
      </c>
      <c r="J81" s="3">
        <v>36800.720000000001</v>
      </c>
      <c r="K81" s="1">
        <v>22699.35</v>
      </c>
      <c r="L81" s="3">
        <v>2813.35</v>
      </c>
      <c r="M81" s="3">
        <v>7419.44</v>
      </c>
      <c r="N81" s="6">
        <f>VLOOKUP(A81,'[1]俄罗斯交易系统市值加权指数历史数据 (1)'!$A:$B,2,)</f>
        <v>1937.57</v>
      </c>
      <c r="O81" s="3">
        <v>4007.35</v>
      </c>
      <c r="P81" s="1">
        <v>342.82</v>
      </c>
      <c r="Q81" s="3">
        <v>6237.81</v>
      </c>
      <c r="R81" s="1">
        <v>632.65</v>
      </c>
      <c r="S81" s="3">
        <v>10492</v>
      </c>
      <c r="T81" s="3">
        <v>5989.76</v>
      </c>
      <c r="U81" s="3">
        <v>2875.67</v>
      </c>
      <c r="V81" s="6">
        <f>VLOOKUP(A81,[2]韩国KOSPI指数历史数据!$A:$B,2,)</f>
        <v>2125.7399999999998</v>
      </c>
      <c r="W81" s="6">
        <f>VLOOKUP(A81,[3]日经225指数历史数据!$A:$B,2,)</f>
        <v>9868.07</v>
      </c>
      <c r="X81" s="3">
        <v>1223.9100000000001</v>
      </c>
      <c r="Y81" s="6">
        <f>VLOOKUP(A81,[4]上证指数历史数据!$A:$B,2,)</f>
        <v>2759.36</v>
      </c>
      <c r="Z81" s="6">
        <f>VLOOKUP(A81,[5]深证成份指数历史数据!$A:$B,2,)</f>
        <v>12178.08</v>
      </c>
      <c r="AA81" s="6">
        <f>VLOOKUP(A81,[6]台湾加权指数历史数据!$A:$B,2,)</f>
        <v>8739.82</v>
      </c>
      <c r="AB81" s="3">
        <v>22398.1</v>
      </c>
      <c r="AC81" s="3">
        <v>3139.01</v>
      </c>
      <c r="AD81">
        <v>5627.2</v>
      </c>
      <c r="AE81" s="5">
        <f>VLOOKUP(A81,[7]越南VN30指数历史数据!$A:$B,2,)</f>
        <v>448.52</v>
      </c>
      <c r="AF81">
        <v>28578.560000000001</v>
      </c>
      <c r="AG81" s="9">
        <v>7795.27</v>
      </c>
      <c r="AH81">
        <v>11518.26</v>
      </c>
      <c r="AI81">
        <v>1104.5899999999999</v>
      </c>
      <c r="AJ81">
        <v>1264.49</v>
      </c>
    </row>
    <row r="82" spans="1:36" x14ac:dyDescent="0.3">
      <c r="A82" s="2">
        <v>40727</v>
      </c>
      <c r="B82" s="3">
        <v>3470.74</v>
      </c>
      <c r="C82" s="4">
        <v>61513</v>
      </c>
      <c r="D82" s="3">
        <v>4654.7</v>
      </c>
      <c r="E82" s="3">
        <v>12657.2</v>
      </c>
      <c r="F82" s="3">
        <v>13371.7</v>
      </c>
      <c r="G82" s="1">
        <v>852.57</v>
      </c>
      <c r="H82" s="3">
        <v>1343.8</v>
      </c>
      <c r="I82" s="3">
        <v>2859.81</v>
      </c>
      <c r="J82" s="3">
        <v>36499.85</v>
      </c>
      <c r="K82" s="1">
        <v>22612.32</v>
      </c>
      <c r="L82" s="3">
        <v>2793.62</v>
      </c>
      <c r="M82" s="3">
        <v>7402.73</v>
      </c>
      <c r="N82" s="6">
        <f>VLOOKUP(A82,'[1]俄罗斯交易系统市值加权指数历史数据 (1)'!$A:$B,2,)</f>
        <v>1958.4</v>
      </c>
      <c r="O82" s="3">
        <v>3913.55</v>
      </c>
      <c r="P82" s="1">
        <v>342.48</v>
      </c>
      <c r="Q82" s="3">
        <v>6152.69</v>
      </c>
      <c r="R82" s="1">
        <v>635.96</v>
      </c>
      <c r="S82" s="3">
        <v>9938.2000000000007</v>
      </c>
      <c r="T82" s="3">
        <v>5990.58</v>
      </c>
      <c r="U82" s="3">
        <v>2790.09</v>
      </c>
      <c r="V82" s="6">
        <f>VLOOKUP(A82,[2]韩国KOSPI指数历史数据!$A:$B,2,)</f>
        <v>2180.35</v>
      </c>
      <c r="W82" s="6">
        <f>VLOOKUP(A82,[3]日经225指数历史数据!$A:$B,2,)</f>
        <v>10137.73</v>
      </c>
      <c r="X82" s="3">
        <v>1260.1600000000001</v>
      </c>
      <c r="Y82" s="6">
        <f>VLOOKUP(A82,[4]上证指数历史数据!$A:$B,2,)</f>
        <v>2797.77</v>
      </c>
      <c r="Z82" s="6">
        <f>VLOOKUP(A82,[5]深证成份指数历史数据!$A:$B,2,)</f>
        <v>12404.34</v>
      </c>
      <c r="AA82" s="6">
        <f>VLOOKUP(A82,[6]台湾加权指数历史数据!$A:$B,2,)</f>
        <v>8749.5499999999993</v>
      </c>
      <c r="AB82" s="3">
        <v>22726.43</v>
      </c>
      <c r="AC82" s="3">
        <v>3151.28</v>
      </c>
      <c r="AD82">
        <v>5660.65</v>
      </c>
      <c r="AE82" s="5">
        <f>VLOOKUP(A82,[7]越南VN30指数历史数据!$A:$B,2,)</f>
        <v>456.03</v>
      </c>
      <c r="AF82">
        <v>28623.01</v>
      </c>
      <c r="AG82" s="9">
        <v>7771.94</v>
      </c>
      <c r="AH82">
        <v>11577.99</v>
      </c>
      <c r="AI82">
        <v>1089.0899999999999</v>
      </c>
      <c r="AJ82">
        <v>1266.03</v>
      </c>
    </row>
    <row r="83" spans="1:36" x14ac:dyDescent="0.3">
      <c r="A83" s="2">
        <v>40734</v>
      </c>
      <c r="B83" s="3">
        <v>3326.57</v>
      </c>
      <c r="C83" s="4">
        <v>59478</v>
      </c>
      <c r="D83" s="3">
        <v>4473.5</v>
      </c>
      <c r="E83" s="3">
        <v>12479.73</v>
      </c>
      <c r="F83" s="3">
        <v>13299.54</v>
      </c>
      <c r="G83" s="1">
        <v>828.78</v>
      </c>
      <c r="H83" s="3">
        <v>1316.14</v>
      </c>
      <c r="I83" s="3">
        <v>2789.8</v>
      </c>
      <c r="J83" s="3">
        <v>36155.86</v>
      </c>
      <c r="K83" s="1">
        <v>22414.35</v>
      </c>
      <c r="L83" s="3">
        <v>2747.6</v>
      </c>
      <c r="M83" s="3">
        <v>7220.12</v>
      </c>
      <c r="N83" s="6">
        <f>VLOOKUP(A83,'[1]俄罗斯交易系统市值加权指数历史数据 (1)'!$A:$B,2,)</f>
        <v>1938.54</v>
      </c>
      <c r="O83" s="3">
        <v>3726.59</v>
      </c>
      <c r="P83" s="1">
        <v>329.49</v>
      </c>
      <c r="Q83" s="3">
        <v>5938.06</v>
      </c>
      <c r="R83" s="1">
        <v>626.35</v>
      </c>
      <c r="S83" s="3">
        <v>9484.2000000000007</v>
      </c>
      <c r="T83" s="3">
        <v>5843.66</v>
      </c>
      <c r="U83" s="3">
        <v>2675.38</v>
      </c>
      <c r="V83" s="6">
        <f>VLOOKUP(A83,[2]韩国KOSPI指数历史数据!$A:$B,2,)</f>
        <v>2145.1999999999998</v>
      </c>
      <c r="W83" s="6">
        <f>VLOOKUP(A83,[3]日经225指数历史数据!$A:$B,2,)</f>
        <v>9974.4699999999993</v>
      </c>
      <c r="X83" s="3">
        <v>1251.4000000000001</v>
      </c>
      <c r="Y83" s="6">
        <f>VLOOKUP(A83,[4]上证指数历史数据!$A:$B,2,)</f>
        <v>2820.17</v>
      </c>
      <c r="Z83" s="6">
        <f>VLOOKUP(A83,[5]深证成份指数历史数据!$A:$B,2,)</f>
        <v>12506.94</v>
      </c>
      <c r="AA83" s="6">
        <f>VLOOKUP(A83,[6]台湾加权指数历史数据!$A:$B,2,)</f>
        <v>8574.91</v>
      </c>
      <c r="AB83" s="3">
        <v>21875.38</v>
      </c>
      <c r="AC83" s="3">
        <v>3084.24</v>
      </c>
      <c r="AD83">
        <v>5581.1</v>
      </c>
      <c r="AE83" s="5">
        <f>VLOOKUP(A83,[7]越南VN30指数历史数据!$A:$B,2,)</f>
        <v>441.56</v>
      </c>
      <c r="AF83">
        <v>28915.93</v>
      </c>
      <c r="AG83" s="9">
        <v>7407.18</v>
      </c>
      <c r="AH83">
        <v>11458.32</v>
      </c>
      <c r="AI83">
        <v>1059.31</v>
      </c>
      <c r="AJ83">
        <v>1266.8</v>
      </c>
    </row>
    <row r="84" spans="1:36" x14ac:dyDescent="0.3">
      <c r="A84" s="2">
        <v>40741</v>
      </c>
      <c r="B84" s="3">
        <v>3356.35</v>
      </c>
      <c r="C84" s="4">
        <v>60270</v>
      </c>
      <c r="D84" s="3">
        <v>4602.8999999999996</v>
      </c>
      <c r="E84" s="3">
        <v>12681.16</v>
      </c>
      <c r="F84" s="3">
        <v>13494.63</v>
      </c>
      <c r="G84" s="1">
        <v>841.82</v>
      </c>
      <c r="H84" s="3">
        <v>1345.02</v>
      </c>
      <c r="I84" s="3">
        <v>2858.83</v>
      </c>
      <c r="J84" s="3">
        <v>35755.480000000003</v>
      </c>
      <c r="K84" s="1">
        <v>22020.35</v>
      </c>
      <c r="L84" s="3">
        <v>2743.46</v>
      </c>
      <c r="M84" s="3">
        <v>7326.39</v>
      </c>
      <c r="N84" s="6">
        <f>VLOOKUP(A84,'[1]俄罗斯交易系统市值加权指数历史数据 (1)'!$A:$B,2,)</f>
        <v>1976.82</v>
      </c>
      <c r="O84" s="3">
        <v>3842.7</v>
      </c>
      <c r="P84" s="1">
        <v>338.6</v>
      </c>
      <c r="Q84" s="3">
        <v>6031.93</v>
      </c>
      <c r="R84" s="1">
        <v>598.02</v>
      </c>
      <c r="S84" s="3">
        <v>10059.299999999999</v>
      </c>
      <c r="T84" s="3">
        <v>5935.02</v>
      </c>
      <c r="U84" s="3">
        <v>2772.6</v>
      </c>
      <c r="V84" s="6">
        <f>VLOOKUP(A84,[2]韩国KOSPI指数历史数据!$A:$B,2,)</f>
        <v>2171.23</v>
      </c>
      <c r="W84" s="6">
        <f>VLOOKUP(A84,[3]日经225指数历史数据!$A:$B,2,)</f>
        <v>10132.11</v>
      </c>
      <c r="X84" s="3">
        <v>1263.47</v>
      </c>
      <c r="Y84" s="6">
        <f>VLOOKUP(A84,[4]上证指数历史数据!$A:$B,2,)</f>
        <v>2770.79</v>
      </c>
      <c r="Z84" s="6">
        <f>VLOOKUP(A84,[5]深证成份指数历史数据!$A:$B,2,)</f>
        <v>12352.5</v>
      </c>
      <c r="AA84" s="6">
        <f>VLOOKUP(A84,[6]台湾加权指数历史数据!$A:$B,2,)</f>
        <v>8765.32</v>
      </c>
      <c r="AB84" s="3">
        <v>22444.799999999999</v>
      </c>
      <c r="AC84" s="3">
        <v>3182.95</v>
      </c>
      <c r="AD84">
        <v>5633.95</v>
      </c>
      <c r="AE84" s="5">
        <f>VLOOKUP(A84,[7]越南VN30指数历史数据!$A:$B,2,)</f>
        <v>441.96</v>
      </c>
      <c r="AF84">
        <v>28664.52</v>
      </c>
      <c r="AG84" s="9">
        <v>7432.34</v>
      </c>
      <c r="AH84">
        <v>11281.84</v>
      </c>
      <c r="AI84">
        <v>1065.26</v>
      </c>
      <c r="AJ84">
        <v>1269.57</v>
      </c>
    </row>
    <row r="85" spans="1:36" x14ac:dyDescent="0.3">
      <c r="A85" s="2">
        <v>40748</v>
      </c>
      <c r="B85" s="3">
        <v>3321.85</v>
      </c>
      <c r="C85" s="4">
        <v>58823</v>
      </c>
      <c r="D85" s="3">
        <v>4424.6000000000004</v>
      </c>
      <c r="E85" s="3">
        <v>12143.24</v>
      </c>
      <c r="F85" s="3">
        <v>12945.63</v>
      </c>
      <c r="G85" s="1">
        <v>797.03</v>
      </c>
      <c r="H85" s="3">
        <v>1292.28</v>
      </c>
      <c r="I85" s="3">
        <v>2756.38</v>
      </c>
      <c r="J85" s="3">
        <v>35999.339999999997</v>
      </c>
      <c r="K85" s="1">
        <v>21166.36</v>
      </c>
      <c r="L85" s="3">
        <v>2726.31</v>
      </c>
      <c r="M85" s="3">
        <v>7158.77</v>
      </c>
      <c r="N85" s="6">
        <f>VLOOKUP(A85,'[1]俄罗斯交易系统市值加权指数历史数据 (1)'!$A:$B,2,)</f>
        <v>1965.02</v>
      </c>
      <c r="O85" s="3">
        <v>3671.28</v>
      </c>
      <c r="P85" s="1">
        <v>329.17</v>
      </c>
      <c r="Q85" s="3">
        <v>5783.35</v>
      </c>
      <c r="R85" s="1">
        <v>622.96</v>
      </c>
      <c r="S85" s="3">
        <v>9630.7000000000007</v>
      </c>
      <c r="T85" s="3">
        <v>5815.19</v>
      </c>
      <c r="U85" s="3">
        <v>2670.37</v>
      </c>
      <c r="V85" s="6">
        <f>VLOOKUP(A85,[2]韩国KOSPI指数历史数据!$A:$B,2,)</f>
        <v>2133.21</v>
      </c>
      <c r="W85" s="6">
        <f>VLOOKUP(A85,[3]日经225指数历史数据!$A:$B,2,)</f>
        <v>9833.0300000000007</v>
      </c>
      <c r="X85" s="3">
        <v>1232.74</v>
      </c>
      <c r="Y85" s="6">
        <f>VLOOKUP(A85,[4]上证指数历史数据!$A:$B,2,)</f>
        <v>2701.73</v>
      </c>
      <c r="Z85" s="6">
        <f>VLOOKUP(A85,[5]深证成份指数历史数据!$A:$B,2,)</f>
        <v>11990.43</v>
      </c>
      <c r="AA85" s="6">
        <f>VLOOKUP(A85,[6]台湾加权指数历史数据!$A:$B,2,)</f>
        <v>8644.18</v>
      </c>
      <c r="AB85" s="3">
        <v>22440.25</v>
      </c>
      <c r="AC85" s="3">
        <v>3189.26</v>
      </c>
      <c r="AD85">
        <v>5482</v>
      </c>
      <c r="AE85" s="5">
        <f>VLOOKUP(A85,[7]越南VN30指数历史数据!$A:$B,2,)</f>
        <v>442.44</v>
      </c>
      <c r="AF85">
        <v>27857.91</v>
      </c>
      <c r="AG85" s="9">
        <v>7268.43</v>
      </c>
      <c r="AH85">
        <v>11202.95</v>
      </c>
      <c r="AI85">
        <v>1061.08</v>
      </c>
      <c r="AJ85">
        <v>1269.57</v>
      </c>
    </row>
    <row r="86" spans="1:36" x14ac:dyDescent="0.3">
      <c r="A86" s="2">
        <v>40755</v>
      </c>
      <c r="B86" s="3">
        <v>3067.61</v>
      </c>
      <c r="C86" s="4">
        <v>52949</v>
      </c>
      <c r="D86" s="3">
        <v>4105.3999999999996</v>
      </c>
      <c r="E86" s="3">
        <v>11444.61</v>
      </c>
      <c r="F86" s="3">
        <v>12162.17</v>
      </c>
      <c r="G86" s="1">
        <v>714.63</v>
      </c>
      <c r="H86" s="3">
        <v>1199.3800000000001</v>
      </c>
      <c r="I86" s="3">
        <v>2532.41</v>
      </c>
      <c r="J86" s="3">
        <v>33697.870000000003</v>
      </c>
      <c r="K86" s="1">
        <v>19541.93</v>
      </c>
      <c r="L86" s="3">
        <v>2447.21</v>
      </c>
      <c r="M86" s="3">
        <v>6236.16</v>
      </c>
      <c r="N86" s="6">
        <f>VLOOKUP(A86,'[1]俄罗斯交易系统市值加权指数历史数据 (1)'!$A:$B,2,)</f>
        <v>1798.75</v>
      </c>
      <c r="O86" s="3">
        <v>3278.56</v>
      </c>
      <c r="P86" s="1">
        <v>296.35000000000002</v>
      </c>
      <c r="Q86" s="3">
        <v>5172.0600000000004</v>
      </c>
      <c r="R86" s="1">
        <v>562.66</v>
      </c>
      <c r="S86" s="3">
        <v>8671.2000000000007</v>
      </c>
      <c r="T86" s="3">
        <v>5246.99</v>
      </c>
      <c r="U86" s="3">
        <v>2375.15</v>
      </c>
      <c r="V86" s="6">
        <f>VLOOKUP(A86,[2]韩国KOSPI指数历史数据!$A:$B,2,)</f>
        <v>1943.75</v>
      </c>
      <c r="W86" s="6">
        <f>VLOOKUP(A86,[3]日经225指数历史数据!$A:$B,2,)</f>
        <v>9299.8799999999992</v>
      </c>
      <c r="X86" s="3">
        <v>1154.96</v>
      </c>
      <c r="Y86" s="6">
        <f>VLOOKUP(A86,[4]上证指数历史数据!$A:$B,2,)</f>
        <v>2626.42</v>
      </c>
      <c r="Z86" s="6">
        <f>VLOOKUP(A86,[5]深证成份指数历史数据!$A:$B,2,)</f>
        <v>11701.76</v>
      </c>
      <c r="AA86" s="6">
        <f>VLOOKUP(A86,[6]台湾加权指数历史数据!$A:$B,2,)</f>
        <v>7853.13</v>
      </c>
      <c r="AB86" s="3">
        <v>20946.14</v>
      </c>
      <c r="AC86" s="3">
        <v>2994.78</v>
      </c>
      <c r="AD86">
        <v>5211.25</v>
      </c>
      <c r="AE86" s="5">
        <f>VLOOKUP(A86,[7]越南VN30指数历史数据!$A:$B,2,)</f>
        <v>436.62</v>
      </c>
      <c r="AF86">
        <v>25993.94</v>
      </c>
      <c r="AG86" s="9">
        <v>7244.68</v>
      </c>
      <c r="AH86">
        <v>11020.52</v>
      </c>
      <c r="AI86">
        <v>1042.05</v>
      </c>
      <c r="AJ86">
        <v>1272.92</v>
      </c>
    </row>
    <row r="87" spans="1:36" x14ac:dyDescent="0.3">
      <c r="A87" s="2">
        <v>40762</v>
      </c>
      <c r="B87" s="3">
        <v>2966.99</v>
      </c>
      <c r="C87" s="4">
        <v>53473</v>
      </c>
      <c r="D87" s="3">
        <v>4172.6000000000004</v>
      </c>
      <c r="E87" s="3">
        <v>11269.02</v>
      </c>
      <c r="F87" s="3">
        <v>12542.2</v>
      </c>
      <c r="G87" s="1">
        <v>697.51</v>
      </c>
      <c r="H87" s="3">
        <v>1178.81</v>
      </c>
      <c r="I87" s="3">
        <v>2507.98</v>
      </c>
      <c r="J87" s="3">
        <v>33361.5</v>
      </c>
      <c r="K87" s="1">
        <v>20289.66</v>
      </c>
      <c r="L87" s="3">
        <v>2331.5300000000002</v>
      </c>
      <c r="M87" s="3">
        <v>5997.74</v>
      </c>
      <c r="N87" s="6">
        <f>VLOOKUP(A87,'[1]俄罗斯交易系统市值加权指数历史数据 (1)'!$A:$B,2,)</f>
        <v>1594.68</v>
      </c>
      <c r="O87" s="3">
        <v>3213.88</v>
      </c>
      <c r="P87" s="1">
        <v>291.89999999999998</v>
      </c>
      <c r="Q87" s="3">
        <v>5252.81</v>
      </c>
      <c r="R87" s="1">
        <v>521.89</v>
      </c>
      <c r="S87" s="3">
        <v>8647.2999999999993</v>
      </c>
      <c r="T87" s="3">
        <v>5320.03</v>
      </c>
      <c r="U87" s="3">
        <v>2307.33</v>
      </c>
      <c r="V87" s="6">
        <f>VLOOKUP(A87,[2]韩国KOSPI指数历史数据!$A:$B,2,)</f>
        <v>1793.31</v>
      </c>
      <c r="W87" s="6">
        <f>VLOOKUP(A87,[3]日经225指数历史数据!$A:$B,2,)</f>
        <v>8963.7199999999993</v>
      </c>
      <c r="X87" s="3">
        <v>1068.6300000000001</v>
      </c>
      <c r="Y87" s="6">
        <f>VLOOKUP(A87,[4]上证指数历史数据!$A:$B,2,)</f>
        <v>2593.17</v>
      </c>
      <c r="Z87" s="6">
        <f>VLOOKUP(A87,[5]深证成份指数历史数据!$A:$B,2,)</f>
        <v>11651.29</v>
      </c>
      <c r="AA87" s="6">
        <f>VLOOKUP(A87,[6]台湾加权指数历史数据!$A:$B,2,)</f>
        <v>7637.02</v>
      </c>
      <c r="AB87" s="3">
        <v>19620.009999999998</v>
      </c>
      <c r="AC87" s="3">
        <v>2850.59</v>
      </c>
      <c r="AD87">
        <v>5072.95</v>
      </c>
      <c r="AE87" s="5">
        <f>VLOOKUP(A87,[7]越南VN30指数历史数据!$A:$B,2,)</f>
        <v>416.83</v>
      </c>
      <c r="AF87">
        <v>26626.27</v>
      </c>
      <c r="AG87" s="9">
        <v>6608.24</v>
      </c>
      <c r="AH87">
        <v>11366.56</v>
      </c>
      <c r="AI87">
        <v>1013.37</v>
      </c>
      <c r="AJ87">
        <v>1273.26</v>
      </c>
    </row>
    <row r="88" spans="1:36" x14ac:dyDescent="0.3">
      <c r="A88" s="2">
        <v>40769</v>
      </c>
      <c r="B88" s="3">
        <v>2825.38</v>
      </c>
      <c r="C88" s="4">
        <v>52448</v>
      </c>
      <c r="D88" s="3">
        <v>4101.8999999999996</v>
      </c>
      <c r="E88" s="3">
        <v>10817.65</v>
      </c>
      <c r="F88" s="3">
        <v>12007.47</v>
      </c>
      <c r="G88" s="1">
        <v>651.70000000000005</v>
      </c>
      <c r="H88" s="3">
        <v>1123.53</v>
      </c>
      <c r="I88" s="3">
        <v>2341.84</v>
      </c>
      <c r="J88" s="3">
        <v>33136.89</v>
      </c>
      <c r="K88" s="1">
        <v>19822.53</v>
      </c>
      <c r="L88" s="3">
        <v>2252.4</v>
      </c>
      <c r="M88" s="3">
        <v>5480</v>
      </c>
      <c r="N88" s="6">
        <f>VLOOKUP(A88,'[1]俄罗斯交易系统市值加权指数历史数据 (1)'!$A:$B,2,)</f>
        <v>1575.33</v>
      </c>
      <c r="O88" s="3">
        <v>3016.99</v>
      </c>
      <c r="P88" s="1">
        <v>274.14999999999998</v>
      </c>
      <c r="Q88" s="3">
        <v>5093.75</v>
      </c>
      <c r="R88" s="1">
        <v>530.62</v>
      </c>
      <c r="S88" s="3">
        <v>8141.9</v>
      </c>
      <c r="T88" s="3">
        <v>5040.76</v>
      </c>
      <c r="U88" s="3">
        <v>2159.0700000000002</v>
      </c>
      <c r="V88" s="6">
        <f>VLOOKUP(A88,[2]韩国KOSPI指数历史数据!$A:$B,2,)</f>
        <v>1744.88</v>
      </c>
      <c r="W88" s="6">
        <f>VLOOKUP(A88,[3]日经225指数历史数据!$A:$B,2,)</f>
        <v>8719.24</v>
      </c>
      <c r="X88" s="3">
        <v>1065.18</v>
      </c>
      <c r="Y88" s="6">
        <f>VLOOKUP(A88,[4]上证指数历史数据!$A:$B,2,)</f>
        <v>2534.36</v>
      </c>
      <c r="Z88" s="6">
        <f>VLOOKUP(A88,[5]深证成份指数历史数据!$A:$B,2,)</f>
        <v>11301.53</v>
      </c>
      <c r="AA88" s="6">
        <f>VLOOKUP(A88,[6]台湾加权指数历史数据!$A:$B,2,)</f>
        <v>7342.96</v>
      </c>
      <c r="AB88" s="3">
        <v>19399.919999999998</v>
      </c>
      <c r="AC88" s="3">
        <v>2733.63</v>
      </c>
      <c r="AD88">
        <v>4845.6499999999996</v>
      </c>
      <c r="AE88" s="5">
        <f>VLOOKUP(A88,[7]越南VN30指数历史数据!$A:$B,2,)</f>
        <v>432.48</v>
      </c>
      <c r="AF88">
        <v>26145.279999999999</v>
      </c>
      <c r="AG88" s="9">
        <v>6823.09</v>
      </c>
      <c r="AH88">
        <v>11354.9</v>
      </c>
      <c r="AI88">
        <v>1009.01</v>
      </c>
      <c r="AJ88">
        <v>1274.3800000000001</v>
      </c>
    </row>
    <row r="89" spans="1:36" x14ac:dyDescent="0.3">
      <c r="A89" s="2">
        <v>40776</v>
      </c>
      <c r="B89" s="3">
        <v>2883.89</v>
      </c>
      <c r="C89" s="4">
        <v>53351</v>
      </c>
      <c r="D89" s="3">
        <v>4200</v>
      </c>
      <c r="E89" s="3">
        <v>11284.54</v>
      </c>
      <c r="F89" s="3">
        <v>12327.51</v>
      </c>
      <c r="G89" s="1">
        <v>691.79</v>
      </c>
      <c r="H89" s="3">
        <v>1176.8</v>
      </c>
      <c r="I89" s="3">
        <v>2479.85</v>
      </c>
      <c r="J89" s="3">
        <v>34042.22</v>
      </c>
      <c r="K89" s="1">
        <v>19778.32</v>
      </c>
      <c r="L89" s="3">
        <v>2313.3000000000002</v>
      </c>
      <c r="M89" s="3">
        <v>5537.48</v>
      </c>
      <c r="N89" s="6">
        <f>VLOOKUP(A89,'[1]俄罗斯交易系统市值加权指数历史数据 (1)'!$A:$B,2,)</f>
        <v>1596.17</v>
      </c>
      <c r="O89" s="3">
        <v>3087.64</v>
      </c>
      <c r="P89" s="1">
        <v>276.60000000000002</v>
      </c>
      <c r="Q89" s="3">
        <v>5323.12</v>
      </c>
      <c r="R89" s="1">
        <v>537.08000000000004</v>
      </c>
      <c r="S89" s="3">
        <v>8185.5</v>
      </c>
      <c r="T89" s="3">
        <v>5129.92</v>
      </c>
      <c r="U89" s="3">
        <v>2190.44</v>
      </c>
      <c r="V89" s="6">
        <f>VLOOKUP(A89,[2]韩国KOSPI指数历史数据!$A:$B,2,)</f>
        <v>1778.95</v>
      </c>
      <c r="W89" s="6">
        <f>VLOOKUP(A89,[3]日经225指数历史数据!$A:$B,2,)</f>
        <v>8797.7800000000007</v>
      </c>
      <c r="X89" s="3">
        <v>1088.8699999999999</v>
      </c>
      <c r="Y89" s="6">
        <f>VLOOKUP(A89,[4]上证指数历史数据!$A:$B,2,)</f>
        <v>2612.19</v>
      </c>
      <c r="Z89" s="6">
        <f>VLOOKUP(A89,[5]深证成份指数历史数据!$A:$B,2,)</f>
        <v>11568.17</v>
      </c>
      <c r="AA89" s="6">
        <f>VLOOKUP(A89,[6]台湾加权指数历史数据!$A:$B,2,)</f>
        <v>7445.1</v>
      </c>
      <c r="AB89" s="3">
        <v>19582.88</v>
      </c>
      <c r="AC89" s="3">
        <v>2748.18</v>
      </c>
      <c r="AD89">
        <v>4747.8</v>
      </c>
      <c r="AE89" s="5">
        <f>VLOOKUP(A89,[7]越南VN30指数历史数据!$A:$B,2,)</f>
        <v>438.82</v>
      </c>
      <c r="AF89">
        <v>26200.73</v>
      </c>
      <c r="AG89" s="9">
        <v>6738.08</v>
      </c>
      <c r="AH89">
        <v>11331.07</v>
      </c>
      <c r="AI89">
        <v>973.93</v>
      </c>
      <c r="AJ89">
        <v>1275.79</v>
      </c>
    </row>
    <row r="90" spans="1:36" x14ac:dyDescent="0.3">
      <c r="A90" s="2">
        <v>40783</v>
      </c>
      <c r="B90" s="3">
        <v>2872.11</v>
      </c>
      <c r="C90" s="4">
        <v>56532</v>
      </c>
      <c r="D90" s="3">
        <v>4242.8999999999996</v>
      </c>
      <c r="E90" s="3">
        <v>11240.26</v>
      </c>
      <c r="F90" s="3">
        <v>12602.41</v>
      </c>
      <c r="G90" s="1">
        <v>683.36</v>
      </c>
      <c r="H90" s="3">
        <v>1173.97</v>
      </c>
      <c r="I90" s="3">
        <v>2480.33</v>
      </c>
      <c r="J90" s="3">
        <v>35134.43</v>
      </c>
      <c r="K90" s="1">
        <v>20333.22</v>
      </c>
      <c r="L90" s="3">
        <v>2359.75</v>
      </c>
      <c r="M90" s="3">
        <v>5538.33</v>
      </c>
      <c r="N90" s="6">
        <f>VLOOKUP(A90,'[1]俄罗斯交易系统市值加权指数历史数据 (1)'!$A:$B,2,)</f>
        <v>1657.25</v>
      </c>
      <c r="O90" s="3">
        <v>3148.53</v>
      </c>
      <c r="P90" s="1">
        <v>286.43</v>
      </c>
      <c r="Q90" s="3">
        <v>5359.67</v>
      </c>
      <c r="R90" s="1">
        <v>553.75</v>
      </c>
      <c r="S90" s="3">
        <v>8463.5</v>
      </c>
      <c r="T90" s="3">
        <v>5292.03</v>
      </c>
      <c r="U90" s="3">
        <v>2220.7199999999998</v>
      </c>
      <c r="V90" s="6">
        <f>VLOOKUP(A90,[2]韩国KOSPI指数历史数据!$A:$B,2,)</f>
        <v>1867.75</v>
      </c>
      <c r="W90" s="6">
        <f>VLOOKUP(A90,[3]日经225指数历史数据!$A:$B,2,)</f>
        <v>8950.74</v>
      </c>
      <c r="X90" s="3">
        <v>1132.2</v>
      </c>
      <c r="Y90" s="6">
        <f>VLOOKUP(A90,[4]上证指数历史数据!$A:$B,2,)</f>
        <v>2528.2800000000002</v>
      </c>
      <c r="Z90" s="6">
        <f>VLOOKUP(A90,[5]深证成份指数历史数据!$A:$B,2,)</f>
        <v>11228.3</v>
      </c>
      <c r="AA90" s="6">
        <f>VLOOKUP(A90,[6]台湾加权指数历史数据!$A:$B,2,)</f>
        <v>7757.06</v>
      </c>
      <c r="AB90" s="3">
        <v>20212.91</v>
      </c>
      <c r="AC90" s="3">
        <v>2843.09</v>
      </c>
      <c r="AD90">
        <v>5040</v>
      </c>
      <c r="AE90" s="5">
        <f>VLOOKUP(A90,[7]越南VN30指数历史数据!$A:$B,2,)</f>
        <v>474.54</v>
      </c>
      <c r="AF90">
        <v>27179.73</v>
      </c>
      <c r="AG90" s="9">
        <v>6692.31</v>
      </c>
      <c r="AH90">
        <v>11613.62</v>
      </c>
      <c r="AI90">
        <v>954.34</v>
      </c>
      <c r="AJ90">
        <v>1279.01</v>
      </c>
    </row>
    <row r="91" spans="1:36" x14ac:dyDescent="0.3">
      <c r="A91" s="2">
        <v>40790</v>
      </c>
      <c r="B91" s="3">
        <v>2753.22</v>
      </c>
      <c r="C91" s="4">
        <v>55778</v>
      </c>
      <c r="D91" s="3">
        <v>4194.7</v>
      </c>
      <c r="E91" s="3">
        <v>10992.13</v>
      </c>
      <c r="F91" s="3">
        <v>12387.54</v>
      </c>
      <c r="G91" s="1">
        <v>673.96</v>
      </c>
      <c r="H91" s="3">
        <v>1154.23</v>
      </c>
      <c r="I91" s="3">
        <v>2467.9899999999998</v>
      </c>
      <c r="J91" s="3">
        <v>33812.620000000003</v>
      </c>
      <c r="K91" s="1">
        <v>19721.77</v>
      </c>
      <c r="L91" s="3">
        <v>2248.7399999999998</v>
      </c>
      <c r="M91" s="3">
        <v>5189.93</v>
      </c>
      <c r="N91" s="6">
        <f>VLOOKUP(A91,'[1]俄罗斯交易系统市值加权指数历史数据 (1)'!$A:$B,2,)</f>
        <v>1625.29</v>
      </c>
      <c r="O91" s="3">
        <v>2974.59</v>
      </c>
      <c r="P91" s="1">
        <v>276.10000000000002</v>
      </c>
      <c r="Q91" s="3">
        <v>5430.77</v>
      </c>
      <c r="R91" s="1">
        <v>559.03</v>
      </c>
      <c r="S91" s="3">
        <v>7910.2</v>
      </c>
      <c r="T91" s="3">
        <v>5214.6499999999996</v>
      </c>
      <c r="U91" s="3">
        <v>2073.67</v>
      </c>
      <c r="V91" s="6">
        <f>VLOOKUP(A91,[2]韩国KOSPI指数历史数据!$A:$B,2,)</f>
        <v>1812.93</v>
      </c>
      <c r="W91" s="6">
        <f>VLOOKUP(A91,[3]日经225指数历史数据!$A:$B,2,)</f>
        <v>8737.66</v>
      </c>
      <c r="X91" s="3">
        <v>1062.78</v>
      </c>
      <c r="Y91" s="6">
        <f>VLOOKUP(A91,[4]上证指数历史数据!$A:$B,2,)</f>
        <v>2497.75</v>
      </c>
      <c r="Z91" s="6">
        <f>VLOOKUP(A91,[5]深证成份指数历史数据!$A:$B,2,)</f>
        <v>10892.39</v>
      </c>
      <c r="AA91" s="6">
        <f>VLOOKUP(A91,[6]台湾加权指数历史数据!$A:$B,2,)</f>
        <v>7610.57</v>
      </c>
      <c r="AB91" s="3">
        <v>19866.63</v>
      </c>
      <c r="AC91" s="3">
        <v>2825.1</v>
      </c>
      <c r="AD91">
        <v>5059.45</v>
      </c>
      <c r="AE91" s="5">
        <f>VLOOKUP(A91,[7]越南VN30指数历史数据!$A:$B,2,)</f>
        <v>491.1</v>
      </c>
      <c r="AF91">
        <v>27114.18</v>
      </c>
      <c r="AG91" s="9">
        <v>6859.47</v>
      </c>
      <c r="AH91">
        <v>11534.78</v>
      </c>
      <c r="AI91">
        <v>943.68</v>
      </c>
      <c r="AJ91">
        <v>1283.77</v>
      </c>
    </row>
    <row r="92" spans="1:36" x14ac:dyDescent="0.3">
      <c r="A92" s="2">
        <v>40797</v>
      </c>
      <c r="B92" s="3">
        <v>2750.33</v>
      </c>
      <c r="C92" s="4">
        <v>57210</v>
      </c>
      <c r="D92" s="3">
        <v>4149.3999999999996</v>
      </c>
      <c r="E92" s="3">
        <v>11509.09</v>
      </c>
      <c r="F92" s="3">
        <v>12263.71</v>
      </c>
      <c r="G92" s="1">
        <v>714.31</v>
      </c>
      <c r="H92" s="3">
        <v>1216.01</v>
      </c>
      <c r="I92" s="3">
        <v>2622.31</v>
      </c>
      <c r="J92" s="3">
        <v>35181.440000000002</v>
      </c>
      <c r="K92" s="1">
        <v>19504.91</v>
      </c>
      <c r="L92" s="3">
        <v>2298.52</v>
      </c>
      <c r="M92" s="3">
        <v>5573.51</v>
      </c>
      <c r="N92" s="6">
        <f>VLOOKUP(A92,'[1]俄罗斯交易系统市值加权指数历史数据 (1)'!$A:$B,2,)</f>
        <v>1574.94</v>
      </c>
      <c r="O92" s="3">
        <v>3031.08</v>
      </c>
      <c r="P92" s="1">
        <v>281.73</v>
      </c>
      <c r="Q92" s="3">
        <v>5452.88</v>
      </c>
      <c r="R92" s="1">
        <v>578.97</v>
      </c>
      <c r="S92" s="3">
        <v>8388.4</v>
      </c>
      <c r="T92" s="3">
        <v>5368.41</v>
      </c>
      <c r="U92" s="3">
        <v>2159.2800000000002</v>
      </c>
      <c r="V92" s="6">
        <f>VLOOKUP(A92,[2]韩国KOSPI指数历史数据!$A:$B,2,)</f>
        <v>1840.1</v>
      </c>
      <c r="W92" s="6">
        <f>VLOOKUP(A92,[3]日经225指数历史数据!$A:$B,2,)</f>
        <v>8864.16</v>
      </c>
      <c r="X92" s="3">
        <v>1056.83</v>
      </c>
      <c r="Y92" s="6">
        <f>VLOOKUP(A92,[4]上证指数历史数据!$A:$B,2,)</f>
        <v>2482.34</v>
      </c>
      <c r="Z92" s="6">
        <f>VLOOKUP(A92,[5]深证成份指数历史数据!$A:$B,2,)</f>
        <v>10878.23</v>
      </c>
      <c r="AA92" s="6">
        <f>VLOOKUP(A92,[6]台湾加权指数历史数据!$A:$B,2,)</f>
        <v>7577.4</v>
      </c>
      <c r="AB92" s="3">
        <v>19455.310000000001</v>
      </c>
      <c r="AC92" s="3">
        <v>2789.04</v>
      </c>
      <c r="AD92">
        <v>5084.25</v>
      </c>
      <c r="AE92" s="5">
        <f>VLOOKUP(A92,[7]越南VN30指数历史数据!$A:$B,2,)</f>
        <v>476.16</v>
      </c>
      <c r="AF92">
        <v>27726.22</v>
      </c>
      <c r="AG92" s="9">
        <v>6278.04</v>
      </c>
      <c r="AH92">
        <v>11433.03</v>
      </c>
      <c r="AI92">
        <v>944.57</v>
      </c>
      <c r="AJ92">
        <v>1286.69</v>
      </c>
    </row>
    <row r="93" spans="1:36" x14ac:dyDescent="0.3">
      <c r="A93" s="2">
        <v>40804</v>
      </c>
      <c r="B93" s="3">
        <v>2482.63</v>
      </c>
      <c r="C93" s="4">
        <v>53230</v>
      </c>
      <c r="D93" s="3">
        <v>3903.2</v>
      </c>
      <c r="E93" s="3">
        <v>10771.48</v>
      </c>
      <c r="F93" s="3">
        <v>11462.87</v>
      </c>
      <c r="G93" s="1">
        <v>652.42999999999995</v>
      </c>
      <c r="H93" s="3">
        <v>1136.43</v>
      </c>
      <c r="I93" s="3">
        <v>2483.23</v>
      </c>
      <c r="J93" s="3">
        <v>32588.43</v>
      </c>
      <c r="K93" s="1">
        <v>18385.36</v>
      </c>
      <c r="L93" s="3">
        <v>2101.23</v>
      </c>
      <c r="M93" s="3">
        <v>5196.5600000000004</v>
      </c>
      <c r="N93" s="6">
        <f>VLOOKUP(A93,'[1]俄罗斯交易系统市值加权指数历史数据 (1)'!$A:$B,2,)</f>
        <v>1315.95</v>
      </c>
      <c r="O93" s="3">
        <v>2810.11</v>
      </c>
      <c r="P93" s="1">
        <v>264.72000000000003</v>
      </c>
      <c r="Q93" s="3">
        <v>5298.83</v>
      </c>
      <c r="R93" s="1">
        <v>563.23</v>
      </c>
      <c r="S93" s="3">
        <v>7996.9</v>
      </c>
      <c r="T93" s="3">
        <v>5066.8100000000004</v>
      </c>
      <c r="U93" s="3">
        <v>2026.03</v>
      </c>
      <c r="V93" s="6">
        <f>VLOOKUP(A93,[2]韩国KOSPI指数历史数据!$A:$B,2,)</f>
        <v>1697.44</v>
      </c>
      <c r="W93" s="6">
        <f>VLOOKUP(A93,[3]日经225指数历史数据!$A:$B,2,)</f>
        <v>8560.26</v>
      </c>
      <c r="X93" s="3">
        <v>1038.9100000000001</v>
      </c>
      <c r="Y93" s="6">
        <f>VLOOKUP(A93,[4]上证指数历史数据!$A:$B,2,)</f>
        <v>2433.16</v>
      </c>
      <c r="Z93" s="6">
        <f>VLOOKUP(A93,[5]深证成份指数历史数据!$A:$B,2,)</f>
        <v>10538.4</v>
      </c>
      <c r="AA93" s="6">
        <f>VLOOKUP(A93,[6]台湾加权指数历史数据!$A:$B,2,)</f>
        <v>7046.22</v>
      </c>
      <c r="AB93" s="3">
        <v>17668.830000000002</v>
      </c>
      <c r="AC93" s="3">
        <v>2698.8</v>
      </c>
      <c r="AD93">
        <v>4867.75</v>
      </c>
      <c r="AE93" s="5">
        <f>VLOOKUP(A93,[7]越南VN30指数历史数据!$A:$B,2,)</f>
        <v>469.09</v>
      </c>
      <c r="AF93">
        <v>26834.39</v>
      </c>
      <c r="AG93" s="9">
        <v>6231.81</v>
      </c>
      <c r="AH93">
        <v>11393.84</v>
      </c>
      <c r="AI93">
        <v>901.93</v>
      </c>
      <c r="AJ93">
        <v>1285.8</v>
      </c>
    </row>
    <row r="94" spans="1:36" x14ac:dyDescent="0.3">
      <c r="A94" s="2">
        <v>40811</v>
      </c>
      <c r="B94" s="3">
        <v>2463.63</v>
      </c>
      <c r="C94" s="4">
        <v>52324</v>
      </c>
      <c r="D94" s="3">
        <v>4008.6</v>
      </c>
      <c r="E94" s="3">
        <v>10913.38</v>
      </c>
      <c r="F94" s="3">
        <v>11623.84</v>
      </c>
      <c r="G94" s="1">
        <v>644.16</v>
      </c>
      <c r="H94" s="3">
        <v>1131.42</v>
      </c>
      <c r="I94" s="3">
        <v>2415.4</v>
      </c>
      <c r="J94" s="3">
        <v>33503.279999999999</v>
      </c>
      <c r="K94" s="1">
        <v>18796.89</v>
      </c>
      <c r="L94" s="3">
        <v>2188.73</v>
      </c>
      <c r="M94" s="3">
        <v>5502.02</v>
      </c>
      <c r="N94" s="6">
        <f>VLOOKUP(A94,'[1]俄罗斯交易系统市值加权指数历史数据 (1)'!$A:$B,2,)</f>
        <v>1341.09</v>
      </c>
      <c r="O94" s="3">
        <v>2981.96</v>
      </c>
      <c r="P94" s="1">
        <v>280.18</v>
      </c>
      <c r="Q94" s="3">
        <v>5531.74</v>
      </c>
      <c r="R94" s="1">
        <v>596.92999999999995</v>
      </c>
      <c r="S94" s="3">
        <v>8546.6</v>
      </c>
      <c r="T94" s="3">
        <v>5128.4799999999996</v>
      </c>
      <c r="U94" s="3">
        <v>2179.66</v>
      </c>
      <c r="V94" s="6">
        <f>VLOOKUP(A94,[2]韩国KOSPI指数历史数据!$A:$B,2,)</f>
        <v>1769.65</v>
      </c>
      <c r="W94" s="6">
        <f>VLOOKUP(A94,[3]日经225指数历史数据!$A:$B,2,)</f>
        <v>8700.2900000000009</v>
      </c>
      <c r="X94" s="3">
        <v>1077.79</v>
      </c>
      <c r="Y94" s="6">
        <f>VLOOKUP(A94,[4]上证指数历史数据!$A:$B,2,)</f>
        <v>2359.2199999999998</v>
      </c>
      <c r="Z94" s="6">
        <f>VLOOKUP(A94,[5]深证成份指数历史数据!$A:$B,2,)</f>
        <v>10292.33</v>
      </c>
      <c r="AA94" s="6">
        <f>VLOOKUP(A94,[6]台湾加权指数历史数据!$A:$B,2,)</f>
        <v>7225.38</v>
      </c>
      <c r="AB94" s="3">
        <v>17592.41</v>
      </c>
      <c r="AC94" s="3">
        <v>2675.16</v>
      </c>
      <c r="AD94">
        <v>4943.25</v>
      </c>
      <c r="AE94" s="5">
        <f>VLOOKUP(A94,[7]越南VN30指数历史数据!$A:$B,2,)</f>
        <v>455.97</v>
      </c>
      <c r="AF94">
        <v>26375.82</v>
      </c>
      <c r="AG94" s="9">
        <v>5977.67</v>
      </c>
      <c r="AH94">
        <v>11467.63</v>
      </c>
      <c r="AI94">
        <v>912.71</v>
      </c>
      <c r="AJ94">
        <v>1286.71</v>
      </c>
    </row>
    <row r="95" spans="1:36" x14ac:dyDescent="0.3">
      <c r="A95" s="2">
        <v>40818</v>
      </c>
      <c r="B95" s="3">
        <v>2325.9499999999998</v>
      </c>
      <c r="C95" s="4">
        <v>51244</v>
      </c>
      <c r="D95" s="3">
        <v>4162.8999999999996</v>
      </c>
      <c r="E95" s="3">
        <v>11103.12</v>
      </c>
      <c r="F95" s="3">
        <v>11588.36</v>
      </c>
      <c r="G95" s="1">
        <v>656.21</v>
      </c>
      <c r="H95" s="3">
        <v>1155.46</v>
      </c>
      <c r="I95" s="3">
        <v>2479.35</v>
      </c>
      <c r="J95" s="3">
        <v>33005.089999999997</v>
      </c>
      <c r="K95" s="1">
        <v>18660.68</v>
      </c>
      <c r="L95" s="3">
        <v>2190.35</v>
      </c>
      <c r="M95" s="3">
        <v>5675.7</v>
      </c>
      <c r="N95" s="6">
        <f>VLOOKUP(A95,'[1]俄罗斯交易系统市值加权指数历史数据 (1)'!$A:$B,2,)</f>
        <v>1311.91</v>
      </c>
      <c r="O95" s="3">
        <v>3095.56</v>
      </c>
      <c r="P95" s="1">
        <v>288.31</v>
      </c>
      <c r="Q95" s="3">
        <v>5652.23</v>
      </c>
      <c r="R95" s="1">
        <v>573.39</v>
      </c>
      <c r="S95" s="3">
        <v>8798.4</v>
      </c>
      <c r="T95" s="3">
        <v>5303.4</v>
      </c>
      <c r="U95" s="3">
        <v>2269.19</v>
      </c>
      <c r="V95" s="6">
        <f>VLOOKUP(A95,[2]韩国KOSPI指数历史数据!$A:$B,2,)</f>
        <v>1759.77</v>
      </c>
      <c r="W95" s="6">
        <f>VLOOKUP(A95,[3]日经225指数历史数据!$A:$B,2,)</f>
        <v>8605.6200000000008</v>
      </c>
      <c r="X95" s="3">
        <v>1049.92</v>
      </c>
      <c r="Y95" s="6" t="e">
        <f>VLOOKUP(A95,[4]上证指数历史数据!$A:$B,2,)</f>
        <v>#N/A</v>
      </c>
      <c r="Z95" s="6" t="e">
        <f>VLOOKUP(A95,[5]深证成份指数历史数据!$A:$B,2,)</f>
        <v>#N/A</v>
      </c>
      <c r="AA95" s="6">
        <f>VLOOKUP(A95,[6]台湾加权指数历史数据!$A:$B,2,)</f>
        <v>7211.96</v>
      </c>
      <c r="AB95" s="3">
        <v>17707.009999999998</v>
      </c>
      <c r="AC95" s="3">
        <v>2640.3</v>
      </c>
      <c r="AD95">
        <v>4888.05</v>
      </c>
      <c r="AE95" s="5">
        <f>VLOOKUP(A95,[7]越南VN30指数历史数据!$A:$B,2,)</f>
        <v>446.3</v>
      </c>
      <c r="AF95">
        <v>27001.46</v>
      </c>
      <c r="AG95" s="9">
        <v>5726.06</v>
      </c>
      <c r="AH95">
        <v>11374.16</v>
      </c>
      <c r="AI95">
        <v>893.34</v>
      </c>
      <c r="AJ95">
        <v>1297.27</v>
      </c>
    </row>
    <row r="96" spans="1:36" x14ac:dyDescent="0.3">
      <c r="A96" s="2">
        <v>40825</v>
      </c>
      <c r="B96" s="3">
        <v>2717.05</v>
      </c>
      <c r="C96" s="4">
        <v>55030</v>
      </c>
      <c r="D96" s="3">
        <v>4205.6000000000004</v>
      </c>
      <c r="E96" s="3">
        <v>11644.49</v>
      </c>
      <c r="F96" s="3">
        <v>12081.73</v>
      </c>
      <c r="G96" s="1">
        <v>712.46</v>
      </c>
      <c r="H96" s="3">
        <v>1224.58</v>
      </c>
      <c r="I96" s="3">
        <v>2667.85</v>
      </c>
      <c r="J96" s="3">
        <v>34848.42</v>
      </c>
      <c r="K96" s="1">
        <v>19233.73</v>
      </c>
      <c r="L96" s="3">
        <v>2300.65</v>
      </c>
      <c r="M96" s="3">
        <v>5967.2</v>
      </c>
      <c r="N96" s="6">
        <f>VLOOKUP(A96,'[1]俄罗斯交易系统市值加权指数历史数据 (1)'!$A:$B,2,)</f>
        <v>1449.28</v>
      </c>
      <c r="O96" s="3">
        <v>3217.89</v>
      </c>
      <c r="P96" s="1">
        <v>302.41000000000003</v>
      </c>
      <c r="Q96" s="3">
        <v>5761.12</v>
      </c>
      <c r="R96" s="1">
        <v>593</v>
      </c>
      <c r="S96" s="3">
        <v>8975.5</v>
      </c>
      <c r="T96" s="3">
        <v>5466.36</v>
      </c>
      <c r="U96" s="3">
        <v>2355.48</v>
      </c>
      <c r="V96" s="6">
        <f>VLOOKUP(A96,[2]韩国KOSPI指数历史数据!$A:$B,2,)</f>
        <v>1835.4</v>
      </c>
      <c r="W96" s="6">
        <f>VLOOKUP(A96,[3]日经225指数历史数据!$A:$B,2,)</f>
        <v>8747.9599999999991</v>
      </c>
      <c r="X96" s="3">
        <v>1084.73</v>
      </c>
      <c r="Y96" s="6">
        <f>VLOOKUP(A96,[4]上证指数历史数据!$A:$B,2,)</f>
        <v>2431.37</v>
      </c>
      <c r="Z96" s="6">
        <f>VLOOKUP(A96,[5]深证成份指数历史数据!$A:$B,2,)</f>
        <v>10438.26</v>
      </c>
      <c r="AA96" s="6">
        <f>VLOOKUP(A96,[6]台湾加权指数历史数据!$A:$B,2,)</f>
        <v>7358.08</v>
      </c>
      <c r="AB96" s="3">
        <v>18501.79</v>
      </c>
      <c r="AC96" s="3">
        <v>2744.17</v>
      </c>
      <c r="AD96">
        <v>5132.3</v>
      </c>
      <c r="AE96" s="5">
        <f>VLOOKUP(A96,[7]越南VN30指数历史数据!$A:$B,2,)</f>
        <v>440.96</v>
      </c>
      <c r="AF96">
        <v>27839.759999999998</v>
      </c>
      <c r="AG96" s="9">
        <v>5962.85</v>
      </c>
      <c r="AH96">
        <v>11546.68</v>
      </c>
      <c r="AI96">
        <v>880.64</v>
      </c>
      <c r="AJ96">
        <v>1305.9100000000001</v>
      </c>
    </row>
    <row r="97" spans="1:36" x14ac:dyDescent="0.3">
      <c r="A97" s="2">
        <v>40832</v>
      </c>
      <c r="B97" s="3">
        <v>2797.53</v>
      </c>
      <c r="C97" s="4">
        <v>55255</v>
      </c>
      <c r="D97" s="3">
        <v>4141.8999999999996</v>
      </c>
      <c r="E97" s="3">
        <v>11808.79</v>
      </c>
      <c r="F97" s="3">
        <v>11949.49</v>
      </c>
      <c r="G97" s="1">
        <v>712.42</v>
      </c>
      <c r="H97" s="3">
        <v>1238.25</v>
      </c>
      <c r="I97" s="3">
        <v>2637.46</v>
      </c>
      <c r="J97" s="3">
        <v>35020.74</v>
      </c>
      <c r="K97" s="1">
        <v>19830.740000000002</v>
      </c>
      <c r="L97" s="3">
        <v>2305.42</v>
      </c>
      <c r="M97" s="3">
        <v>5970.96</v>
      </c>
      <c r="N97" s="6">
        <f>VLOOKUP(A97,'[1]俄罗斯交易系统市值加权指数历史数据 (1)'!$A:$B,2,)</f>
        <v>1456.73</v>
      </c>
      <c r="O97" s="3">
        <v>3171.34</v>
      </c>
      <c r="P97" s="1">
        <v>305.7</v>
      </c>
      <c r="Q97" s="3">
        <v>5753.52</v>
      </c>
      <c r="R97" s="1">
        <v>567.91999999999996</v>
      </c>
      <c r="S97" s="3">
        <v>8853</v>
      </c>
      <c r="T97" s="3">
        <v>5488.65</v>
      </c>
      <c r="U97" s="3">
        <v>2337.5100000000002</v>
      </c>
      <c r="V97" s="6">
        <f>VLOOKUP(A97,[2]韩国KOSPI指数历史数据!$A:$B,2,)</f>
        <v>1838.38</v>
      </c>
      <c r="W97" s="6">
        <f>VLOOKUP(A97,[3]日经225指数历史数据!$A:$B,2,)</f>
        <v>8678.89</v>
      </c>
      <c r="X97" s="3">
        <v>1122.6199999999999</v>
      </c>
      <c r="Y97" s="6">
        <f>VLOOKUP(A97,[4]上证指数历史数据!$A:$B,2,)</f>
        <v>2317.2800000000002</v>
      </c>
      <c r="Z97" s="6">
        <f>VLOOKUP(A97,[5]深证成份指数历史数据!$A:$B,2,)</f>
        <v>9697.2099999999991</v>
      </c>
      <c r="AA97" s="6">
        <f>VLOOKUP(A97,[6]台湾加权指数历史数据!$A:$B,2,)</f>
        <v>7254.51</v>
      </c>
      <c r="AB97" s="3">
        <v>18025.72</v>
      </c>
      <c r="AC97" s="3">
        <v>2712.41</v>
      </c>
      <c r="AD97">
        <v>5049.95</v>
      </c>
      <c r="AE97" s="5">
        <f>VLOOKUP(A97,[7]越南VN30指数历史数据!$A:$B,2,)</f>
        <v>434.01</v>
      </c>
      <c r="AF97">
        <v>28165.61</v>
      </c>
      <c r="AG97" s="9">
        <v>6122.62</v>
      </c>
      <c r="AH97">
        <v>11381.58</v>
      </c>
      <c r="AI97">
        <v>899.96</v>
      </c>
      <c r="AJ97">
        <v>1305.99</v>
      </c>
    </row>
    <row r="98" spans="1:36" x14ac:dyDescent="0.3">
      <c r="A98" s="2">
        <v>40839</v>
      </c>
      <c r="B98" s="3">
        <v>3015.22</v>
      </c>
      <c r="C98" s="4">
        <v>59513</v>
      </c>
      <c r="D98" s="3">
        <v>4353.3</v>
      </c>
      <c r="E98" s="3">
        <v>12231.11</v>
      </c>
      <c r="F98" s="3">
        <v>12519.51</v>
      </c>
      <c r="G98" s="1">
        <v>761</v>
      </c>
      <c r="H98" s="3">
        <v>1285.0899999999999</v>
      </c>
      <c r="I98" s="3">
        <v>2737.15</v>
      </c>
      <c r="J98" s="3">
        <v>36708.639999999999</v>
      </c>
      <c r="K98" s="1">
        <v>20711.29</v>
      </c>
      <c r="L98" s="3">
        <v>2409.3000000000002</v>
      </c>
      <c r="M98" s="3">
        <v>6346.19</v>
      </c>
      <c r="N98" s="6">
        <f>VLOOKUP(A98,'[1]俄罗斯交易系统市值加权指数历史数据 (1)'!$A:$B,2,)</f>
        <v>1610.32</v>
      </c>
      <c r="O98" s="3">
        <v>3348.63</v>
      </c>
      <c r="P98" s="1">
        <v>313.01</v>
      </c>
      <c r="Q98" s="3">
        <v>5852.66</v>
      </c>
      <c r="R98" s="1">
        <v>570.41999999999996</v>
      </c>
      <c r="S98" s="3">
        <v>9224.4</v>
      </c>
      <c r="T98" s="3">
        <v>5702.24</v>
      </c>
      <c r="U98" s="3">
        <v>2462.36</v>
      </c>
      <c r="V98" s="6">
        <f>VLOOKUP(A98,[2]韩国KOSPI指数历史数据!$A:$B,2,)</f>
        <v>1929.48</v>
      </c>
      <c r="W98" s="6">
        <f>VLOOKUP(A98,[3]日经225指数历史数据!$A:$B,2,)</f>
        <v>9050.4699999999993</v>
      </c>
      <c r="X98" s="3">
        <v>1168.52</v>
      </c>
      <c r="Y98" s="6">
        <f>VLOOKUP(A98,[4]上证指数历史数据!$A:$B,2,)</f>
        <v>2473.41</v>
      </c>
      <c r="Z98" s="6">
        <f>VLOOKUP(A98,[5]深证成份指数历史数据!$A:$B,2,)</f>
        <v>10561.99</v>
      </c>
      <c r="AA98" s="6">
        <f>VLOOKUP(A98,[6]台湾加权指数历史数据!$A:$B,2,)</f>
        <v>7616.06</v>
      </c>
      <c r="AB98" s="3">
        <v>20019.240000000002</v>
      </c>
      <c r="AC98" s="3">
        <v>2905.72</v>
      </c>
      <c r="AD98">
        <v>5360.7</v>
      </c>
      <c r="AE98" s="5">
        <f>VLOOKUP(A98,[7]越南VN30指数历史数据!$A:$B,2,)</f>
        <v>447.44</v>
      </c>
      <c r="AF98">
        <v>29566.799999999999</v>
      </c>
      <c r="AG98" s="9">
        <v>6204.78</v>
      </c>
      <c r="AH98">
        <v>11279.06</v>
      </c>
      <c r="AI98">
        <v>930.43</v>
      </c>
      <c r="AJ98">
        <v>1303.69</v>
      </c>
    </row>
    <row r="99" spans="1:36" x14ac:dyDescent="0.3">
      <c r="A99" s="2">
        <v>40846</v>
      </c>
      <c r="B99" s="3">
        <v>2761.36</v>
      </c>
      <c r="C99" s="4">
        <v>58670</v>
      </c>
      <c r="D99" s="3">
        <v>4281.1000000000004</v>
      </c>
      <c r="E99" s="3">
        <v>11983.24</v>
      </c>
      <c r="F99" s="3">
        <v>12408.25</v>
      </c>
      <c r="G99" s="1">
        <v>746.49</v>
      </c>
      <c r="H99" s="3">
        <v>1253.23</v>
      </c>
      <c r="I99" s="3">
        <v>2686.15</v>
      </c>
      <c r="J99" s="3">
        <v>36689.379999999997</v>
      </c>
      <c r="K99" s="1">
        <v>20506.689999999999</v>
      </c>
      <c r="L99" s="3">
        <v>2362.7199999999998</v>
      </c>
      <c r="M99" s="3">
        <v>5966.16</v>
      </c>
      <c r="N99" s="6">
        <f>VLOOKUP(A99,'[1]俄罗斯交易系统市值加权指数历史数据 (1)'!$A:$B,2,)</f>
        <v>1542.39</v>
      </c>
      <c r="O99" s="3">
        <v>3123.55</v>
      </c>
      <c r="P99" s="1">
        <v>301.97000000000003</v>
      </c>
      <c r="Q99" s="3">
        <v>5659.83</v>
      </c>
      <c r="R99" s="1">
        <v>561.79999999999995</v>
      </c>
      <c r="S99" s="3">
        <v>8596.4</v>
      </c>
      <c r="T99" s="3">
        <v>5527.16</v>
      </c>
      <c r="U99" s="3">
        <v>2291.4699999999998</v>
      </c>
      <c r="V99" s="6">
        <f>VLOOKUP(A99,[2]韩国KOSPI指数历史数据!$A:$B,2,)</f>
        <v>1928.41</v>
      </c>
      <c r="W99" s="6">
        <f>VLOOKUP(A99,[3]日经225指数历史数据!$A:$B,2,)</f>
        <v>8801.4</v>
      </c>
      <c r="X99" s="3">
        <v>1106.52</v>
      </c>
      <c r="Y99" s="6">
        <f>VLOOKUP(A99,[4]上证指数历史数据!$A:$B,2,)</f>
        <v>2528.29</v>
      </c>
      <c r="Z99" s="6">
        <f>VLOOKUP(A99,[5]深证成份指数历史数据!$A:$B,2,)</f>
        <v>10699.49</v>
      </c>
      <c r="AA99" s="6">
        <f>VLOOKUP(A99,[6]台湾加权指数历史数据!$A:$B,2,)</f>
        <v>7603.23</v>
      </c>
      <c r="AB99" s="3">
        <v>19842.79</v>
      </c>
      <c r="AC99" s="3">
        <v>2848.24</v>
      </c>
      <c r="AD99">
        <v>5284.2</v>
      </c>
      <c r="AE99" s="5">
        <f>VLOOKUP(A99,[7]越南VN30指数历史数据!$A:$B,2,)</f>
        <v>436.72</v>
      </c>
      <c r="AF99">
        <v>28553.599999999999</v>
      </c>
      <c r="AG99" s="9">
        <v>6316.71</v>
      </c>
      <c r="AH99">
        <v>11255.72</v>
      </c>
      <c r="AI99">
        <v>901.89</v>
      </c>
      <c r="AJ99">
        <v>1303.8399999999999</v>
      </c>
    </row>
    <row r="100" spans="1:36" x14ac:dyDescent="0.3">
      <c r="A100" s="2">
        <v>40853</v>
      </c>
      <c r="B100" s="3">
        <v>2751.67</v>
      </c>
      <c r="C100" s="4">
        <v>58547</v>
      </c>
      <c r="D100" s="3">
        <v>4296.5</v>
      </c>
      <c r="E100" s="3">
        <v>12153.68</v>
      </c>
      <c r="F100" s="3">
        <v>12276.85</v>
      </c>
      <c r="G100" s="1">
        <v>744.64</v>
      </c>
      <c r="H100" s="3">
        <v>1263.8499999999999</v>
      </c>
      <c r="I100" s="3">
        <v>2678.75</v>
      </c>
      <c r="J100" s="3">
        <v>37555.65</v>
      </c>
      <c r="K100" s="1">
        <v>20759.75</v>
      </c>
      <c r="L100" s="3">
        <v>2288.44</v>
      </c>
      <c r="M100" s="3">
        <v>6057.03</v>
      </c>
      <c r="N100" s="6">
        <f>VLOOKUP(A100,'[1]俄罗斯交易系统市值加权指数历史数据 (1)'!$A:$B,2,)</f>
        <v>1530.7</v>
      </c>
      <c r="O100" s="3">
        <v>3149.38</v>
      </c>
      <c r="P100" s="1">
        <v>300.98</v>
      </c>
      <c r="Q100" s="3">
        <v>5649.03</v>
      </c>
      <c r="R100" s="1">
        <v>562.01</v>
      </c>
      <c r="S100" s="3">
        <v>8556.1</v>
      </c>
      <c r="T100" s="3">
        <v>5545.38</v>
      </c>
      <c r="U100" s="3">
        <v>2324.81</v>
      </c>
      <c r="V100" s="6">
        <f>VLOOKUP(A100,[2]韩国KOSPI指数历史数据!$A:$B,2,)</f>
        <v>1863.45</v>
      </c>
      <c r="W100" s="6">
        <f>VLOOKUP(A100,[3]日经225指数历史数据!$A:$B,2,)</f>
        <v>8514.4699999999993</v>
      </c>
      <c r="X100" s="3">
        <v>1105.8399999999999</v>
      </c>
      <c r="Y100" s="6">
        <f>VLOOKUP(A100,[4]上证指数历史数据!$A:$B,2,)</f>
        <v>2481.08</v>
      </c>
      <c r="Z100" s="6">
        <f>VLOOKUP(A100,[5]深证成份指数历史数据!$A:$B,2,)</f>
        <v>10418.93</v>
      </c>
      <c r="AA100" s="6">
        <f>VLOOKUP(A100,[6]台湾加权指数历史数据!$A:$B,2,)</f>
        <v>7367.29</v>
      </c>
      <c r="AB100" s="3">
        <v>19137.169999999998</v>
      </c>
      <c r="AC100" s="3">
        <v>2790.94</v>
      </c>
      <c r="AD100">
        <v>5168.8500000000004</v>
      </c>
      <c r="AE100" s="5">
        <f>VLOOKUP(A100,[7]越南VN30指数历史数据!$A:$B,2,)</f>
        <v>422.14</v>
      </c>
      <c r="AF100">
        <v>28888.5</v>
      </c>
      <c r="AG100" s="9">
        <v>6260.55</v>
      </c>
      <c r="AH100">
        <v>11225.12</v>
      </c>
      <c r="AI100">
        <v>895.64</v>
      </c>
      <c r="AJ100">
        <v>1303.7</v>
      </c>
    </row>
    <row r="101" spans="1:36" x14ac:dyDescent="0.3">
      <c r="A101" s="2">
        <v>40860</v>
      </c>
      <c r="B101" s="3">
        <v>2528.04</v>
      </c>
      <c r="C101" s="4">
        <v>56731</v>
      </c>
      <c r="D101" s="3">
        <v>4177</v>
      </c>
      <c r="E101" s="3">
        <v>11796.16</v>
      </c>
      <c r="F101" s="3">
        <v>11892.44</v>
      </c>
      <c r="G101" s="1">
        <v>719.42</v>
      </c>
      <c r="H101" s="3">
        <v>1215.6500000000001</v>
      </c>
      <c r="I101" s="3">
        <v>2572.5</v>
      </c>
      <c r="J101" s="3">
        <v>36284.199999999997</v>
      </c>
      <c r="K101" s="1">
        <v>20480.900000000001</v>
      </c>
      <c r="L101" s="3">
        <v>2239.88</v>
      </c>
      <c r="M101" s="3">
        <v>5800.24</v>
      </c>
      <c r="N101" s="6">
        <f>VLOOKUP(A101,'[1]俄罗斯交易系统市值加权指数历史数据 (1)'!$A:$B,2,)</f>
        <v>1495.87</v>
      </c>
      <c r="O101" s="3">
        <v>2997.01</v>
      </c>
      <c r="P101" s="1">
        <v>288.01</v>
      </c>
      <c r="Q101" s="3">
        <v>5614.61</v>
      </c>
      <c r="R101" s="1">
        <v>544.74</v>
      </c>
      <c r="S101" s="3">
        <v>8310.1</v>
      </c>
      <c r="T101" s="3">
        <v>5362.94</v>
      </c>
      <c r="U101" s="3">
        <v>2236.6799999999998</v>
      </c>
      <c r="V101" s="6">
        <f>VLOOKUP(A101,[2]韩国KOSPI指数历史数据!$A:$B,2,)</f>
        <v>1839.17</v>
      </c>
      <c r="W101" s="6">
        <f>VLOOKUP(A101,[3]日经225指数历史数据!$A:$B,2,)</f>
        <v>8374.91</v>
      </c>
      <c r="X101" s="3">
        <v>1103.68</v>
      </c>
      <c r="Y101" s="6">
        <f>VLOOKUP(A101,[4]上证指数历史数据!$A:$B,2,)</f>
        <v>2416.56</v>
      </c>
      <c r="Z101" s="6">
        <f>VLOOKUP(A101,[5]深证成份指数历史数据!$A:$B,2,)</f>
        <v>10025.17</v>
      </c>
      <c r="AA101" s="6">
        <f>VLOOKUP(A101,[6]台湾加权指数历史数据!$A:$B,2,)</f>
        <v>7233.78</v>
      </c>
      <c r="AB101" s="3">
        <v>18491.23</v>
      </c>
      <c r="AC101" s="3">
        <v>2730.34</v>
      </c>
      <c r="AD101">
        <v>4905.8</v>
      </c>
      <c r="AE101" s="5">
        <f>VLOOKUP(A101,[7]越南VN30指数历史数据!$A:$B,2,)</f>
        <v>409.41</v>
      </c>
      <c r="AF101">
        <v>28431.41</v>
      </c>
      <c r="AG101" s="9">
        <v>5893.09</v>
      </c>
      <c r="AH101">
        <v>11105.94</v>
      </c>
      <c r="AI101">
        <v>890.87</v>
      </c>
      <c r="AJ101">
        <v>1302.69</v>
      </c>
    </row>
    <row r="102" spans="1:36" x14ac:dyDescent="0.3">
      <c r="A102" s="2">
        <v>40867</v>
      </c>
      <c r="B102" s="3">
        <v>2426</v>
      </c>
      <c r="C102" s="4">
        <v>54894</v>
      </c>
      <c r="D102" s="3">
        <v>3984.3</v>
      </c>
      <c r="E102" s="3">
        <v>11231.78</v>
      </c>
      <c r="F102" s="3">
        <v>11462.06</v>
      </c>
      <c r="G102" s="1">
        <v>666.16</v>
      </c>
      <c r="H102" s="3">
        <v>1158.67</v>
      </c>
      <c r="I102" s="3">
        <v>2441.5100000000002</v>
      </c>
      <c r="J102" s="3">
        <v>34573.040000000001</v>
      </c>
      <c r="K102" s="1">
        <v>19256.37</v>
      </c>
      <c r="L102" s="3">
        <v>2163.8000000000002</v>
      </c>
      <c r="M102" s="3">
        <v>5492.87</v>
      </c>
      <c r="N102" s="6">
        <f>VLOOKUP(A102,'[1]俄罗斯交易系统市值加权指数历史数据 (1)'!$A:$B,2,)</f>
        <v>1413.18</v>
      </c>
      <c r="O102" s="3">
        <v>2856.97</v>
      </c>
      <c r="P102" s="1">
        <v>274.37</v>
      </c>
      <c r="Q102" s="3">
        <v>5395.61</v>
      </c>
      <c r="R102" s="1">
        <v>510.71</v>
      </c>
      <c r="S102" s="3">
        <v>7763.5</v>
      </c>
      <c r="T102" s="3">
        <v>5164.6499999999996</v>
      </c>
      <c r="U102" s="3">
        <v>2111.2600000000002</v>
      </c>
      <c r="V102" s="6">
        <f>VLOOKUP(A102,[2]韩国KOSPI指数历史数据!$A:$B,2,)</f>
        <v>1776.4</v>
      </c>
      <c r="W102" s="6">
        <f>VLOOKUP(A102,[3]日经225指数历史数据!$A:$B,2,)</f>
        <v>8160.01</v>
      </c>
      <c r="X102" s="3">
        <v>1017.64</v>
      </c>
      <c r="Y102" s="6">
        <f>VLOOKUP(A102,[4]上证指数历史数据!$A:$B,2,)</f>
        <v>2380.2199999999998</v>
      </c>
      <c r="Z102" s="6">
        <f>VLOOKUP(A102,[5]深证成份指数历史数据!$A:$B,2,)</f>
        <v>9886.25</v>
      </c>
      <c r="AA102" s="6">
        <f>VLOOKUP(A102,[6]台湾加权指数历史数据!$A:$B,2,)</f>
        <v>6784.52</v>
      </c>
      <c r="AB102" s="3">
        <v>17689.48</v>
      </c>
      <c r="AC102" s="3">
        <v>2643.93</v>
      </c>
      <c r="AD102">
        <v>4710.05</v>
      </c>
      <c r="AE102" s="5">
        <f>VLOOKUP(A102,[7]越南VN30指数历史数据!$A:$B,2,)</f>
        <v>413.14</v>
      </c>
      <c r="AF102">
        <v>27770.91</v>
      </c>
      <c r="AG102" s="9">
        <v>5404.7</v>
      </c>
      <c r="AH102">
        <v>10836.24</v>
      </c>
      <c r="AI102">
        <v>881.5</v>
      </c>
      <c r="AJ102">
        <v>1303.76</v>
      </c>
    </row>
    <row r="103" spans="1:36" x14ac:dyDescent="0.3">
      <c r="A103" s="2">
        <v>40874</v>
      </c>
      <c r="B103" s="3">
        <v>2629.63</v>
      </c>
      <c r="C103" s="4">
        <v>57886</v>
      </c>
      <c r="D103" s="3">
        <v>4288</v>
      </c>
      <c r="E103" s="3">
        <v>12019.42</v>
      </c>
      <c r="F103" s="3">
        <v>12075.09</v>
      </c>
      <c r="G103" s="1">
        <v>735.02</v>
      </c>
      <c r="H103" s="3">
        <v>1244.28</v>
      </c>
      <c r="I103" s="3">
        <v>2626.93</v>
      </c>
      <c r="J103" s="3">
        <v>36756.06</v>
      </c>
      <c r="K103" s="1">
        <v>20003.419999999998</v>
      </c>
      <c r="L103" s="3">
        <v>2257.9</v>
      </c>
      <c r="M103" s="3">
        <v>6080.68</v>
      </c>
      <c r="N103" s="6">
        <f>VLOOKUP(A103,'[1]俄罗斯交易系统市值加权指数历史数据 (1)'!$A:$B,2,)</f>
        <v>1545.57</v>
      </c>
      <c r="O103" s="3">
        <v>3164.95</v>
      </c>
      <c r="P103" s="1">
        <v>300.77</v>
      </c>
      <c r="Q103" s="3">
        <v>5718.85</v>
      </c>
      <c r="R103" s="1">
        <v>547.69000000000005</v>
      </c>
      <c r="S103" s="3">
        <v>8558.6</v>
      </c>
      <c r="T103" s="3">
        <v>5552.29</v>
      </c>
      <c r="U103" s="3">
        <v>2342.5</v>
      </c>
      <c r="V103" s="6">
        <f>VLOOKUP(A103,[2]韩国KOSPI指数历史数据!$A:$B,2,)</f>
        <v>1916.04</v>
      </c>
      <c r="W103" s="6">
        <f>VLOOKUP(A103,[3]日经225指数历史数据!$A:$B,2,)</f>
        <v>8643.75</v>
      </c>
      <c r="X103" s="3">
        <v>1085.2</v>
      </c>
      <c r="Y103" s="6">
        <f>VLOOKUP(A103,[4]上证指数历史数据!$A:$B,2,)</f>
        <v>2360.66</v>
      </c>
      <c r="Z103" s="6">
        <f>VLOOKUP(A103,[5]深证成份指数历史数据!$A:$B,2,)</f>
        <v>9808.23</v>
      </c>
      <c r="AA103" s="6">
        <f>VLOOKUP(A103,[6]台湾加权指数历史数据!$A:$B,2,)</f>
        <v>7140.68</v>
      </c>
      <c r="AB103" s="3">
        <v>19040.39</v>
      </c>
      <c r="AC103" s="3">
        <v>2773.36</v>
      </c>
      <c r="AD103">
        <v>5050.1499999999996</v>
      </c>
      <c r="AE103" s="5">
        <f>VLOOKUP(A103,[7]越南VN30指数历史数据!$A:$B,2,)</f>
        <v>411.13</v>
      </c>
      <c r="AF103">
        <v>29187.83</v>
      </c>
      <c r="AG103" s="9">
        <v>5854.45</v>
      </c>
      <c r="AH103">
        <v>10932.99</v>
      </c>
      <c r="AI103">
        <v>873.09</v>
      </c>
      <c r="AJ103">
        <v>1303.8399999999999</v>
      </c>
    </row>
    <row r="104" spans="1:36" x14ac:dyDescent="0.3">
      <c r="A104" s="2">
        <v>40881</v>
      </c>
      <c r="B104" s="3">
        <v>2558.11</v>
      </c>
      <c r="C104" s="4">
        <v>58236</v>
      </c>
      <c r="D104" s="3">
        <v>4203</v>
      </c>
      <c r="E104" s="3">
        <v>12184.26</v>
      </c>
      <c r="F104" s="3">
        <v>12034.75</v>
      </c>
      <c r="G104" s="1">
        <v>745.4</v>
      </c>
      <c r="H104" s="3">
        <v>1255.19</v>
      </c>
      <c r="I104" s="3">
        <v>2646.85</v>
      </c>
      <c r="J104" s="3">
        <v>37227.21</v>
      </c>
      <c r="K104" s="1">
        <v>20157</v>
      </c>
      <c r="L104" s="3">
        <v>2226.88</v>
      </c>
      <c r="M104" s="3">
        <v>5986.71</v>
      </c>
      <c r="N104" s="6">
        <f>VLOOKUP(A104,'[1]俄罗斯交易系统市值加权指数历史数据 (1)'!$A:$B,2,)</f>
        <v>1410.28</v>
      </c>
      <c r="O104" s="3">
        <v>3172.35</v>
      </c>
      <c r="P104" s="1">
        <v>304.58</v>
      </c>
      <c r="Q104" s="3">
        <v>5793.57</v>
      </c>
      <c r="R104" s="1">
        <v>538.35</v>
      </c>
      <c r="S104" s="3">
        <v>8649.7000000000007</v>
      </c>
      <c r="T104" s="3">
        <v>5529.21</v>
      </c>
      <c r="U104" s="3">
        <v>2342.59</v>
      </c>
      <c r="V104" s="6">
        <f>VLOOKUP(A104,[2]韩国KOSPI指数历史数据!$A:$B,2,)</f>
        <v>1874.75</v>
      </c>
      <c r="W104" s="6">
        <f>VLOOKUP(A104,[3]日经225指数历史数据!$A:$B,2,)</f>
        <v>8536.4599999999991</v>
      </c>
      <c r="X104" s="3">
        <v>1070.73</v>
      </c>
      <c r="Y104" s="6">
        <f>VLOOKUP(A104,[4]上证指数历史数据!$A:$B,2,)</f>
        <v>2315.27</v>
      </c>
      <c r="Z104" s="6">
        <f>VLOOKUP(A104,[5]深证成份指数历史数据!$A:$B,2,)</f>
        <v>9480.27</v>
      </c>
      <c r="AA104" s="6">
        <f>VLOOKUP(A104,[6]台湾加权指数历史数据!$A:$B,2,)</f>
        <v>6893.3</v>
      </c>
      <c r="AB104" s="3">
        <v>18586.23</v>
      </c>
      <c r="AC104" s="3">
        <v>2694.6</v>
      </c>
      <c r="AD104">
        <v>4866.7</v>
      </c>
      <c r="AE104" s="5">
        <f>VLOOKUP(A104,[7]越南VN30指数历史数据!$A:$B,2,)</f>
        <v>406.03</v>
      </c>
      <c r="AF104">
        <v>29169.61</v>
      </c>
      <c r="AG104" s="9">
        <v>5717.6</v>
      </c>
      <c r="AH104">
        <v>10869.31</v>
      </c>
      <c r="AI104">
        <v>866.07</v>
      </c>
      <c r="AJ104">
        <v>1303.8399999999999</v>
      </c>
    </row>
    <row r="105" spans="1:36" x14ac:dyDescent="0.3">
      <c r="A105" s="2">
        <v>40888</v>
      </c>
      <c r="B105" s="3">
        <v>2433.4</v>
      </c>
      <c r="C105" s="4">
        <v>56097</v>
      </c>
      <c r="D105" s="3">
        <v>4159.2</v>
      </c>
      <c r="E105" s="3">
        <v>11866.39</v>
      </c>
      <c r="F105" s="3">
        <v>11635.38</v>
      </c>
      <c r="G105" s="1">
        <v>722.05</v>
      </c>
      <c r="H105" s="3">
        <v>1219.6600000000001</v>
      </c>
      <c r="I105" s="3">
        <v>2555.33</v>
      </c>
      <c r="J105" s="3">
        <v>36054.629999999997</v>
      </c>
      <c r="K105" s="1">
        <v>19955.93</v>
      </c>
      <c r="L105" s="3">
        <v>2116.0300000000002</v>
      </c>
      <c r="M105" s="3">
        <v>5701.78</v>
      </c>
      <c r="N105" s="6">
        <f>VLOOKUP(A105,'[1]俄罗斯交易系统市值加权指数历史数据 (1)'!$A:$B,2,)</f>
        <v>1373.73</v>
      </c>
      <c r="O105" s="3">
        <v>2972.3</v>
      </c>
      <c r="P105" s="1">
        <v>294.02999999999997</v>
      </c>
      <c r="Q105" s="3">
        <v>5733.5</v>
      </c>
      <c r="R105" s="1">
        <v>516.66</v>
      </c>
      <c r="S105" s="3">
        <v>8203.4</v>
      </c>
      <c r="T105" s="3">
        <v>5387.34</v>
      </c>
      <c r="U105" s="3">
        <v>2202.7199999999998</v>
      </c>
      <c r="V105" s="6">
        <f>VLOOKUP(A105,[2]韩国KOSPI指数历史数据!$A:$B,2,)</f>
        <v>1839.96</v>
      </c>
      <c r="W105" s="6">
        <f>VLOOKUP(A105,[3]日经225指数历史数据!$A:$B,2,)</f>
        <v>8401.7199999999993</v>
      </c>
      <c r="X105" s="3">
        <v>1093.3699999999999</v>
      </c>
      <c r="Y105" s="6">
        <f>VLOOKUP(A105,[4]上证指数历史数据!$A:$B,2,)</f>
        <v>2224.84</v>
      </c>
      <c r="Z105" s="6">
        <f>VLOOKUP(A105,[5]深证成份指数历史数据!$A:$B,2,)</f>
        <v>9081.94</v>
      </c>
      <c r="AA105" s="6">
        <f>VLOOKUP(A105,[6]台湾加权指数历史数据!$A:$B,2,)</f>
        <v>6785.09</v>
      </c>
      <c r="AB105" s="3">
        <v>18285.39</v>
      </c>
      <c r="AC105" s="3">
        <v>2659.22</v>
      </c>
      <c r="AD105">
        <v>4651.6000000000004</v>
      </c>
      <c r="AE105" s="5">
        <f>VLOOKUP(A105,[7]越南VN30指数历史数据!$A:$B,2,)</f>
        <v>398.25</v>
      </c>
      <c r="AF105">
        <v>28556.63</v>
      </c>
      <c r="AG105" s="9">
        <v>5629.14</v>
      </c>
      <c r="AH105">
        <v>10973.86</v>
      </c>
      <c r="AI105">
        <v>896.52</v>
      </c>
      <c r="AJ105">
        <v>1303.42</v>
      </c>
    </row>
    <row r="106" spans="1:36" x14ac:dyDescent="0.3">
      <c r="A106" s="2">
        <v>40895</v>
      </c>
      <c r="B106" s="3">
        <v>2466.6999999999998</v>
      </c>
      <c r="C106" s="4">
        <v>57701</v>
      </c>
      <c r="D106" s="3">
        <v>4140.3999999999996</v>
      </c>
      <c r="E106" s="3">
        <v>12294</v>
      </c>
      <c r="F106" s="3">
        <v>11926.67</v>
      </c>
      <c r="G106" s="1">
        <v>747.98</v>
      </c>
      <c r="H106" s="3">
        <v>1265.33</v>
      </c>
      <c r="I106" s="3">
        <v>2618.64</v>
      </c>
      <c r="J106" s="3">
        <v>37041.42</v>
      </c>
      <c r="K106" s="1">
        <v>20156.87</v>
      </c>
      <c r="L106" s="3">
        <v>2168.83</v>
      </c>
      <c r="M106" s="3">
        <v>5878.93</v>
      </c>
      <c r="N106" s="6">
        <f>VLOOKUP(A106,'[1]俄罗斯交易系统市值加权指数历史数据 (1)'!$A:$B,2,)</f>
        <v>1394.12</v>
      </c>
      <c r="O106" s="3">
        <v>3102.09</v>
      </c>
      <c r="P106" s="1">
        <v>307.79000000000002</v>
      </c>
      <c r="Q106" s="3">
        <v>5893.89</v>
      </c>
      <c r="R106" s="1">
        <v>519.49</v>
      </c>
      <c r="S106" s="3">
        <v>8542.7000000000007</v>
      </c>
      <c r="T106" s="3">
        <v>5512.7</v>
      </c>
      <c r="U106" s="3">
        <v>2290.37</v>
      </c>
      <c r="V106" s="6">
        <f>VLOOKUP(A106,[2]韩国KOSPI指数历史数据!$A:$B,2,)</f>
        <v>1867.22</v>
      </c>
      <c r="W106" s="6">
        <f>VLOOKUP(A106,[3]日经225指数历史数据!$A:$B,2,)</f>
        <v>8395.16</v>
      </c>
      <c r="X106" s="3">
        <v>1091.46</v>
      </c>
      <c r="Y106" s="6">
        <f>VLOOKUP(A106,[4]上证指数历史数据!$A:$B,2,)</f>
        <v>2204.7800000000002</v>
      </c>
      <c r="Z106" s="6">
        <f>VLOOKUP(A106,[5]深证成份指数历史数据!$A:$B,2,)</f>
        <v>8976.52</v>
      </c>
      <c r="AA106" s="6">
        <f>VLOOKUP(A106,[6]台湾加权指数历史数据!$A:$B,2,)</f>
        <v>7110.73</v>
      </c>
      <c r="AB106" s="3">
        <v>18629.169999999998</v>
      </c>
      <c r="AC106" s="3">
        <v>2676.47</v>
      </c>
      <c r="AD106">
        <v>4714</v>
      </c>
      <c r="AE106" s="5">
        <f>VLOOKUP(A106,[7]越南VN30指数历史数据!$A:$B,2,)</f>
        <v>388.63</v>
      </c>
      <c r="AF106">
        <v>28641.11</v>
      </c>
      <c r="AG106" s="9">
        <v>5197</v>
      </c>
      <c r="AH106">
        <v>11121.98</v>
      </c>
      <c r="AI106">
        <v>932.96</v>
      </c>
      <c r="AJ106">
        <v>1303.23</v>
      </c>
    </row>
    <row r="107" spans="1:36" x14ac:dyDescent="0.3">
      <c r="A107" s="2">
        <v>40902</v>
      </c>
      <c r="B107" s="3">
        <v>2462.63</v>
      </c>
      <c r="C107" s="4">
        <v>56754</v>
      </c>
      <c r="D107" s="3">
        <v>4056.6</v>
      </c>
      <c r="E107" s="3">
        <v>12217.56</v>
      </c>
      <c r="F107" s="3">
        <v>11955.09</v>
      </c>
      <c r="G107" s="1">
        <v>740.92</v>
      </c>
      <c r="H107" s="3">
        <v>1257.5999999999999</v>
      </c>
      <c r="I107" s="3">
        <v>2605.15</v>
      </c>
      <c r="J107" s="3">
        <v>37077.519999999997</v>
      </c>
      <c r="K107" s="1">
        <v>20129.8</v>
      </c>
      <c r="L107" s="3">
        <v>2144.48</v>
      </c>
      <c r="M107" s="3">
        <v>5898.35</v>
      </c>
      <c r="N107" s="6">
        <f>VLOOKUP(A107,'[1]俄罗斯交易系统市值加权指数历史数据 (1)'!$A:$B,2,)</f>
        <v>1381.87</v>
      </c>
      <c r="O107" s="3">
        <v>3159.81</v>
      </c>
      <c r="P107" s="1">
        <v>312.47000000000003</v>
      </c>
      <c r="Q107" s="3">
        <v>5936.23</v>
      </c>
      <c r="R107" s="1">
        <v>512.66999999999996</v>
      </c>
      <c r="S107" s="3">
        <v>8566.2999999999993</v>
      </c>
      <c r="T107" s="3">
        <v>5572.28</v>
      </c>
      <c r="U107" s="3">
        <v>2316.5500000000002</v>
      </c>
      <c r="V107" s="6">
        <f>VLOOKUP(A107,[2]韩国KOSPI指数历史数据!$A:$B,2,)</f>
        <v>1825.74</v>
      </c>
      <c r="W107" s="6">
        <f>VLOOKUP(A107,[3]日经225指数历史数据!$A:$B,2,)</f>
        <v>8455.35</v>
      </c>
      <c r="X107" s="3">
        <v>1085.5899999999999</v>
      </c>
      <c r="Y107" s="6">
        <f>VLOOKUP(A107,[4]上证指数历史数据!$A:$B,2,)</f>
        <v>2199.42</v>
      </c>
      <c r="Z107" s="6">
        <f>VLOOKUP(A107,[5]深证成份指数历史数据!$A:$B,2,)</f>
        <v>8918.82</v>
      </c>
      <c r="AA107" s="6">
        <f>VLOOKUP(A107,[6]台湾加权指数历史数据!$A:$B,2,)</f>
        <v>7072.08</v>
      </c>
      <c r="AB107" s="3">
        <v>18434.39</v>
      </c>
      <c r="AC107" s="3">
        <v>2646.35</v>
      </c>
      <c r="AD107">
        <v>4624.3</v>
      </c>
      <c r="AE107" s="5">
        <f>VLOOKUP(A107,[7]越南VN30指数历史数据!$A:$B,2,)</f>
        <v>388.6</v>
      </c>
      <c r="AF107">
        <v>28469.81</v>
      </c>
      <c r="AG107" s="9">
        <v>5205.38</v>
      </c>
      <c r="AH107">
        <v>11027.65</v>
      </c>
      <c r="AI107">
        <v>923.75</v>
      </c>
      <c r="AJ107">
        <v>1303.23</v>
      </c>
    </row>
    <row r="108" spans="1:36" x14ac:dyDescent="0.3">
      <c r="A108" s="2">
        <v>40909</v>
      </c>
      <c r="B108" s="3">
        <v>2769.75</v>
      </c>
      <c r="C108" s="4">
        <v>58600</v>
      </c>
      <c r="D108" s="3">
        <v>4108.5</v>
      </c>
      <c r="E108" s="3">
        <v>12359.92</v>
      </c>
      <c r="F108" s="3">
        <v>12188.64</v>
      </c>
      <c r="G108" s="1">
        <v>749.71</v>
      </c>
      <c r="H108" s="3">
        <v>1277.81</v>
      </c>
      <c r="I108" s="3">
        <v>2674.22</v>
      </c>
      <c r="J108" s="3">
        <v>36804.050000000003</v>
      </c>
      <c r="K108" s="1">
        <v>20245.87</v>
      </c>
      <c r="L108" s="3">
        <v>2157.4299999999998</v>
      </c>
      <c r="M108" s="3">
        <v>6057.92</v>
      </c>
      <c r="N108" s="6">
        <f>VLOOKUP(A108,'[1]俄罗斯交易系统市值加权指数历史数据 (1)'!$A:$B,2,)</f>
        <v>1423.7</v>
      </c>
      <c r="O108" s="3">
        <v>3137.36</v>
      </c>
      <c r="P108" s="1">
        <v>311.11</v>
      </c>
      <c r="Q108" s="3">
        <v>6013.83</v>
      </c>
      <c r="R108" s="1">
        <v>501.83</v>
      </c>
      <c r="S108" s="3">
        <v>8289.1</v>
      </c>
      <c r="T108" s="3">
        <v>5649.68</v>
      </c>
      <c r="U108" s="3">
        <v>2298.65</v>
      </c>
      <c r="V108" s="6">
        <f>VLOOKUP(A108,[2]韩国KOSPI指数历史数据!$A:$B,2,)</f>
        <v>1843.14</v>
      </c>
      <c r="W108" s="6">
        <f>VLOOKUP(A108,[3]日经225指数历史数据!$A:$B,2,)</f>
        <v>8390.35</v>
      </c>
      <c r="X108" s="3">
        <v>1113.23</v>
      </c>
      <c r="Y108" s="6">
        <f>VLOOKUP(A108,[4]上证指数历史数据!$A:$B,2,)</f>
        <v>2163.39</v>
      </c>
      <c r="Z108" s="6">
        <f>VLOOKUP(A108,[5]深证成份指数历史数据!$A:$B,2,)</f>
        <v>8634.42</v>
      </c>
      <c r="AA108" s="6">
        <f>VLOOKUP(A108,[6]台湾加权指数历史数据!$A:$B,2,)</f>
        <v>7120.51</v>
      </c>
      <c r="AB108" s="3">
        <v>18593.060000000001</v>
      </c>
      <c r="AC108" s="3">
        <v>2715.59</v>
      </c>
      <c r="AD108">
        <v>4754.1000000000004</v>
      </c>
      <c r="AE108" s="5">
        <f>VLOOKUP(A108,[7]越南VN30指数历史数据!$A:$B,2,)</f>
        <v>374.02</v>
      </c>
      <c r="AF108">
        <v>29209.599999999999</v>
      </c>
      <c r="AG108" s="9">
        <v>5205.91</v>
      </c>
      <c r="AH108">
        <v>11026.18</v>
      </c>
      <c r="AI108">
        <v>931.37</v>
      </c>
      <c r="AJ108">
        <v>1300.83</v>
      </c>
    </row>
    <row r="109" spans="1:36" x14ac:dyDescent="0.3">
      <c r="A109" s="2">
        <v>40916</v>
      </c>
      <c r="B109" s="3">
        <v>2753.52</v>
      </c>
      <c r="C109" s="4">
        <v>59147</v>
      </c>
      <c r="D109" s="3">
        <v>4195.8999999999996</v>
      </c>
      <c r="E109" s="3">
        <v>12422.06</v>
      </c>
      <c r="F109" s="3">
        <v>12231.06</v>
      </c>
      <c r="G109" s="1">
        <v>764.2</v>
      </c>
      <c r="H109" s="3">
        <v>1289.0899999999999</v>
      </c>
      <c r="I109" s="3">
        <v>2710.67</v>
      </c>
      <c r="J109" s="3">
        <v>36548.559999999998</v>
      </c>
      <c r="K109" s="1">
        <v>20281.39</v>
      </c>
      <c r="L109" s="3">
        <v>2166.38</v>
      </c>
      <c r="M109" s="3">
        <v>6143.08</v>
      </c>
      <c r="N109" s="6">
        <f>VLOOKUP(A109,'[1]俄罗斯交易系统市值加权指数历史数据 (1)'!$A:$B,2,)</f>
        <v>1446.46</v>
      </c>
      <c r="O109" s="3">
        <v>3196.49</v>
      </c>
      <c r="P109" s="1">
        <v>309.27999999999997</v>
      </c>
      <c r="Q109" s="3">
        <v>5996.34</v>
      </c>
      <c r="R109" s="1">
        <v>515.62</v>
      </c>
      <c r="S109" s="3">
        <v>8450.6</v>
      </c>
      <c r="T109" s="3">
        <v>5636.64</v>
      </c>
      <c r="U109" s="3">
        <v>2338.0100000000002</v>
      </c>
      <c r="V109" s="6">
        <f>VLOOKUP(A109,[2]韩国KOSPI指数历史数据!$A:$B,2,)</f>
        <v>1875.68</v>
      </c>
      <c r="W109" s="6">
        <f>VLOOKUP(A109,[3]日经225指数历史数据!$A:$B,2,)</f>
        <v>8500.02</v>
      </c>
      <c r="X109" s="3">
        <v>1128.55</v>
      </c>
      <c r="Y109" s="6">
        <f>VLOOKUP(A109,[4]上证指数历史数据!$A:$B,2,)</f>
        <v>2244.58</v>
      </c>
      <c r="Z109" s="6">
        <f>VLOOKUP(A109,[5]深证成份指数历史数据!$A:$B,2,)</f>
        <v>9030.59</v>
      </c>
      <c r="AA109" s="6">
        <f>VLOOKUP(A109,[6]台湾加权指数历史数据!$A:$B,2,)</f>
        <v>7181.54</v>
      </c>
      <c r="AB109" s="3">
        <v>19204.419999999998</v>
      </c>
      <c r="AC109" s="3">
        <v>2791.54</v>
      </c>
      <c r="AD109">
        <v>4866</v>
      </c>
      <c r="AE109" s="5">
        <f>VLOOKUP(A109,[7]越南VN30指数历史数据!$A:$B,2,)</f>
        <v>394.43</v>
      </c>
      <c r="AF109">
        <v>29333.57</v>
      </c>
      <c r="AG109" s="9">
        <v>5399</v>
      </c>
      <c r="AH109">
        <v>10989.95</v>
      </c>
      <c r="AI109">
        <v>935.46</v>
      </c>
      <c r="AJ109">
        <v>1301.17</v>
      </c>
    </row>
    <row r="110" spans="1:36" x14ac:dyDescent="0.3">
      <c r="A110" s="2">
        <v>40923</v>
      </c>
      <c r="B110" s="3">
        <v>2867.59</v>
      </c>
      <c r="C110" s="4">
        <v>62312</v>
      </c>
      <c r="D110" s="3">
        <v>4239.6000000000004</v>
      </c>
      <c r="E110" s="3">
        <v>12720.48</v>
      </c>
      <c r="F110" s="3">
        <v>12397.1</v>
      </c>
      <c r="G110" s="1">
        <v>784.62</v>
      </c>
      <c r="H110" s="3">
        <v>1315.38</v>
      </c>
      <c r="I110" s="3">
        <v>2786.7</v>
      </c>
      <c r="J110" s="3">
        <v>37384.21</v>
      </c>
      <c r="K110" s="1">
        <v>20543.77</v>
      </c>
      <c r="L110" s="3">
        <v>2261.02</v>
      </c>
      <c r="M110" s="3">
        <v>6404.39</v>
      </c>
      <c r="N110" s="6">
        <f>VLOOKUP(A110,'[1]俄罗斯交易系统市值加权指数历史数据 (1)'!$A:$B,2,)</f>
        <v>1496.41</v>
      </c>
      <c r="O110" s="3">
        <v>3321.5</v>
      </c>
      <c r="P110" s="1">
        <v>320.31</v>
      </c>
      <c r="Q110" s="3">
        <v>6122.67</v>
      </c>
      <c r="R110" s="1">
        <v>548.89</v>
      </c>
      <c r="S110" s="3">
        <v>8561.9</v>
      </c>
      <c r="T110" s="3">
        <v>5728.55</v>
      </c>
      <c r="U110" s="3">
        <v>2426.96</v>
      </c>
      <c r="V110" s="6">
        <f>VLOOKUP(A110,[2]韩国KOSPI指数历史数据!$A:$B,2,)</f>
        <v>1949.89</v>
      </c>
      <c r="W110" s="6">
        <f>VLOOKUP(A110,[3]日经225指数历史数据!$A:$B,2,)</f>
        <v>8766.36</v>
      </c>
      <c r="X110" s="3">
        <v>1136.6400000000001</v>
      </c>
      <c r="Y110" s="6">
        <f>VLOOKUP(A110,[4]上证指数历史数据!$A:$B,2,)</f>
        <v>2319.12</v>
      </c>
      <c r="Z110" s="6">
        <f>VLOOKUP(A110,[5]深证成份指数历史数据!$A:$B,2,)</f>
        <v>9466.14</v>
      </c>
      <c r="AA110" s="6">
        <f>VLOOKUP(A110,[6]台湾加权指数历史数据!$A:$B,2,)</f>
        <v>7233.69</v>
      </c>
      <c r="AB110" s="3">
        <v>20110.37</v>
      </c>
      <c r="AC110" s="3">
        <v>2849.38</v>
      </c>
      <c r="AD110">
        <v>5048.6000000000004</v>
      </c>
      <c r="AE110" s="5">
        <f>VLOOKUP(A110,[7]越南VN30指数历史数据!$A:$B,2,)</f>
        <v>414.34</v>
      </c>
      <c r="AF110">
        <v>30116.400000000001</v>
      </c>
      <c r="AG110" s="9">
        <v>5532.15</v>
      </c>
      <c r="AH110">
        <v>11158.58</v>
      </c>
      <c r="AI110">
        <v>932.26</v>
      </c>
      <c r="AJ110">
        <v>1300.6099999999999</v>
      </c>
    </row>
    <row r="111" spans="1:36" x14ac:dyDescent="0.3">
      <c r="A111" s="2">
        <v>40930</v>
      </c>
      <c r="B111" s="3">
        <v>2831.58</v>
      </c>
      <c r="C111" s="4">
        <v>62904</v>
      </c>
      <c r="D111" s="3">
        <v>4288.3999999999996</v>
      </c>
      <c r="E111" s="3">
        <v>12660.46</v>
      </c>
      <c r="F111" s="3">
        <v>12466.5</v>
      </c>
      <c r="G111" s="1">
        <v>794.13</v>
      </c>
      <c r="H111" s="3">
        <v>1316.33</v>
      </c>
      <c r="I111" s="3">
        <v>2816.55</v>
      </c>
      <c r="J111" s="3">
        <v>37184.71</v>
      </c>
      <c r="K111" s="1">
        <v>20335.91</v>
      </c>
      <c r="L111" s="3">
        <v>2306.37</v>
      </c>
      <c r="M111" s="3">
        <v>6511.98</v>
      </c>
      <c r="N111" s="6">
        <f>VLOOKUP(A111,'[1]俄罗斯交易系统市值加权指数历史数据 (1)'!$A:$B,2,)</f>
        <v>1565.82</v>
      </c>
      <c r="O111" s="3">
        <v>3318.76</v>
      </c>
      <c r="P111" s="1">
        <v>319.36</v>
      </c>
      <c r="Q111" s="3">
        <v>6033.52</v>
      </c>
      <c r="R111" s="1">
        <v>573.57000000000005</v>
      </c>
      <c r="S111" s="3">
        <v>8657.2999999999993</v>
      </c>
      <c r="T111" s="3">
        <v>5733.45</v>
      </c>
      <c r="U111" s="3">
        <v>2436.62</v>
      </c>
      <c r="V111" s="6">
        <f>VLOOKUP(A111,[2]韩国KOSPI指数历史数据!$A:$B,2,)</f>
        <v>1964.83</v>
      </c>
      <c r="W111" s="6">
        <f>VLOOKUP(A111,[3]日经225指数历史数据!$A:$B,2,)</f>
        <v>8841.2199999999993</v>
      </c>
      <c r="X111" s="3">
        <v>1130.25</v>
      </c>
      <c r="Y111" s="6" t="e">
        <f>VLOOKUP(A111,[4]上证指数历史数据!$A:$B,2,)</f>
        <v>#N/A</v>
      </c>
      <c r="Z111" s="6" t="e">
        <f>VLOOKUP(A111,[5]深证成份指数历史数据!$A:$B,2,)</f>
        <v>#N/A</v>
      </c>
      <c r="AA111" s="6" t="e">
        <f>VLOOKUP(A111,[6]台湾加权指数历史数据!$A:$B,2,)</f>
        <v>#N/A</v>
      </c>
      <c r="AB111" s="3">
        <v>20501.669999999998</v>
      </c>
      <c r="AC111" s="3">
        <v>2916.26</v>
      </c>
      <c r="AD111">
        <v>5204.7</v>
      </c>
      <c r="AE111" s="5" t="e">
        <f>VLOOKUP(A111,[7]越南VN30指数历史数据!$A:$B,2,)</f>
        <v>#N/A</v>
      </c>
      <c r="AF111">
        <v>30324.28</v>
      </c>
      <c r="AG111" s="9">
        <v>6382.91</v>
      </c>
      <c r="AH111">
        <v>11169.24</v>
      </c>
      <c r="AI111">
        <v>936.13</v>
      </c>
      <c r="AJ111">
        <v>1298.3399999999999</v>
      </c>
    </row>
    <row r="112" spans="1:36" x14ac:dyDescent="0.3">
      <c r="A112" s="2">
        <v>40937</v>
      </c>
      <c r="B112" s="3">
        <v>2810.57</v>
      </c>
      <c r="C112" s="4">
        <v>65217</v>
      </c>
      <c r="D112" s="3">
        <v>4251.2</v>
      </c>
      <c r="E112" s="3">
        <v>12862.23</v>
      </c>
      <c r="F112" s="3">
        <v>12577.28</v>
      </c>
      <c r="G112" s="1">
        <v>831.11</v>
      </c>
      <c r="H112" s="3">
        <v>1344.9</v>
      </c>
      <c r="I112" s="3">
        <v>2905.66</v>
      </c>
      <c r="J112" s="3">
        <v>38092.81</v>
      </c>
      <c r="K112" s="1">
        <v>20908.82</v>
      </c>
      <c r="L112" s="3">
        <v>2374.4699999999998</v>
      </c>
      <c r="M112" s="3">
        <v>6766.67</v>
      </c>
      <c r="N112" s="6">
        <f>VLOOKUP(A112,'[1]俄罗斯交易系统市值加权指数历史数据 (1)'!$A:$B,2,)</f>
        <v>1625.6</v>
      </c>
      <c r="O112" s="3">
        <v>3427.92</v>
      </c>
      <c r="P112" s="1">
        <v>326.33</v>
      </c>
      <c r="Q112" s="3">
        <v>6153.31</v>
      </c>
      <c r="R112" s="1">
        <v>601.48</v>
      </c>
      <c r="S112" s="3">
        <v>8861.2000000000007</v>
      </c>
      <c r="T112" s="3">
        <v>5901.07</v>
      </c>
      <c r="U112" s="3">
        <v>2515.15</v>
      </c>
      <c r="V112" s="6">
        <f>VLOOKUP(A112,[2]韩国KOSPI指数历史数据!$A:$B,2,)</f>
        <v>1972.34</v>
      </c>
      <c r="W112" s="6">
        <f>VLOOKUP(A112,[3]日经225指数历史数据!$A:$B,2,)</f>
        <v>8831.93</v>
      </c>
      <c r="X112" s="3">
        <v>1121.27</v>
      </c>
      <c r="Y112" s="6">
        <f>VLOOKUP(A112,[4]上证指数历史数据!$A:$B,2,)</f>
        <v>2330.4</v>
      </c>
      <c r="Z112" s="6">
        <f>VLOOKUP(A112,[5]深证成份指数历史数据!$A:$B,2,)</f>
        <v>9436.99</v>
      </c>
      <c r="AA112" s="6">
        <f>VLOOKUP(A112,[6]台湾加权指数历史数据!$A:$B,2,)</f>
        <v>7741.24</v>
      </c>
      <c r="AB112" s="3">
        <v>20756.98</v>
      </c>
      <c r="AC112" s="3">
        <v>2917.95</v>
      </c>
      <c r="AD112">
        <v>5325.85</v>
      </c>
      <c r="AE112" s="5">
        <f>VLOOKUP(A112,[7]越南VN30指数历史数据!$A:$B,2,)</f>
        <v>449.41</v>
      </c>
      <c r="AF112">
        <v>30718.49</v>
      </c>
      <c r="AG112" s="9">
        <v>6647.23</v>
      </c>
      <c r="AH112">
        <v>11360.88</v>
      </c>
      <c r="AI112">
        <v>942.22</v>
      </c>
      <c r="AJ112">
        <v>1298.97</v>
      </c>
    </row>
    <row r="113" spans="1:36" x14ac:dyDescent="0.3">
      <c r="A113" s="2">
        <v>40944</v>
      </c>
      <c r="B113" s="3">
        <v>2721.89</v>
      </c>
      <c r="C113" s="4">
        <v>63998</v>
      </c>
      <c r="D113" s="3">
        <v>4245.3</v>
      </c>
      <c r="E113" s="3">
        <v>12801.23</v>
      </c>
      <c r="F113" s="3">
        <v>12389.42</v>
      </c>
      <c r="G113" s="1">
        <v>813.33</v>
      </c>
      <c r="H113" s="3">
        <v>1342.64</v>
      </c>
      <c r="I113" s="3">
        <v>2903.88</v>
      </c>
      <c r="J113" s="3">
        <v>38149.22</v>
      </c>
      <c r="K113" s="1">
        <v>21020.03</v>
      </c>
      <c r="L113" s="3">
        <v>2324.9699999999998</v>
      </c>
      <c r="M113" s="3">
        <v>6692.96</v>
      </c>
      <c r="N113" s="6">
        <f>VLOOKUP(A113,'[1]俄罗斯交易系统市值加权指数历史数据 (1)'!$A:$B,2,)</f>
        <v>1603.25</v>
      </c>
      <c r="O113" s="3">
        <v>3373.14</v>
      </c>
      <c r="P113" s="1">
        <v>320.08999999999997</v>
      </c>
      <c r="Q113" s="3">
        <v>6130.66</v>
      </c>
      <c r="R113" s="1">
        <v>593.32000000000005</v>
      </c>
      <c r="S113" s="3">
        <v>8797.1</v>
      </c>
      <c r="T113" s="3">
        <v>5852.39</v>
      </c>
      <c r="U113" s="3">
        <v>2480.7600000000002</v>
      </c>
      <c r="V113" s="6">
        <f>VLOOKUP(A113,[2]韩国KOSPI指数历史数据!$A:$B,2,)</f>
        <v>1993.71</v>
      </c>
      <c r="W113" s="6">
        <f>VLOOKUP(A113,[3]日经225指数历史数据!$A:$B,2,)</f>
        <v>8947.17</v>
      </c>
      <c r="X113" s="3">
        <v>1117</v>
      </c>
      <c r="Y113" s="6">
        <f>VLOOKUP(A113,[4]上证指数历史数据!$A:$B,2,)</f>
        <v>2351.98</v>
      </c>
      <c r="Z113" s="6">
        <f>VLOOKUP(A113,[5]深证成份指数历史数据!$A:$B,2,)</f>
        <v>9590.9500000000007</v>
      </c>
      <c r="AA113" s="6">
        <f>VLOOKUP(A113,[6]台湾加权指数历史数据!$A:$B,2,)</f>
        <v>7862.27</v>
      </c>
      <c r="AB113" s="3">
        <v>20783.86</v>
      </c>
      <c r="AC113" s="3">
        <v>2960</v>
      </c>
      <c r="AD113">
        <v>5381.6</v>
      </c>
      <c r="AE113" s="5">
        <f>VLOOKUP(A113,[7]越南VN30指数历史数据!$A:$B,2,)</f>
        <v>458.23</v>
      </c>
      <c r="AF113">
        <v>30210.44</v>
      </c>
      <c r="AG113" s="9">
        <v>6909</v>
      </c>
      <c r="AH113">
        <v>11353.61</v>
      </c>
      <c r="AI113">
        <v>930.97</v>
      </c>
      <c r="AJ113">
        <v>1303.6500000000001</v>
      </c>
    </row>
    <row r="114" spans="1:36" x14ac:dyDescent="0.3">
      <c r="A114" s="2">
        <v>40951</v>
      </c>
      <c r="B114" s="3">
        <v>2798.83</v>
      </c>
      <c r="C114" s="4">
        <v>66204</v>
      </c>
      <c r="D114" s="3">
        <v>4195.8999999999996</v>
      </c>
      <c r="E114" s="3">
        <v>12949.87</v>
      </c>
      <c r="F114" s="3">
        <v>12458.3</v>
      </c>
      <c r="G114" s="1">
        <v>828.68</v>
      </c>
      <c r="H114" s="3">
        <v>1361.23</v>
      </c>
      <c r="I114" s="3">
        <v>2951.78</v>
      </c>
      <c r="J114" s="3">
        <v>37914.699999999997</v>
      </c>
      <c r="K114" s="1">
        <v>21553.14</v>
      </c>
      <c r="L114" s="3">
        <v>2359.89</v>
      </c>
      <c r="M114" s="3">
        <v>6848.03</v>
      </c>
      <c r="N114" s="6">
        <f>VLOOKUP(A114,'[1]俄罗斯交易系统市值加权指数历史数据 (1)'!$A:$B,2,)</f>
        <v>1656.6</v>
      </c>
      <c r="O114" s="3">
        <v>3439.62</v>
      </c>
      <c r="P114" s="1">
        <v>327.93</v>
      </c>
      <c r="Q114" s="3">
        <v>6237.69</v>
      </c>
      <c r="R114" s="1">
        <v>611.11</v>
      </c>
      <c r="S114" s="3">
        <v>8657</v>
      </c>
      <c r="T114" s="3">
        <v>5905.07</v>
      </c>
      <c r="U114" s="3">
        <v>2520.31</v>
      </c>
      <c r="V114" s="6">
        <f>VLOOKUP(A114,[2]韩国KOSPI指数历史数据!$A:$B,2,)</f>
        <v>2023.47</v>
      </c>
      <c r="W114" s="6">
        <f>VLOOKUP(A114,[3]日经225指数历史数据!$A:$B,2,)</f>
        <v>9384.17</v>
      </c>
      <c r="X114" s="3">
        <v>1105.21</v>
      </c>
      <c r="Y114" s="6">
        <f>VLOOKUP(A114,[4]上证指数历史数据!$A:$B,2,)</f>
        <v>2357.1799999999998</v>
      </c>
      <c r="Z114" s="6">
        <f>VLOOKUP(A114,[5]深证成份指数历史数据!$A:$B,2,)</f>
        <v>9615.34</v>
      </c>
      <c r="AA114" s="6">
        <f>VLOOKUP(A114,[6]台湾加权指数历史数据!$A:$B,2,)</f>
        <v>7894.36</v>
      </c>
      <c r="AB114" s="3">
        <v>21491.62</v>
      </c>
      <c r="AC114" s="3">
        <v>3000.59</v>
      </c>
      <c r="AD114">
        <v>5564.3</v>
      </c>
      <c r="AE114" s="5">
        <f>VLOOKUP(A114,[7]越南VN30指数历史数据!$A:$B,2,)</f>
        <v>451.22</v>
      </c>
      <c r="AF114">
        <v>30373.15</v>
      </c>
      <c r="AG114" s="9">
        <v>7209.79</v>
      </c>
      <c r="AH114">
        <v>11396.9</v>
      </c>
      <c r="AI114">
        <v>925.91</v>
      </c>
      <c r="AJ114">
        <v>1310.29</v>
      </c>
    </row>
    <row r="115" spans="1:36" x14ac:dyDescent="0.3">
      <c r="A115" s="2">
        <v>40958</v>
      </c>
      <c r="B115" s="3">
        <v>2762.61</v>
      </c>
      <c r="C115" s="4">
        <v>65943</v>
      </c>
      <c r="D115" s="3">
        <v>4306.8</v>
      </c>
      <c r="E115" s="3">
        <v>12982.95</v>
      </c>
      <c r="F115" s="3">
        <v>12725.77</v>
      </c>
      <c r="G115" s="1">
        <v>826.92</v>
      </c>
      <c r="H115" s="3">
        <v>1365.74</v>
      </c>
      <c r="I115" s="3">
        <v>2963.75</v>
      </c>
      <c r="J115" s="3">
        <v>37945.22</v>
      </c>
      <c r="K115" s="1">
        <v>21404.61</v>
      </c>
      <c r="L115" s="3">
        <v>2311.89</v>
      </c>
      <c r="M115" s="3">
        <v>6864.43</v>
      </c>
      <c r="N115" s="6">
        <f>VLOOKUP(A115,'[1]俄罗斯交易系统市值加权指数历史数据 (1)'!$A:$B,2,)</f>
        <v>1722.05</v>
      </c>
      <c r="O115" s="3">
        <v>3467.03</v>
      </c>
      <c r="P115" s="1">
        <v>324.91000000000003</v>
      </c>
      <c r="Q115" s="3">
        <v>6184.13</v>
      </c>
      <c r="R115" s="1">
        <v>597.38</v>
      </c>
      <c r="S115" s="3">
        <v>8527.7000000000007</v>
      </c>
      <c r="T115" s="3">
        <v>5935.13</v>
      </c>
      <c r="U115" s="3">
        <v>2523.69</v>
      </c>
      <c r="V115" s="6">
        <f>VLOOKUP(A115,[2]韩国KOSPI指数历史数据!$A:$B,2,)</f>
        <v>2019.89</v>
      </c>
      <c r="W115" s="6">
        <f>VLOOKUP(A115,[3]日经225指数历史数据!$A:$B,2,)</f>
        <v>9647.3799999999992</v>
      </c>
      <c r="X115" s="3">
        <v>1097.6099999999999</v>
      </c>
      <c r="Y115" s="6">
        <f>VLOOKUP(A115,[4]上证指数历史数据!$A:$B,2,)</f>
        <v>2439.63</v>
      </c>
      <c r="Z115" s="6">
        <f>VLOOKUP(A115,[5]深证成份指数历史数据!$A:$B,2,)</f>
        <v>10124.15</v>
      </c>
      <c r="AA115" s="6">
        <f>VLOOKUP(A115,[6]台湾加权指数历史数据!$A:$B,2,)</f>
        <v>7959.34</v>
      </c>
      <c r="AB115" s="3">
        <v>21406.86</v>
      </c>
      <c r="AC115" s="3">
        <v>2978.08</v>
      </c>
      <c r="AD115">
        <v>5429.3</v>
      </c>
      <c r="AE115" s="5">
        <f>VLOOKUP(A115,[7]越南VN30指数历史数据!$A:$B,2,)</f>
        <v>477.77</v>
      </c>
      <c r="AF115">
        <v>30560.09</v>
      </c>
      <c r="AG115" s="9">
        <v>7452.43</v>
      </c>
      <c r="AH115">
        <v>11420.95</v>
      </c>
      <c r="AI115">
        <v>937.14</v>
      </c>
      <c r="AJ115">
        <v>1312.18</v>
      </c>
    </row>
    <row r="116" spans="1:36" x14ac:dyDescent="0.3">
      <c r="A116" s="2">
        <v>40965</v>
      </c>
      <c r="B116" s="3">
        <v>2757.3</v>
      </c>
      <c r="C116" s="4">
        <v>67782</v>
      </c>
      <c r="D116" s="3">
        <v>4273.1000000000004</v>
      </c>
      <c r="E116" s="3">
        <v>12977.57</v>
      </c>
      <c r="F116" s="3">
        <v>12643.82</v>
      </c>
      <c r="G116" s="1">
        <v>802.42</v>
      </c>
      <c r="H116" s="3">
        <v>1369.63</v>
      </c>
      <c r="I116" s="3">
        <v>2976.19</v>
      </c>
      <c r="J116" s="3">
        <v>38327.43</v>
      </c>
      <c r="K116" s="1">
        <v>21631.040000000001</v>
      </c>
      <c r="L116" s="3">
        <v>2325.2600000000002</v>
      </c>
      <c r="M116" s="3">
        <v>6921.37</v>
      </c>
      <c r="N116" s="6">
        <f>VLOOKUP(A116,'[1]俄罗斯交易系统市值加权指数历史数据 (1)'!$A:$B,2,)</f>
        <v>1726.73</v>
      </c>
      <c r="O116" s="3">
        <v>3501.17</v>
      </c>
      <c r="P116" s="1">
        <v>327.85</v>
      </c>
      <c r="Q116" s="3">
        <v>6149.37</v>
      </c>
      <c r="R116" s="1">
        <v>609.02</v>
      </c>
      <c r="S116" s="3">
        <v>8563.4</v>
      </c>
      <c r="T116" s="3">
        <v>5911.13</v>
      </c>
      <c r="U116" s="3">
        <v>2546.16</v>
      </c>
      <c r="V116" s="6">
        <f>VLOOKUP(A116,[2]韩国KOSPI指数历史数据!$A:$B,2,)</f>
        <v>2034.63</v>
      </c>
      <c r="W116" s="6">
        <f>VLOOKUP(A116,[3]日经225指数历史数据!$A:$B,2,)</f>
        <v>9777.0300000000007</v>
      </c>
      <c r="X116" s="3">
        <v>1091.98</v>
      </c>
      <c r="Y116" s="6">
        <f>VLOOKUP(A116,[4]上证指数历史数据!$A:$B,2,)</f>
        <v>2460.69</v>
      </c>
      <c r="Z116" s="6">
        <f>VLOOKUP(A116,[5]深证成份指数历史数据!$A:$B,2,)</f>
        <v>10299.93</v>
      </c>
      <c r="AA116" s="6">
        <f>VLOOKUP(A116,[6]台湾加权指数历史数据!$A:$B,2,)</f>
        <v>8114.44</v>
      </c>
      <c r="AB116" s="3">
        <v>21562.26</v>
      </c>
      <c r="AC116" s="3">
        <v>2993.49</v>
      </c>
      <c r="AD116">
        <v>5359.35</v>
      </c>
      <c r="AE116" s="5">
        <f>VLOOKUP(A116,[7]越南VN30指数历史数据!$A:$B,2,)</f>
        <v>503.54</v>
      </c>
      <c r="AF116">
        <v>30406.84</v>
      </c>
      <c r="AG116" s="9">
        <v>7777.28</v>
      </c>
      <c r="AH116">
        <v>11413.82</v>
      </c>
      <c r="AI116">
        <v>937.36</v>
      </c>
      <c r="AJ116">
        <v>1314.91</v>
      </c>
    </row>
    <row r="117" spans="1:36" x14ac:dyDescent="0.3">
      <c r="A117" s="2">
        <v>40972</v>
      </c>
      <c r="B117" s="3">
        <v>2665.2</v>
      </c>
      <c r="C117" s="4">
        <v>66704</v>
      </c>
      <c r="D117" s="3">
        <v>4212</v>
      </c>
      <c r="E117" s="3">
        <v>12922.02</v>
      </c>
      <c r="F117" s="3">
        <v>12503.62</v>
      </c>
      <c r="G117" s="1">
        <v>817</v>
      </c>
      <c r="H117" s="3">
        <v>1370.87</v>
      </c>
      <c r="I117" s="3">
        <v>2988.34</v>
      </c>
      <c r="J117" s="3">
        <v>37691.01</v>
      </c>
      <c r="K117" s="1">
        <v>21503.82</v>
      </c>
      <c r="L117" s="3">
        <v>2286.02</v>
      </c>
      <c r="M117" s="3">
        <v>6880.21</v>
      </c>
      <c r="N117" s="6">
        <f>VLOOKUP(A117,'[1]俄罗斯交易系统市值加权指数历史数据 (1)'!$A:$B,2,)</f>
        <v>1677.21</v>
      </c>
      <c r="O117" s="3">
        <v>3487.48</v>
      </c>
      <c r="P117" s="1">
        <v>326.02999999999997</v>
      </c>
      <c r="Q117" s="3">
        <v>6188.51</v>
      </c>
      <c r="R117" s="1">
        <v>592.79999999999995</v>
      </c>
      <c r="S117" s="3">
        <v>8282.7000000000007</v>
      </c>
      <c r="T117" s="3">
        <v>5887.49</v>
      </c>
      <c r="U117" s="3">
        <v>2515.9499999999998</v>
      </c>
      <c r="V117" s="6">
        <f>VLOOKUP(A117,[2]韩国KOSPI指数历史数据!$A:$B,2,)</f>
        <v>2018.3</v>
      </c>
      <c r="W117" s="6">
        <f>VLOOKUP(A117,[3]日经225指数历史数据!$A:$B,2,)</f>
        <v>9929.74</v>
      </c>
      <c r="X117" s="3">
        <v>1079.5899999999999</v>
      </c>
      <c r="Y117" s="6">
        <f>VLOOKUP(A117,[4]上证指数历史数据!$A:$B,2,)</f>
        <v>2439.46</v>
      </c>
      <c r="Z117" s="6">
        <f>VLOOKUP(A117,[5]深证成份指数历史数据!$A:$B,2,)</f>
        <v>10334.379999999999</v>
      </c>
      <c r="AA117" s="6">
        <f>VLOOKUP(A117,[6]台湾加权指数历史数据!$A:$B,2,)</f>
        <v>8016.01</v>
      </c>
      <c r="AB117" s="3">
        <v>21086</v>
      </c>
      <c r="AC117" s="3">
        <v>2963.15</v>
      </c>
      <c r="AD117">
        <v>5333.55</v>
      </c>
      <c r="AE117" s="5">
        <f>VLOOKUP(A117,[7]越南VN30指数历史数据!$A:$B,2,)</f>
        <v>487.03</v>
      </c>
      <c r="AF117">
        <v>30100.61</v>
      </c>
      <c r="AG117" s="9">
        <v>7825.13</v>
      </c>
      <c r="AH117">
        <v>11355.3</v>
      </c>
      <c r="AI117">
        <v>954.89</v>
      </c>
      <c r="AJ117">
        <v>1319.05</v>
      </c>
    </row>
    <row r="118" spans="1:36" x14ac:dyDescent="0.3">
      <c r="A118" s="2">
        <v>40979</v>
      </c>
      <c r="B118" s="3">
        <v>2765.22</v>
      </c>
      <c r="C118" s="4">
        <v>67684</v>
      </c>
      <c r="D118" s="3">
        <v>4276.2</v>
      </c>
      <c r="E118" s="3">
        <v>13232.62</v>
      </c>
      <c r="F118" s="3">
        <v>12496.96</v>
      </c>
      <c r="G118" s="1">
        <v>830.18</v>
      </c>
      <c r="H118" s="3">
        <v>1404.17</v>
      </c>
      <c r="I118" s="3">
        <v>3055.26</v>
      </c>
      <c r="J118" s="3">
        <v>38258.449999999997</v>
      </c>
      <c r="K118" s="1">
        <v>21782.03</v>
      </c>
      <c r="L118" s="3">
        <v>2337.92</v>
      </c>
      <c r="M118" s="3">
        <v>7157.82</v>
      </c>
      <c r="N118" s="6">
        <f>VLOOKUP(A118,'[1]俄罗斯交易系统市值加权指数历史数据 (1)'!$A:$B,2,)</f>
        <v>1748.32</v>
      </c>
      <c r="O118" s="3">
        <v>3594.83</v>
      </c>
      <c r="P118" s="1">
        <v>336.17</v>
      </c>
      <c r="Q118" s="3">
        <v>6341.33</v>
      </c>
      <c r="R118" s="1">
        <v>623.36</v>
      </c>
      <c r="S118" s="3">
        <v>8486.2999999999993</v>
      </c>
      <c r="T118" s="3">
        <v>5965.58</v>
      </c>
      <c r="U118" s="3">
        <v>2608.3000000000002</v>
      </c>
      <c r="V118" s="6">
        <f>VLOOKUP(A118,[2]韩国KOSPI指数历史数据!$A:$B,2,)</f>
        <v>2034.44</v>
      </c>
      <c r="W118" s="6">
        <f>VLOOKUP(A118,[3]日经225指数历史数据!$A:$B,2,)</f>
        <v>10129.83</v>
      </c>
      <c r="X118" s="3">
        <v>1109.6300000000001</v>
      </c>
      <c r="Y118" s="6">
        <f>VLOOKUP(A118,[4]上证指数历史数据!$A:$B,2,)</f>
        <v>2404.7399999999998</v>
      </c>
      <c r="Z118" s="6">
        <f>VLOOKUP(A118,[5]深证成份指数历史数据!$A:$B,2,)</f>
        <v>10279.299999999999</v>
      </c>
      <c r="AA118" s="6">
        <f>VLOOKUP(A118,[6]台湾加权指数历史数据!$A:$B,2,)</f>
        <v>8054.94</v>
      </c>
      <c r="AB118" s="3">
        <v>21317.85</v>
      </c>
      <c r="AC118" s="3">
        <v>3010.68</v>
      </c>
      <c r="AD118">
        <v>5317.9</v>
      </c>
      <c r="AE118" s="5">
        <f>VLOOKUP(A118,[7]越南VN30指数历史数据!$A:$B,2,)</f>
        <v>496.87</v>
      </c>
      <c r="AF118">
        <v>30398.29</v>
      </c>
      <c r="AG118" s="9">
        <v>7483.03</v>
      </c>
      <c r="AH118">
        <v>11088.37</v>
      </c>
      <c r="AI118">
        <v>946.53</v>
      </c>
      <c r="AJ118">
        <v>1319.28</v>
      </c>
    </row>
    <row r="119" spans="1:36" x14ac:dyDescent="0.3">
      <c r="A119" s="2">
        <v>40986</v>
      </c>
      <c r="B119" s="3">
        <v>2711.87</v>
      </c>
      <c r="C119" s="4">
        <v>65813</v>
      </c>
      <c r="D119" s="3">
        <v>4270.3999999999996</v>
      </c>
      <c r="E119" s="3">
        <v>13080.73</v>
      </c>
      <c r="F119" s="3">
        <v>12465.66</v>
      </c>
      <c r="G119" s="1">
        <v>830.03</v>
      </c>
      <c r="H119" s="3">
        <v>1397.11</v>
      </c>
      <c r="I119" s="3">
        <v>3067.92</v>
      </c>
      <c r="J119" s="3">
        <v>38334.9</v>
      </c>
      <c r="K119" s="1">
        <v>21945.49</v>
      </c>
      <c r="L119" s="3">
        <v>2284.34</v>
      </c>
      <c r="M119" s="3">
        <v>6995.62</v>
      </c>
      <c r="N119" s="6">
        <f>VLOOKUP(A119,'[1]俄罗斯交易系统市值加权指数历史数据 (1)'!$A:$B,2,)</f>
        <v>1668.41</v>
      </c>
      <c r="O119" s="3">
        <v>3476.18</v>
      </c>
      <c r="P119" s="1">
        <v>326.19</v>
      </c>
      <c r="Q119" s="3">
        <v>6240.33</v>
      </c>
      <c r="R119" s="1">
        <v>614.16999999999996</v>
      </c>
      <c r="S119" s="3">
        <v>8281.7999999999993</v>
      </c>
      <c r="T119" s="3">
        <v>5854.89</v>
      </c>
      <c r="U119" s="3">
        <v>2525.4299999999998</v>
      </c>
      <c r="V119" s="6">
        <f>VLOOKUP(A119,[2]韩国KOSPI指数历史数据!$A:$B,2,)</f>
        <v>2026.83</v>
      </c>
      <c r="W119" s="6">
        <f>VLOOKUP(A119,[3]日经225指数历史数据!$A:$B,2,)</f>
        <v>10011.469999999999</v>
      </c>
      <c r="X119" s="3">
        <v>1115.74</v>
      </c>
      <c r="Y119" s="6">
        <f>VLOOKUP(A119,[4]上证指数历史数据!$A:$B,2,)</f>
        <v>2349.54</v>
      </c>
      <c r="Z119" s="6">
        <f>VLOOKUP(A119,[5]深证成份指数历史数据!$A:$B,2,)</f>
        <v>9885.25</v>
      </c>
      <c r="AA119" s="6">
        <f>VLOOKUP(A119,[6]台湾加权指数历史数据!$A:$B,2,)</f>
        <v>8076.61</v>
      </c>
      <c r="AB119" s="3">
        <v>20668.8</v>
      </c>
      <c r="AC119" s="3">
        <v>2990.08</v>
      </c>
      <c r="AD119">
        <v>5278.2</v>
      </c>
      <c r="AE119" s="5">
        <f>VLOOKUP(A119,[7]越南VN30指数历史数据!$A:$B,2,)</f>
        <v>512.84</v>
      </c>
      <c r="AF119">
        <v>29716.93</v>
      </c>
      <c r="AG119" s="9">
        <v>7444.51</v>
      </c>
      <c r="AH119">
        <v>11000.78</v>
      </c>
      <c r="AI119">
        <v>963.06</v>
      </c>
      <c r="AJ119">
        <v>1324.02</v>
      </c>
    </row>
    <row r="120" spans="1:36" x14ac:dyDescent="0.3">
      <c r="A120" s="2">
        <v>40993</v>
      </c>
      <c r="B120" s="3">
        <v>2683.99</v>
      </c>
      <c r="C120" s="4">
        <v>64511</v>
      </c>
      <c r="D120" s="3">
        <v>4335.2</v>
      </c>
      <c r="E120" s="3">
        <v>13212.04</v>
      </c>
      <c r="F120" s="3">
        <v>12392.18</v>
      </c>
      <c r="G120" s="1">
        <v>830.3</v>
      </c>
      <c r="H120" s="3">
        <v>1408.47</v>
      </c>
      <c r="I120" s="3">
        <v>3091.57</v>
      </c>
      <c r="J120" s="3">
        <v>39521.24</v>
      </c>
      <c r="K120" s="1">
        <v>22206.86</v>
      </c>
      <c r="L120" s="3">
        <v>2286.5300000000002</v>
      </c>
      <c r="M120" s="3">
        <v>6946.83</v>
      </c>
      <c r="N120" s="6">
        <f>VLOOKUP(A120,'[1]俄罗斯交易系统市值加权指数历史数据 (1)'!$A:$B,2,)</f>
        <v>1637.73</v>
      </c>
      <c r="O120" s="3">
        <v>3423.81</v>
      </c>
      <c r="P120" s="1">
        <v>323.51</v>
      </c>
      <c r="Q120" s="3">
        <v>6235.51</v>
      </c>
      <c r="R120" s="1">
        <v>624.23</v>
      </c>
      <c r="S120" s="3">
        <v>8008</v>
      </c>
      <c r="T120" s="3">
        <v>5768.45</v>
      </c>
      <c r="U120" s="3">
        <v>2477.2800000000002</v>
      </c>
      <c r="V120" s="6">
        <f>VLOOKUP(A120,[2]韩国KOSPI指数历史数据!$A:$B,2,)</f>
        <v>2014.04</v>
      </c>
      <c r="W120" s="6">
        <f>VLOOKUP(A120,[3]日经225指数历史数据!$A:$B,2,)</f>
        <v>10083.56</v>
      </c>
      <c r="X120" s="3">
        <v>1124.8499999999999</v>
      </c>
      <c r="Y120" s="6">
        <f>VLOOKUP(A120,[4]上证指数历史数据!$A:$B,2,)</f>
        <v>2262.79</v>
      </c>
      <c r="Z120" s="6">
        <f>VLOOKUP(A120,[5]深证成份指数历史数据!$A:$B,2,)</f>
        <v>9410.26</v>
      </c>
      <c r="AA120" s="6">
        <f>VLOOKUP(A120,[6]台湾加权指数历史数据!$A:$B,2,)</f>
        <v>7933</v>
      </c>
      <c r="AB120" s="3">
        <v>20555.580000000002</v>
      </c>
      <c r="AC120" s="3">
        <v>3010.46</v>
      </c>
      <c r="AD120">
        <v>5295.55</v>
      </c>
      <c r="AE120" s="5">
        <f>VLOOKUP(A120,[7]越南VN30指数历史数据!$A:$B,2,)</f>
        <v>500.07</v>
      </c>
      <c r="AF120">
        <v>29603.42</v>
      </c>
      <c r="AG120" s="9">
        <v>7241.99</v>
      </c>
      <c r="AH120">
        <v>10948.45</v>
      </c>
      <c r="AI120">
        <v>943.41</v>
      </c>
      <c r="AJ120">
        <v>1325.69</v>
      </c>
    </row>
    <row r="121" spans="1:36" x14ac:dyDescent="0.3">
      <c r="A121" s="2">
        <v>41000</v>
      </c>
      <c r="B121" s="3">
        <v>2557.46</v>
      </c>
      <c r="C121" s="4">
        <v>63691</v>
      </c>
      <c r="D121" s="3">
        <v>4319.8</v>
      </c>
      <c r="E121" s="3">
        <v>13060.14</v>
      </c>
      <c r="F121" s="3">
        <v>12103.11</v>
      </c>
      <c r="G121" s="1">
        <v>818.18</v>
      </c>
      <c r="H121" s="3">
        <v>1398.08</v>
      </c>
      <c r="I121" s="3">
        <v>3080.5</v>
      </c>
      <c r="J121" s="3">
        <v>39398.879999999997</v>
      </c>
      <c r="K121" s="1">
        <v>22111.52</v>
      </c>
      <c r="L121" s="3">
        <v>2263.35</v>
      </c>
      <c r="M121" s="3">
        <v>6775.26</v>
      </c>
      <c r="N121" s="6">
        <f>VLOOKUP(A121,'[1]俄罗斯交易系统市值加权指数历史数据 (1)'!$A:$B,2,)</f>
        <v>1613.25</v>
      </c>
      <c r="O121" s="3">
        <v>3319.81</v>
      </c>
      <c r="P121" s="1">
        <v>314.91000000000003</v>
      </c>
      <c r="Q121" s="3">
        <v>6163.49</v>
      </c>
      <c r="R121" s="1">
        <v>609.4</v>
      </c>
      <c r="S121" s="3">
        <v>7660.5</v>
      </c>
      <c r="T121" s="3">
        <v>5723.67</v>
      </c>
      <c r="U121" s="3">
        <v>2392.54</v>
      </c>
      <c r="V121" s="6">
        <f>VLOOKUP(A121,[2]韩国KOSPI指数历史数据!$A:$B,2,)</f>
        <v>2029.03</v>
      </c>
      <c r="W121" s="6">
        <f>VLOOKUP(A121,[3]日经225指数历史数据!$A:$B,2,)</f>
        <v>9688.4500000000007</v>
      </c>
      <c r="X121" s="3">
        <v>1144.8499999999999</v>
      </c>
      <c r="Y121" s="6">
        <f>VLOOKUP(A121,[4]上证指数历史数据!$A:$B,2,)</f>
        <v>2306.5500000000002</v>
      </c>
      <c r="Z121" s="6">
        <f>VLOOKUP(A121,[5]深证成份指数历史数据!$A:$B,2,)</f>
        <v>9786.19</v>
      </c>
      <c r="AA121" s="6">
        <f>VLOOKUP(A121,[6]台湾加权指数历史数据!$A:$B,2,)</f>
        <v>7706.26</v>
      </c>
      <c r="AB121" s="3">
        <v>20593</v>
      </c>
      <c r="AC121" s="3">
        <v>2986.2</v>
      </c>
      <c r="AD121">
        <v>5322.9</v>
      </c>
      <c r="AE121" s="5">
        <f>VLOOKUP(A121,[7]越南VN30指数历史数据!$A:$B,2,)</f>
        <v>511.51</v>
      </c>
      <c r="AF121">
        <v>29754.87</v>
      </c>
      <c r="AG121" s="9">
        <v>6920.52</v>
      </c>
      <c r="AH121">
        <v>10512.04</v>
      </c>
      <c r="AI121">
        <v>956.22</v>
      </c>
      <c r="AJ121">
        <v>1331.47</v>
      </c>
    </row>
    <row r="122" spans="1:36" x14ac:dyDescent="0.3">
      <c r="A122" s="2">
        <v>41007</v>
      </c>
      <c r="B122" s="3">
        <v>2502.08</v>
      </c>
      <c r="C122" s="4">
        <v>62106</v>
      </c>
      <c r="D122" s="3">
        <v>4323.3</v>
      </c>
      <c r="E122" s="3">
        <v>12849.59</v>
      </c>
      <c r="F122" s="3">
        <v>12040.39</v>
      </c>
      <c r="G122" s="1">
        <v>796.29</v>
      </c>
      <c r="H122" s="3">
        <v>1370.26</v>
      </c>
      <c r="I122" s="3">
        <v>3011.33</v>
      </c>
      <c r="J122" s="3">
        <v>39136.99</v>
      </c>
      <c r="K122" s="1">
        <v>21648.33</v>
      </c>
      <c r="L122" s="3">
        <v>2249.9299999999998</v>
      </c>
      <c r="M122" s="3">
        <v>6583.9</v>
      </c>
      <c r="N122" s="6">
        <f>VLOOKUP(A122,'[1]俄罗斯交易系统市值加权指数历史数据 (1)'!$A:$B,2,)</f>
        <v>1612.74</v>
      </c>
      <c r="O122" s="3">
        <v>3189.09</v>
      </c>
      <c r="P122" s="1">
        <v>306.12</v>
      </c>
      <c r="Q122" s="3">
        <v>6072.12</v>
      </c>
      <c r="R122" s="1">
        <v>605.83000000000004</v>
      </c>
      <c r="S122" s="3">
        <v>7250.6</v>
      </c>
      <c r="T122" s="3">
        <v>5651.79</v>
      </c>
      <c r="U122" s="3">
        <v>2291.5100000000002</v>
      </c>
      <c r="V122" s="6">
        <f>VLOOKUP(A122,[2]韩国KOSPI指数历史数据!$A:$B,2,)</f>
        <v>2008.91</v>
      </c>
      <c r="W122" s="6">
        <f>VLOOKUP(A122,[3]日经225指数历史数据!$A:$B,2,)</f>
        <v>9637.99</v>
      </c>
      <c r="X122" s="3">
        <v>1130.8800000000001</v>
      </c>
      <c r="Y122" s="6">
        <f>VLOOKUP(A122,[4]上证指数历史数据!$A:$B,2,)</f>
        <v>2359.16</v>
      </c>
      <c r="Z122" s="6">
        <f>VLOOKUP(A122,[5]深证成份指数历史数据!$A:$B,2,)</f>
        <v>10043.719999999999</v>
      </c>
      <c r="AA122" s="6">
        <f>VLOOKUP(A122,[6]台湾加权指数历史数据!$A:$B,2,)</f>
        <v>7788.27</v>
      </c>
      <c r="AB122" s="3">
        <v>20701.04</v>
      </c>
      <c r="AC122" s="3">
        <v>2987.82</v>
      </c>
      <c r="AD122">
        <v>5207.45</v>
      </c>
      <c r="AE122" s="5">
        <f>VLOOKUP(A122,[7]越南VN30指数历史数据!$A:$B,2,)</f>
        <v>532.29999999999995</v>
      </c>
      <c r="AF122">
        <v>29721.32</v>
      </c>
      <c r="AG122" s="9">
        <v>6789.91</v>
      </c>
      <c r="AH122">
        <v>10232.790000000001</v>
      </c>
      <c r="AI122">
        <v>955.41</v>
      </c>
      <c r="AJ122">
        <v>1334.49</v>
      </c>
    </row>
    <row r="123" spans="1:36" x14ac:dyDescent="0.3">
      <c r="A123" s="2">
        <v>41014</v>
      </c>
      <c r="B123" s="3">
        <v>2338.48</v>
      </c>
      <c r="C123" s="4">
        <v>62494</v>
      </c>
      <c r="D123" s="3">
        <v>4366.5</v>
      </c>
      <c r="E123" s="3">
        <v>13029.26</v>
      </c>
      <c r="F123" s="3">
        <v>12147.28</v>
      </c>
      <c r="G123" s="1">
        <v>804.05</v>
      </c>
      <c r="H123" s="3">
        <v>1378.53</v>
      </c>
      <c r="I123" s="3">
        <v>3000.45</v>
      </c>
      <c r="J123" s="3">
        <v>39354.86</v>
      </c>
      <c r="K123" s="1">
        <v>21945.07</v>
      </c>
      <c r="L123" s="3">
        <v>2221.91</v>
      </c>
      <c r="M123" s="3">
        <v>6750.12</v>
      </c>
      <c r="N123" s="6">
        <f>VLOOKUP(A123,'[1]俄罗斯交易系统市值加权指数历史数据 (1)'!$A:$B,2,)</f>
        <v>1619.53</v>
      </c>
      <c r="O123" s="3">
        <v>3188.58</v>
      </c>
      <c r="P123" s="1">
        <v>309.2</v>
      </c>
      <c r="Q123" s="3">
        <v>6237.79</v>
      </c>
      <c r="R123" s="1">
        <v>601.23</v>
      </c>
      <c r="S123" s="3">
        <v>7040.6</v>
      </c>
      <c r="T123" s="3">
        <v>5772.15</v>
      </c>
      <c r="U123" s="3">
        <v>2311.27</v>
      </c>
      <c r="V123" s="6">
        <f>VLOOKUP(A123,[2]韩国KOSPI指数历史数据!$A:$B,2,)</f>
        <v>1974.65</v>
      </c>
      <c r="W123" s="6">
        <f>VLOOKUP(A123,[3]日经225指数历史数据!$A:$B,2,)</f>
        <v>9561.36</v>
      </c>
      <c r="X123" s="3">
        <v>1153.1099999999999</v>
      </c>
      <c r="Y123" s="6">
        <f>VLOOKUP(A123,[4]上证指数历史数据!$A:$B,2,)</f>
        <v>2406.86</v>
      </c>
      <c r="Z123" s="6">
        <f>VLOOKUP(A123,[5]深证成份指数历史数据!$A:$B,2,)</f>
        <v>10131.030000000001</v>
      </c>
      <c r="AA123" s="6">
        <f>VLOOKUP(A123,[6]台湾加权指数历史数据!$A:$B,2,)</f>
        <v>7507.15</v>
      </c>
      <c r="AB123" s="3">
        <v>21010.639999999999</v>
      </c>
      <c r="AC123" s="3">
        <v>2994.48</v>
      </c>
      <c r="AD123">
        <v>5290.85</v>
      </c>
      <c r="AE123" s="5">
        <f>VLOOKUP(A123,[7]越南VN30指数历史数据!$A:$B,2,)</f>
        <v>533.74</v>
      </c>
      <c r="AF123">
        <v>30185.77</v>
      </c>
      <c r="AG123" s="9">
        <v>6760.57</v>
      </c>
      <c r="AH123">
        <v>10378.19</v>
      </c>
      <c r="AI123">
        <v>993.38</v>
      </c>
      <c r="AJ123">
        <v>1327.29</v>
      </c>
    </row>
    <row r="124" spans="1:36" x14ac:dyDescent="0.3">
      <c r="A124" s="2">
        <v>41021</v>
      </c>
      <c r="B124" s="3">
        <v>2271.86</v>
      </c>
      <c r="C124" s="4">
        <v>61691</v>
      </c>
      <c r="D124" s="3">
        <v>4362.1000000000004</v>
      </c>
      <c r="E124" s="3">
        <v>13228.31</v>
      </c>
      <c r="F124" s="3">
        <v>12237.75</v>
      </c>
      <c r="G124" s="1">
        <v>825.47</v>
      </c>
      <c r="H124" s="3">
        <v>1403.36</v>
      </c>
      <c r="I124" s="3">
        <v>3069.2</v>
      </c>
      <c r="J124" s="3">
        <v>39324.14</v>
      </c>
      <c r="K124" s="1">
        <v>21878.66</v>
      </c>
      <c r="L124" s="3">
        <v>2244.3000000000002</v>
      </c>
      <c r="M124" s="3">
        <v>6801.32</v>
      </c>
      <c r="N124" s="6">
        <f>VLOOKUP(A124,'[1]俄罗斯交易系统市值加权指数历史数据 (1)'!$A:$B,2,)</f>
        <v>1594.2</v>
      </c>
      <c r="O124" s="3">
        <v>3266.27</v>
      </c>
      <c r="P124" s="1">
        <v>310.75</v>
      </c>
      <c r="Q124" s="3">
        <v>6116.36</v>
      </c>
      <c r="R124" s="1">
        <v>605.97</v>
      </c>
      <c r="S124" s="3">
        <v>7145.8</v>
      </c>
      <c r="T124" s="3">
        <v>5777.11</v>
      </c>
      <c r="U124" s="3">
        <v>2344.02</v>
      </c>
      <c r="V124" s="6">
        <f>VLOOKUP(A124,[2]韩国KOSPI指数历史数据!$A:$B,2,)</f>
        <v>1975.35</v>
      </c>
      <c r="W124" s="6">
        <f>VLOOKUP(A124,[3]日经225指数历史数据!$A:$B,2,)</f>
        <v>9520.89</v>
      </c>
      <c r="X124" s="3">
        <v>1162.95</v>
      </c>
      <c r="Y124" s="6">
        <f>VLOOKUP(A124,[4]上证指数历史数据!$A:$B,2,)</f>
        <v>2396.3200000000002</v>
      </c>
      <c r="Z124" s="6">
        <f>VLOOKUP(A124,[5]深证成份指数历史数据!$A:$B,2,)</f>
        <v>10180.39</v>
      </c>
      <c r="AA124" s="6">
        <f>VLOOKUP(A124,[6]台湾加权指数历史数据!$A:$B,2,)</f>
        <v>7480.5</v>
      </c>
      <c r="AB124" s="3">
        <v>20741.45</v>
      </c>
      <c r="AC124" s="3">
        <v>2981.58</v>
      </c>
      <c r="AD124">
        <v>5190.6000000000004</v>
      </c>
      <c r="AE124" s="5">
        <f>VLOOKUP(A124,[7]越南VN30指数历史数据!$A:$B,2,)</f>
        <v>541.20000000000005</v>
      </c>
      <c r="AF124">
        <v>30247.51</v>
      </c>
      <c r="AG124" s="9">
        <v>7094.29</v>
      </c>
      <c r="AH124">
        <v>10218.219999999999</v>
      </c>
      <c r="AI124">
        <v>1009.3</v>
      </c>
      <c r="AJ124">
        <v>1326.75</v>
      </c>
    </row>
    <row r="125" spans="1:36" x14ac:dyDescent="0.3">
      <c r="A125" s="2">
        <v>41028</v>
      </c>
      <c r="B125" s="3">
        <v>2215.34</v>
      </c>
      <c r="C125" s="4">
        <v>60821</v>
      </c>
      <c r="D125" s="3">
        <v>4396</v>
      </c>
      <c r="E125" s="3">
        <v>13038.27</v>
      </c>
      <c r="F125" s="3">
        <v>11871.23</v>
      </c>
      <c r="G125" s="1">
        <v>791.84</v>
      </c>
      <c r="H125" s="3">
        <v>1369.1</v>
      </c>
      <c r="I125" s="3">
        <v>2956.34</v>
      </c>
      <c r="J125" s="3">
        <v>39408.61</v>
      </c>
      <c r="K125" s="1">
        <v>21706.6</v>
      </c>
      <c r="L125" s="3">
        <v>2210.08</v>
      </c>
      <c r="M125" s="3">
        <v>6561.47</v>
      </c>
      <c r="N125" s="6">
        <f>VLOOKUP(A125,'[1]俄罗斯交易系统市值加权指数历史数据 (1)'!$A:$B,2,)</f>
        <v>1498.05</v>
      </c>
      <c r="O125" s="3">
        <v>3161.97</v>
      </c>
      <c r="P125" s="1">
        <v>300.95</v>
      </c>
      <c r="Q125" s="3">
        <v>6056.79</v>
      </c>
      <c r="R125" s="1">
        <v>590.16</v>
      </c>
      <c r="S125" s="3">
        <v>6876</v>
      </c>
      <c r="T125" s="3">
        <v>5655.06</v>
      </c>
      <c r="U125" s="3">
        <v>2248.34</v>
      </c>
      <c r="V125" s="6">
        <f>VLOOKUP(A125,[2]韩国KOSPI指数历史数据!$A:$B,2,)</f>
        <v>1989.15</v>
      </c>
      <c r="W125" s="6">
        <f>VLOOKUP(A125,[3]日经225指数历史数据!$A:$B,2,)</f>
        <v>9380.25</v>
      </c>
      <c r="X125" s="3">
        <v>1167.67</v>
      </c>
      <c r="Y125" s="6">
        <f>VLOOKUP(A125,[4]上证指数历史数据!$A:$B,2,)</f>
        <v>2452.0100000000002</v>
      </c>
      <c r="Z125" s="6">
        <f>VLOOKUP(A125,[5]深证成份指数历史数据!$A:$B,2,)</f>
        <v>10573.6</v>
      </c>
      <c r="AA125" s="6">
        <f>VLOOKUP(A125,[6]台湾加权指数历史数据!$A:$B,2,)</f>
        <v>7700.95</v>
      </c>
      <c r="AB125" s="3">
        <v>21086</v>
      </c>
      <c r="AC125" s="3">
        <v>2990.59</v>
      </c>
      <c r="AD125">
        <v>5086.8500000000004</v>
      </c>
      <c r="AE125" s="5">
        <f>VLOOKUP(A125,[7]越南VN30指数历史数据!$A:$B,2,)</f>
        <v>542.5</v>
      </c>
      <c r="AF125">
        <v>30065.47</v>
      </c>
      <c r="AG125" s="9">
        <v>7023.2</v>
      </c>
      <c r="AH125">
        <v>10302.08</v>
      </c>
      <c r="AI125">
        <v>1040.57</v>
      </c>
      <c r="AJ125">
        <v>1318.17</v>
      </c>
    </row>
    <row r="126" spans="1:36" x14ac:dyDescent="0.3">
      <c r="A126" s="2">
        <v>41035</v>
      </c>
      <c r="B126" s="3">
        <v>2304.61</v>
      </c>
      <c r="C126" s="4">
        <v>59445</v>
      </c>
      <c r="D126" s="3">
        <v>4285.1000000000004</v>
      </c>
      <c r="E126" s="3">
        <v>12820.6</v>
      </c>
      <c r="F126" s="3">
        <v>11694.67</v>
      </c>
      <c r="G126" s="1">
        <v>790.06</v>
      </c>
      <c r="H126" s="3">
        <v>1353.39</v>
      </c>
      <c r="I126" s="3">
        <v>2933.82</v>
      </c>
      <c r="J126" s="3">
        <v>38888.79</v>
      </c>
      <c r="K126" s="1">
        <v>21522.76</v>
      </c>
      <c r="L126" s="3">
        <v>2178.77</v>
      </c>
      <c r="M126" s="3">
        <v>6579.93</v>
      </c>
      <c r="N126" s="6">
        <f>VLOOKUP(A126,'[1]俄罗斯交易系统市值加权指数历史数据 (1)'!$A:$B,2,)</f>
        <v>1464.53</v>
      </c>
      <c r="O126" s="3">
        <v>3129.77</v>
      </c>
      <c r="P126" s="1">
        <v>305.27999999999997</v>
      </c>
      <c r="Q126" s="3">
        <v>5954.88</v>
      </c>
      <c r="R126" s="1">
        <v>588.73</v>
      </c>
      <c r="S126" s="3">
        <v>6995.6</v>
      </c>
      <c r="T126" s="3">
        <v>5575.52</v>
      </c>
      <c r="U126" s="3">
        <v>2254.54</v>
      </c>
      <c r="V126" s="6">
        <f>VLOOKUP(A126,[2]韩国KOSPI指数历史数据!$A:$B,2,)</f>
        <v>1917.13</v>
      </c>
      <c r="W126" s="6">
        <f>VLOOKUP(A126,[3]日经225指数历史数据!$A:$B,2,)</f>
        <v>8953.31</v>
      </c>
      <c r="X126" s="3">
        <v>1135.22</v>
      </c>
      <c r="Y126" s="6">
        <f>VLOOKUP(A126,[4]上证指数历史数据!$A:$B,2,)</f>
        <v>2394.98</v>
      </c>
      <c r="Z126" s="6">
        <f>VLOOKUP(A126,[5]深证成份指数历史数据!$A:$B,2,)</f>
        <v>10211.41</v>
      </c>
      <c r="AA126" s="6">
        <f>VLOOKUP(A126,[6]台湾加权指数历史数据!$A:$B,2,)</f>
        <v>7401.37</v>
      </c>
      <c r="AB126" s="3">
        <v>19964.63</v>
      </c>
      <c r="AC126" s="3">
        <v>2883.4</v>
      </c>
      <c r="AD126">
        <v>4928.8999999999996</v>
      </c>
      <c r="AE126" s="5">
        <f>VLOOKUP(A126,[7]越南VN30指数历史数据!$A:$B,2,)</f>
        <v>547.94000000000005</v>
      </c>
      <c r="AF126">
        <v>30076.45</v>
      </c>
      <c r="AG126" s="9">
        <v>7180.12</v>
      </c>
      <c r="AH126">
        <v>10244.27</v>
      </c>
      <c r="AI126">
        <v>1031.8399999999999</v>
      </c>
      <c r="AJ126">
        <v>1322.36</v>
      </c>
    </row>
    <row r="127" spans="1:36" x14ac:dyDescent="0.3">
      <c r="A127" s="2">
        <v>41042</v>
      </c>
      <c r="B127" s="3">
        <v>2134.85</v>
      </c>
      <c r="C127" s="4">
        <v>54513</v>
      </c>
      <c r="D127" s="3">
        <v>4046.5</v>
      </c>
      <c r="E127" s="3">
        <v>12369.38</v>
      </c>
      <c r="F127" s="3">
        <v>11280.64</v>
      </c>
      <c r="G127" s="1">
        <v>747.21</v>
      </c>
      <c r="H127" s="3">
        <v>1295.22</v>
      </c>
      <c r="I127" s="3">
        <v>2778.79</v>
      </c>
      <c r="J127" s="3">
        <v>36875.33</v>
      </c>
      <c r="K127" s="1">
        <v>20563.78</v>
      </c>
      <c r="L127" s="3">
        <v>2060.9899999999998</v>
      </c>
      <c r="M127" s="3">
        <v>6271.22</v>
      </c>
      <c r="N127" s="6">
        <f>VLOOKUP(A127,'[1]俄罗斯交易系统市值加权指数历史数据 (1)'!$A:$B,2,)</f>
        <v>1289.46</v>
      </c>
      <c r="O127" s="3">
        <v>3008</v>
      </c>
      <c r="P127" s="1">
        <v>288.77</v>
      </c>
      <c r="Q127" s="3">
        <v>5797.76</v>
      </c>
      <c r="R127" s="1">
        <v>569.36</v>
      </c>
      <c r="S127" s="3">
        <v>6566.7</v>
      </c>
      <c r="T127" s="3">
        <v>5267.62</v>
      </c>
      <c r="U127" s="3">
        <v>2144.69</v>
      </c>
      <c r="V127" s="6">
        <f>VLOOKUP(A127,[2]韩国KOSPI指数历史数据!$A:$B,2,)</f>
        <v>1782.46</v>
      </c>
      <c r="W127" s="6">
        <f>VLOOKUP(A127,[3]日经225指数历史数据!$A:$B,2,)</f>
        <v>8611.31</v>
      </c>
      <c r="X127" s="3">
        <v>1081.74</v>
      </c>
      <c r="Y127" s="6">
        <f>VLOOKUP(A127,[4]上证指数历史数据!$A:$B,2,)</f>
        <v>2344.52</v>
      </c>
      <c r="Z127" s="6">
        <f>VLOOKUP(A127,[5]深证成份指数历史数据!$A:$B,2,)</f>
        <v>9903.09</v>
      </c>
      <c r="AA127" s="6">
        <f>VLOOKUP(A127,[6]台湾加权指数历史数据!$A:$B,2,)</f>
        <v>7151.19</v>
      </c>
      <c r="AB127" s="3">
        <v>18951.849999999999</v>
      </c>
      <c r="AC127" s="3">
        <v>2779.1</v>
      </c>
      <c r="AD127">
        <v>4891.45</v>
      </c>
      <c r="AE127" s="5">
        <f>VLOOKUP(A127,[7]越南VN30指数历史数据!$A:$B,2,)</f>
        <v>504.61</v>
      </c>
      <c r="AF127">
        <v>29212.42</v>
      </c>
      <c r="AG127" s="9">
        <v>6959.34</v>
      </c>
      <c r="AH127">
        <v>9747.0400000000009</v>
      </c>
      <c r="AI127">
        <v>1017.32</v>
      </c>
      <c r="AJ127">
        <v>1323.2</v>
      </c>
    </row>
    <row r="128" spans="1:36" x14ac:dyDescent="0.3">
      <c r="A128" s="2">
        <v>41049</v>
      </c>
      <c r="B128" s="3">
        <v>2340.2600000000002</v>
      </c>
      <c r="C128" s="4">
        <v>54463</v>
      </c>
      <c r="D128" s="3">
        <v>4029.2</v>
      </c>
      <c r="E128" s="3">
        <v>12454.83</v>
      </c>
      <c r="F128" s="3">
        <v>11576.47</v>
      </c>
      <c r="G128" s="1">
        <v>766.41</v>
      </c>
      <c r="H128" s="3">
        <v>1317.82</v>
      </c>
      <c r="I128" s="3">
        <v>2837.53</v>
      </c>
      <c r="J128" s="3">
        <v>37486.25</v>
      </c>
      <c r="K128" s="1">
        <v>20585.259999999998</v>
      </c>
      <c r="L128" s="3">
        <v>2037.18</v>
      </c>
      <c r="M128" s="3">
        <v>6339.94</v>
      </c>
      <c r="N128" s="6">
        <f>VLOOKUP(A128,'[1]俄罗斯交易系统市值加权指数历史数据 (1)'!$A:$B,2,)</f>
        <v>1272.69</v>
      </c>
      <c r="O128" s="3">
        <v>3047.94</v>
      </c>
      <c r="P128" s="1">
        <v>292.76</v>
      </c>
      <c r="Q128" s="3">
        <v>5865.19</v>
      </c>
      <c r="R128" s="1">
        <v>548.1</v>
      </c>
      <c r="S128" s="3">
        <v>6543</v>
      </c>
      <c r="T128" s="3">
        <v>5351.53</v>
      </c>
      <c r="U128" s="3">
        <v>2161.87</v>
      </c>
      <c r="V128" s="6">
        <f>VLOOKUP(A128,[2]韩国KOSPI指数历史数据!$A:$B,2,)</f>
        <v>1824.17</v>
      </c>
      <c r="W128" s="6">
        <f>VLOOKUP(A128,[3]日经225指数历史数据!$A:$B,2,)</f>
        <v>8580.39</v>
      </c>
      <c r="X128" s="3">
        <v>1050.92</v>
      </c>
      <c r="Y128" s="6">
        <f>VLOOKUP(A128,[4]上证指数历史数据!$A:$B,2,)</f>
        <v>2333.5500000000002</v>
      </c>
      <c r="Z128" s="6">
        <f>VLOOKUP(A128,[5]深证成份指数历史数据!$A:$B,2,)</f>
        <v>9884.9599999999991</v>
      </c>
      <c r="AA128" s="6">
        <f>VLOOKUP(A128,[6]台湾加权指数历史数据!$A:$B,2,)</f>
        <v>7071.63</v>
      </c>
      <c r="AB128" s="3">
        <v>18713.41</v>
      </c>
      <c r="AC128" s="3">
        <v>2772.75</v>
      </c>
      <c r="AD128">
        <v>4920.3999999999996</v>
      </c>
      <c r="AE128" s="5">
        <f>VLOOKUP(A128,[7]越南VN30指数历史数据!$A:$B,2,)</f>
        <v>514.27</v>
      </c>
      <c r="AF128">
        <v>29074.19</v>
      </c>
      <c r="AG128" s="9">
        <v>7082.8</v>
      </c>
      <c r="AH128">
        <v>10052.14</v>
      </c>
      <c r="AI128">
        <v>1013.51</v>
      </c>
      <c r="AJ128">
        <v>1322.58</v>
      </c>
    </row>
    <row r="129" spans="1:36" x14ac:dyDescent="0.3">
      <c r="A129" s="2">
        <v>41056</v>
      </c>
      <c r="B129" s="3">
        <v>2215.1799999999998</v>
      </c>
      <c r="C129" s="4">
        <v>53403</v>
      </c>
      <c r="D129" s="3">
        <v>4063.9</v>
      </c>
      <c r="E129" s="3">
        <v>12118.57</v>
      </c>
      <c r="F129" s="3">
        <v>11361.2</v>
      </c>
      <c r="G129" s="1">
        <v>737.42</v>
      </c>
      <c r="H129" s="3">
        <v>1278.04</v>
      </c>
      <c r="I129" s="3">
        <v>2747.48</v>
      </c>
      <c r="J129" s="3">
        <v>37182.370000000003</v>
      </c>
      <c r="K129" s="1">
        <v>20646.86</v>
      </c>
      <c r="L129" s="3">
        <v>2071.54</v>
      </c>
      <c r="M129" s="3">
        <v>6050.29</v>
      </c>
      <c r="N129" s="6">
        <f>VLOOKUP(A129,'[1]俄罗斯交易系统市值加权指数历史数据 (1)'!$A:$B,2,)</f>
        <v>1227.6500000000001</v>
      </c>
      <c r="O129" s="3">
        <v>2950.47</v>
      </c>
      <c r="P129" s="1">
        <v>283.77</v>
      </c>
      <c r="Q129" s="3">
        <v>5777.47</v>
      </c>
      <c r="R129" s="1">
        <v>555.67999999999995</v>
      </c>
      <c r="S129" s="3">
        <v>6065</v>
      </c>
      <c r="T129" s="3">
        <v>5260.19</v>
      </c>
      <c r="U129" s="3">
        <v>2068.66</v>
      </c>
      <c r="V129" s="6">
        <f>VLOOKUP(A129,[2]韩国KOSPI指数历史数据!$A:$B,2,)</f>
        <v>1834.51</v>
      </c>
      <c r="W129" s="6">
        <f>VLOOKUP(A129,[3]日经225指数历史数据!$A:$B,2,)</f>
        <v>8440.25</v>
      </c>
      <c r="X129" s="3">
        <v>1065.02</v>
      </c>
      <c r="Y129" s="6">
        <f>VLOOKUP(A129,[4]上证指数历史数据!$A:$B,2,)</f>
        <v>2373.44</v>
      </c>
      <c r="Z129" s="6">
        <f>VLOOKUP(A129,[5]深证成份指数历史数据!$A:$B,2,)</f>
        <v>10145.799999999999</v>
      </c>
      <c r="AA129" s="6">
        <f>VLOOKUP(A129,[6]台湾加权指数历史数据!$A:$B,2,)</f>
        <v>7106.09</v>
      </c>
      <c r="AB129" s="3">
        <v>18558.34</v>
      </c>
      <c r="AC129" s="3">
        <v>2745.71</v>
      </c>
      <c r="AD129">
        <v>4841.6000000000004</v>
      </c>
      <c r="AE129" s="5">
        <f>VLOOKUP(A129,[7]越南VN30指数历史数据!$A:$B,2,)</f>
        <v>505.65</v>
      </c>
      <c r="AF129">
        <v>29161</v>
      </c>
      <c r="AG129" s="9">
        <v>6652.67</v>
      </c>
      <c r="AH129">
        <v>10230.290000000001</v>
      </c>
      <c r="AI129">
        <v>995.45</v>
      </c>
      <c r="AJ129">
        <v>1318.35</v>
      </c>
    </row>
    <row r="130" spans="1:36" x14ac:dyDescent="0.3">
      <c r="A130" s="2">
        <v>41063</v>
      </c>
      <c r="B130" s="3">
        <v>2198.48</v>
      </c>
      <c r="C130" s="4">
        <v>54430</v>
      </c>
      <c r="D130" s="3">
        <v>4063.7</v>
      </c>
      <c r="E130" s="3">
        <v>12554.2</v>
      </c>
      <c r="F130" s="3">
        <v>11500.63</v>
      </c>
      <c r="G130" s="1">
        <v>769.19</v>
      </c>
      <c r="H130" s="3">
        <v>1325.66</v>
      </c>
      <c r="I130" s="3">
        <v>2858.42</v>
      </c>
      <c r="J130" s="3">
        <v>37323.910000000003</v>
      </c>
      <c r="K130" s="1">
        <v>20898.599999999999</v>
      </c>
      <c r="L130" s="3">
        <v>2153.86</v>
      </c>
      <c r="M130" s="3">
        <v>6130.82</v>
      </c>
      <c r="N130" s="6">
        <f>VLOOKUP(A130,'[1]俄罗斯交易系统市值加权指数历史数据 (1)'!$A:$B,2,)</f>
        <v>1282.48</v>
      </c>
      <c r="O130" s="3">
        <v>3051.69</v>
      </c>
      <c r="P130" s="1">
        <v>291.73</v>
      </c>
      <c r="Q130" s="3">
        <v>5869.32</v>
      </c>
      <c r="R130" s="1">
        <v>573</v>
      </c>
      <c r="S130" s="3">
        <v>6552</v>
      </c>
      <c r="T130" s="3">
        <v>5435.08</v>
      </c>
      <c r="U130" s="3">
        <v>2143.9</v>
      </c>
      <c r="V130" s="6">
        <f>VLOOKUP(A130,[2]韩国KOSPI指数历史数据!$A:$B,2,)</f>
        <v>1835.64</v>
      </c>
      <c r="W130" s="6">
        <f>VLOOKUP(A130,[3]日经225指数历史数据!$A:$B,2,)</f>
        <v>8459.26</v>
      </c>
      <c r="X130" s="3">
        <v>1089.43</v>
      </c>
      <c r="Y130" s="6">
        <f>VLOOKUP(A130,[4]上证指数历史数据!$A:$B,2,)</f>
        <v>2281.4499999999998</v>
      </c>
      <c r="Z130" s="6">
        <f>VLOOKUP(A130,[5]深证成份指数历史数据!$A:$B,2,)</f>
        <v>9707.18</v>
      </c>
      <c r="AA130" s="6">
        <f>VLOOKUP(A130,[6]台湾加权指数历史数据!$A:$B,2,)</f>
        <v>6999.65</v>
      </c>
      <c r="AB130" s="3">
        <v>18502.34</v>
      </c>
      <c r="AC130" s="3">
        <v>2737.89</v>
      </c>
      <c r="AD130">
        <v>5068.3500000000004</v>
      </c>
      <c r="AE130" s="5">
        <f>VLOOKUP(A130,[7]越南VN30指数历史数据!$A:$B,2,)</f>
        <v>508.15</v>
      </c>
      <c r="AF130">
        <v>29705.42</v>
      </c>
      <c r="AG130" s="9">
        <v>6355.92</v>
      </c>
      <c r="AH130">
        <v>10150.549999999999</v>
      </c>
      <c r="AI130">
        <v>946.33</v>
      </c>
      <c r="AJ130">
        <v>1310.3399999999999</v>
      </c>
    </row>
    <row r="131" spans="1:36" x14ac:dyDescent="0.3">
      <c r="A131" s="2">
        <v>41070</v>
      </c>
      <c r="B131" s="3">
        <v>2273.02</v>
      </c>
      <c r="C131" s="4">
        <v>56105</v>
      </c>
      <c r="D131" s="3">
        <v>4057.3</v>
      </c>
      <c r="E131" s="3">
        <v>12767.17</v>
      </c>
      <c r="F131" s="3">
        <v>11524.9</v>
      </c>
      <c r="G131" s="1">
        <v>771.32</v>
      </c>
      <c r="H131" s="3">
        <v>1342.84</v>
      </c>
      <c r="I131" s="3">
        <v>2872.8</v>
      </c>
      <c r="J131" s="3">
        <v>37738.58</v>
      </c>
      <c r="K131" s="1">
        <v>20783.830000000002</v>
      </c>
      <c r="L131" s="3">
        <v>2233.38</v>
      </c>
      <c r="M131" s="3">
        <v>6229.41</v>
      </c>
      <c r="N131" s="6">
        <f>VLOOKUP(A131,'[1]俄罗斯交易系统市值加权指数历史数据 (1)'!$A:$B,2,)</f>
        <v>1337.5</v>
      </c>
      <c r="O131" s="3">
        <v>3087.62</v>
      </c>
      <c r="P131" s="1">
        <v>297.58</v>
      </c>
      <c r="Q131" s="3">
        <v>5911.82</v>
      </c>
      <c r="R131" s="1">
        <v>584.67999999999995</v>
      </c>
      <c r="S131" s="3">
        <v>6719</v>
      </c>
      <c r="T131" s="3">
        <v>5478.81</v>
      </c>
      <c r="U131" s="3">
        <v>2181.23</v>
      </c>
      <c r="V131" s="6">
        <f>VLOOKUP(A131,[2]韩国KOSPI指数历史数据!$A:$B,2,)</f>
        <v>1858.16</v>
      </c>
      <c r="W131" s="6">
        <f>VLOOKUP(A131,[3]日经225指数历史数据!$A:$B,2,)</f>
        <v>8569.32</v>
      </c>
      <c r="X131" s="3">
        <v>1049.58</v>
      </c>
      <c r="Y131" s="6">
        <f>VLOOKUP(A131,[4]上证指数历史数据!$A:$B,2,)</f>
        <v>2306.85</v>
      </c>
      <c r="Z131" s="6">
        <f>VLOOKUP(A131,[5]深证成份指数历史数据!$A:$B,2,)</f>
        <v>9885.65</v>
      </c>
      <c r="AA131" s="6">
        <f>VLOOKUP(A131,[6]台湾加权指数历史数据!$A:$B,2,)</f>
        <v>7155.83</v>
      </c>
      <c r="AB131" s="3">
        <v>19233.939999999999</v>
      </c>
      <c r="AC131" s="3">
        <v>2811</v>
      </c>
      <c r="AD131">
        <v>5139.05</v>
      </c>
      <c r="AE131" s="5">
        <f>VLOOKUP(A131,[7]越南VN30指数历史数据!$A:$B,2,)</f>
        <v>507.94</v>
      </c>
      <c r="AF131">
        <v>29977.279999999999</v>
      </c>
      <c r="AG131" s="9">
        <v>6263.89</v>
      </c>
      <c r="AH131">
        <v>10052.41</v>
      </c>
      <c r="AI131">
        <v>964.43</v>
      </c>
      <c r="AJ131">
        <v>1312.17</v>
      </c>
    </row>
    <row r="132" spans="1:36" x14ac:dyDescent="0.3">
      <c r="A132" s="2">
        <v>41077</v>
      </c>
      <c r="B132" s="3">
        <v>2341.4899999999998</v>
      </c>
      <c r="C132" s="4">
        <v>55440</v>
      </c>
      <c r="D132" s="3">
        <v>4048.2</v>
      </c>
      <c r="E132" s="3">
        <v>12640.78</v>
      </c>
      <c r="F132" s="3">
        <v>11435.54</v>
      </c>
      <c r="G132" s="1">
        <v>775.16</v>
      </c>
      <c r="H132" s="3">
        <v>1335.02</v>
      </c>
      <c r="I132" s="3">
        <v>2892.42</v>
      </c>
      <c r="J132" s="3">
        <v>39071.5</v>
      </c>
      <c r="K132" s="1">
        <v>20914.400000000001</v>
      </c>
      <c r="L132" s="3">
        <v>2242.15</v>
      </c>
      <c r="M132" s="3">
        <v>6263.25</v>
      </c>
      <c r="N132" s="6">
        <f>VLOOKUP(A132,'[1]俄罗斯交易系统市值加权指数历史数据 (1)'!$A:$B,2,)</f>
        <v>1281.8800000000001</v>
      </c>
      <c r="O132" s="3">
        <v>3090.9</v>
      </c>
      <c r="P132" s="1">
        <v>298.76</v>
      </c>
      <c r="Q132" s="3">
        <v>5989.33</v>
      </c>
      <c r="R132" s="1">
        <v>604.51</v>
      </c>
      <c r="S132" s="3">
        <v>6876.3</v>
      </c>
      <c r="T132" s="3">
        <v>5513.69</v>
      </c>
      <c r="U132" s="3">
        <v>2186.81</v>
      </c>
      <c r="V132" s="6">
        <f>VLOOKUP(A132,[2]韩国KOSPI指数历史数据!$A:$B,2,)</f>
        <v>1847.39</v>
      </c>
      <c r="W132" s="6">
        <f>VLOOKUP(A132,[3]日经225指数历史数据!$A:$B,2,)</f>
        <v>8798.35</v>
      </c>
      <c r="X132" s="3">
        <v>1073.46</v>
      </c>
      <c r="Y132" s="6">
        <f>VLOOKUP(A132,[4]上证指数历史数据!$A:$B,2,)</f>
        <v>2260.88</v>
      </c>
      <c r="Z132" s="6">
        <f>VLOOKUP(A132,[5]深证成份指数历史数据!$A:$B,2,)</f>
        <v>9682.69</v>
      </c>
      <c r="AA132" s="6">
        <f>VLOOKUP(A132,[6]台湾加权指数历史数据!$A:$B,2,)</f>
        <v>7222.05</v>
      </c>
      <c r="AB132" s="3">
        <v>18995.13</v>
      </c>
      <c r="AC132" s="3">
        <v>2828.09</v>
      </c>
      <c r="AD132">
        <v>5146.05</v>
      </c>
      <c r="AE132" s="5">
        <f>VLOOKUP(A132,[7]越南VN30指数历史数据!$A:$B,2,)</f>
        <v>500.34</v>
      </c>
      <c r="AF132">
        <v>30025.43</v>
      </c>
      <c r="AG132" s="9">
        <v>5741.77</v>
      </c>
      <c r="AH132">
        <v>10034.719999999999</v>
      </c>
      <c r="AI132">
        <v>973.51</v>
      </c>
      <c r="AJ132">
        <v>1433.6</v>
      </c>
    </row>
    <row r="133" spans="1:36" x14ac:dyDescent="0.3">
      <c r="A133" s="2">
        <v>41084</v>
      </c>
      <c r="B133" s="3">
        <v>2346.6799999999998</v>
      </c>
      <c r="C133" s="4">
        <v>54355</v>
      </c>
      <c r="D133" s="3">
        <v>4094.6</v>
      </c>
      <c r="E133" s="3">
        <v>12880.09</v>
      </c>
      <c r="F133" s="3">
        <v>11596.56</v>
      </c>
      <c r="G133" s="1">
        <v>798.49</v>
      </c>
      <c r="H133" s="3">
        <v>1362.16</v>
      </c>
      <c r="I133" s="3">
        <v>2935.05</v>
      </c>
      <c r="J133" s="3">
        <v>40199.550000000003</v>
      </c>
      <c r="K133" s="1">
        <v>21079.74</v>
      </c>
      <c r="L133" s="3">
        <v>2275.3000000000002</v>
      </c>
      <c r="M133" s="3">
        <v>6416.28</v>
      </c>
      <c r="N133" s="6">
        <f>VLOOKUP(A133,'[1]俄罗斯交易系统市值加权指数历史数据 (1)'!$A:$B,2,)</f>
        <v>1350.51</v>
      </c>
      <c r="O133" s="3">
        <v>3196.65</v>
      </c>
      <c r="P133" s="1">
        <v>307.31</v>
      </c>
      <c r="Q133" s="3">
        <v>6066.86</v>
      </c>
      <c r="R133" s="1">
        <v>625.42999999999995</v>
      </c>
      <c r="S133" s="3">
        <v>7102.2</v>
      </c>
      <c r="T133" s="3">
        <v>5571.15</v>
      </c>
      <c r="U133" s="3">
        <v>2264.7199999999998</v>
      </c>
      <c r="V133" s="6">
        <f>VLOOKUP(A133,[2]韩国KOSPI指数历史数据!$A:$B,2,)</f>
        <v>1854.01</v>
      </c>
      <c r="W133" s="6">
        <f>VLOOKUP(A133,[3]日经225指数历史数据!$A:$B,2,)</f>
        <v>9006.7800000000007</v>
      </c>
      <c r="X133" s="3">
        <v>1057.6300000000001</v>
      </c>
      <c r="Y133" s="6">
        <f>VLOOKUP(A133,[4]上证指数历史数据!$A:$B,2,)</f>
        <v>2225.4299999999998</v>
      </c>
      <c r="Z133" s="6">
        <f>VLOOKUP(A133,[5]深证成份指数历史数据!$A:$B,2,)</f>
        <v>9500.32</v>
      </c>
      <c r="AA133" s="6">
        <f>VLOOKUP(A133,[6]台湾加权指数历史数据!$A:$B,2,)</f>
        <v>7296.28</v>
      </c>
      <c r="AB133" s="3">
        <v>19441.46</v>
      </c>
      <c r="AC133" s="3">
        <v>2878.45</v>
      </c>
      <c r="AD133">
        <v>5278.9</v>
      </c>
      <c r="AE133" s="5">
        <f>VLOOKUP(A133,[7]越南VN30指数历史数据!$A:$B,2,)</f>
        <v>497.73</v>
      </c>
      <c r="AF133">
        <v>29638.01</v>
      </c>
      <c r="AG133" s="9">
        <v>6716.03</v>
      </c>
      <c r="AH133">
        <v>10053.9</v>
      </c>
      <c r="AI133">
        <v>981.44</v>
      </c>
      <c r="AJ133">
        <v>1437.84</v>
      </c>
    </row>
    <row r="134" spans="1:36" x14ac:dyDescent="0.3">
      <c r="A134" s="2">
        <v>41091</v>
      </c>
      <c r="B134" s="3">
        <v>2383.69</v>
      </c>
      <c r="C134" s="4">
        <v>55394</v>
      </c>
      <c r="D134" s="3">
        <v>4157.8</v>
      </c>
      <c r="E134" s="3">
        <v>12772.47</v>
      </c>
      <c r="F134" s="3">
        <v>11659.96</v>
      </c>
      <c r="G134" s="1">
        <v>807.14</v>
      </c>
      <c r="H134" s="3">
        <v>1354.68</v>
      </c>
      <c r="I134" s="3">
        <v>2937.33</v>
      </c>
      <c r="J134" s="3">
        <v>39831.65</v>
      </c>
      <c r="K134" s="1">
        <v>21127.37</v>
      </c>
      <c r="L134" s="3">
        <v>2273.2800000000002</v>
      </c>
      <c r="M134" s="3">
        <v>6410.11</v>
      </c>
      <c r="N134" s="6">
        <f>VLOOKUP(A134,'[1]俄罗斯交易系统市值加权指数历史数据 (1)'!$A:$B,2,)</f>
        <v>1357.71</v>
      </c>
      <c r="O134" s="3">
        <v>3168.79</v>
      </c>
      <c r="P134" s="1">
        <v>309.83999999999997</v>
      </c>
      <c r="Q134" s="3">
        <v>6183.67</v>
      </c>
      <c r="R134" s="1">
        <v>627.80999999999995</v>
      </c>
      <c r="S134" s="3">
        <v>6738.9</v>
      </c>
      <c r="T134" s="3">
        <v>5662.63</v>
      </c>
      <c r="U134" s="3">
        <v>2235.5100000000002</v>
      </c>
      <c r="V134" s="6">
        <f>VLOOKUP(A134,[2]韩国KOSPI指数历史数据!$A:$B,2,)</f>
        <v>1858.2</v>
      </c>
      <c r="W134" s="6">
        <f>VLOOKUP(A134,[3]日经225指数历史数据!$A:$B,2,)</f>
        <v>9020.75</v>
      </c>
      <c r="X134" s="3">
        <v>1083.42</v>
      </c>
      <c r="Y134" s="6">
        <f>VLOOKUP(A134,[4]上证指数历史数据!$A:$B,2,)</f>
        <v>2223.58</v>
      </c>
      <c r="Z134" s="6">
        <f>VLOOKUP(A134,[5]深证成份指数历史数据!$A:$B,2,)</f>
        <v>9690.16</v>
      </c>
      <c r="AA134" s="6">
        <f>VLOOKUP(A134,[6]台湾加权指数历史数据!$A:$B,2,)</f>
        <v>7368.59</v>
      </c>
      <c r="AB134" s="3">
        <v>19800.64</v>
      </c>
      <c r="AC134" s="3">
        <v>2978.55</v>
      </c>
      <c r="AD134">
        <v>5316.95</v>
      </c>
      <c r="AE134" s="5">
        <f>VLOOKUP(A134,[7]越南VN30指数历史数据!$A:$B,2,)</f>
        <v>490.64</v>
      </c>
      <c r="AF134">
        <v>30056.92</v>
      </c>
      <c r="AG134" s="9">
        <v>7065.57</v>
      </c>
      <c r="AH134">
        <v>9958.3799999999992</v>
      </c>
      <c r="AI134">
        <v>1030.9100000000001</v>
      </c>
      <c r="AJ134">
        <v>1437.35</v>
      </c>
    </row>
    <row r="135" spans="1:36" x14ac:dyDescent="0.3">
      <c r="A135" s="2">
        <v>41098</v>
      </c>
      <c r="B135" s="3">
        <v>2381.38</v>
      </c>
      <c r="C135" s="4">
        <v>54331</v>
      </c>
      <c r="D135" s="3">
        <v>4082.2</v>
      </c>
      <c r="E135" s="3">
        <v>12777.09</v>
      </c>
      <c r="F135" s="3">
        <v>11514.53</v>
      </c>
      <c r="G135" s="1">
        <v>800.99</v>
      </c>
      <c r="H135" s="3">
        <v>1356.78</v>
      </c>
      <c r="I135" s="3">
        <v>2908.47</v>
      </c>
      <c r="J135" s="3">
        <v>40498.47</v>
      </c>
      <c r="K135" s="1">
        <v>20984.84</v>
      </c>
      <c r="L135" s="3">
        <v>2191.41</v>
      </c>
      <c r="M135" s="3">
        <v>6557.1</v>
      </c>
      <c r="N135" s="6">
        <f>VLOOKUP(A135,'[1]俄罗斯交易系统市值加权指数历史数据 (1)'!$A:$B,2,)</f>
        <v>1368.69</v>
      </c>
      <c r="O135" s="3">
        <v>3180.81</v>
      </c>
      <c r="P135" s="1">
        <v>314.60000000000002</v>
      </c>
      <c r="Q135" s="3">
        <v>6181.81</v>
      </c>
      <c r="R135" s="1">
        <v>626.62</v>
      </c>
      <c r="S135" s="3">
        <v>6664.6</v>
      </c>
      <c r="T135" s="3">
        <v>5666.13</v>
      </c>
      <c r="U135" s="3">
        <v>2259.09</v>
      </c>
      <c r="V135" s="6">
        <f>VLOOKUP(A135,[2]韩国KOSPI指数历史数据!$A:$B,2,)</f>
        <v>1812.89</v>
      </c>
      <c r="W135" s="6">
        <f>VLOOKUP(A135,[3]日经225指数历史数据!$A:$B,2,)</f>
        <v>8724.1200000000008</v>
      </c>
      <c r="X135" s="3">
        <v>1067.22</v>
      </c>
      <c r="Y135" s="6">
        <f>VLOOKUP(A135,[4]上证指数历史数据!$A:$B,2,)</f>
        <v>2185.89</v>
      </c>
      <c r="Z135" s="6">
        <f>VLOOKUP(A135,[5]深证成份指数历史数据!$A:$B,2,)</f>
        <v>9792.49</v>
      </c>
      <c r="AA135" s="6">
        <f>VLOOKUP(A135,[6]台湾加权指数历史数据!$A:$B,2,)</f>
        <v>7104.27</v>
      </c>
      <c r="AB135" s="3">
        <v>19092.63</v>
      </c>
      <c r="AC135" s="3">
        <v>2995.56</v>
      </c>
      <c r="AD135">
        <v>5227.25</v>
      </c>
      <c r="AE135" s="5">
        <f>VLOOKUP(A135,[7]越南VN30指数历史数据!$A:$B,2,)</f>
        <v>492.36</v>
      </c>
      <c r="AF135">
        <v>29663.61</v>
      </c>
      <c r="AG135" s="9">
        <v>6846.75</v>
      </c>
      <c r="AH135">
        <v>9668.7900000000009</v>
      </c>
      <c r="AI135">
        <v>1054.55</v>
      </c>
      <c r="AJ135">
        <v>1441.33</v>
      </c>
    </row>
    <row r="136" spans="1:36" x14ac:dyDescent="0.3">
      <c r="A136" s="2">
        <v>41105</v>
      </c>
      <c r="B136" s="3">
        <v>2459.41</v>
      </c>
      <c r="C136" s="4">
        <v>54195</v>
      </c>
      <c r="D136" s="3">
        <v>4199.1000000000004</v>
      </c>
      <c r="E136" s="3">
        <v>12822.57</v>
      </c>
      <c r="F136" s="3">
        <v>11622.91</v>
      </c>
      <c r="G136" s="1">
        <v>791.54</v>
      </c>
      <c r="H136" s="3">
        <v>1362.66</v>
      </c>
      <c r="I136" s="3">
        <v>2925.3</v>
      </c>
      <c r="J136" s="3">
        <v>40808.730000000003</v>
      </c>
      <c r="K136" s="1">
        <v>21034.89</v>
      </c>
      <c r="L136" s="3">
        <v>2172.56</v>
      </c>
      <c r="M136" s="3">
        <v>6630.02</v>
      </c>
      <c r="N136" s="6">
        <f>VLOOKUP(A136,'[1]俄罗斯交易系统市值加权指数历史数据 (1)'!$A:$B,2,)</f>
        <v>1391.55</v>
      </c>
      <c r="O136" s="3">
        <v>3193.89</v>
      </c>
      <c r="P136" s="1">
        <v>319.75</v>
      </c>
      <c r="Q136" s="3">
        <v>6284.81</v>
      </c>
      <c r="R136" s="1">
        <v>617.91999999999996</v>
      </c>
      <c r="S136" s="3">
        <v>6246.3</v>
      </c>
      <c r="T136" s="3">
        <v>5651.77</v>
      </c>
      <c r="U136" s="3">
        <v>2237.33</v>
      </c>
      <c r="V136" s="6">
        <f>VLOOKUP(A136,[2]韩国KOSPI指数历史数据!$A:$B,2,)</f>
        <v>1822.93</v>
      </c>
      <c r="W136" s="6">
        <f>VLOOKUP(A136,[3]日经225指数历史数据!$A:$B,2,)</f>
        <v>8669.8700000000008</v>
      </c>
      <c r="X136" s="3">
        <v>1079.46</v>
      </c>
      <c r="Y136" s="6">
        <f>VLOOKUP(A136,[4]上证指数历史数据!$A:$B,2,)</f>
        <v>2168.64</v>
      </c>
      <c r="Z136" s="6">
        <f>VLOOKUP(A136,[5]深证成份指数历史数据!$A:$B,2,)</f>
        <v>9333.2099999999991</v>
      </c>
      <c r="AA136" s="6">
        <f>VLOOKUP(A136,[6]台湾加权指数历史数据!$A:$B,2,)</f>
        <v>7164.68</v>
      </c>
      <c r="AB136" s="3">
        <v>19640.8</v>
      </c>
      <c r="AC136" s="3">
        <v>3015.53</v>
      </c>
      <c r="AD136">
        <v>5205.1000000000004</v>
      </c>
      <c r="AE136" s="5">
        <f>VLOOKUP(A136,[7]越南VN30指数历史数据!$A:$B,2,)</f>
        <v>497.43</v>
      </c>
      <c r="AF136">
        <v>30074.29</v>
      </c>
      <c r="AG136" s="9">
        <v>6921.11</v>
      </c>
      <c r="AH136">
        <v>9862.11</v>
      </c>
      <c r="AI136">
        <v>1077.07</v>
      </c>
      <c r="AJ136">
        <v>1441.12</v>
      </c>
    </row>
    <row r="137" spans="1:36" x14ac:dyDescent="0.3">
      <c r="A137" s="2">
        <v>41112</v>
      </c>
      <c r="B137" s="3">
        <v>2435.96</v>
      </c>
      <c r="C137" s="4">
        <v>56553</v>
      </c>
      <c r="D137" s="3">
        <v>4209.8</v>
      </c>
      <c r="E137" s="3">
        <v>13075.66</v>
      </c>
      <c r="F137" s="3">
        <v>11766.36</v>
      </c>
      <c r="G137" s="1">
        <v>796</v>
      </c>
      <c r="H137" s="3">
        <v>1385.97</v>
      </c>
      <c r="I137" s="3">
        <v>2958.09</v>
      </c>
      <c r="J137" s="3">
        <v>41476.480000000003</v>
      </c>
      <c r="K137" s="1">
        <v>20560.61</v>
      </c>
      <c r="L137" s="3">
        <v>2162.64</v>
      </c>
      <c r="M137" s="3">
        <v>6689.4</v>
      </c>
      <c r="N137" s="6">
        <f>VLOOKUP(A137,'[1]俄罗斯交易系统市值加权指数历史数据 (1)'!$A:$B,2,)</f>
        <v>1382.82</v>
      </c>
      <c r="O137" s="3">
        <v>3280.19</v>
      </c>
      <c r="P137" s="1">
        <v>323.31</v>
      </c>
      <c r="Q137" s="3">
        <v>6362.82</v>
      </c>
      <c r="R137" s="1">
        <v>643.73</v>
      </c>
      <c r="S137" s="3">
        <v>6617.6</v>
      </c>
      <c r="T137" s="3">
        <v>5627.21</v>
      </c>
      <c r="U137" s="3">
        <v>2301.23</v>
      </c>
      <c r="V137" s="6">
        <f>VLOOKUP(A137,[2]韩国KOSPI指数历史数据!$A:$B,2,)</f>
        <v>1829.16</v>
      </c>
      <c r="W137" s="6">
        <f>VLOOKUP(A137,[3]日经225指数历史数据!$A:$B,2,)</f>
        <v>8566.64</v>
      </c>
      <c r="X137" s="3">
        <v>1093.0899999999999</v>
      </c>
      <c r="Y137" s="6">
        <f>VLOOKUP(A137,[4]上证指数历史数据!$A:$B,2,)</f>
        <v>2128.7600000000002</v>
      </c>
      <c r="Z137" s="6">
        <f>VLOOKUP(A137,[5]深证成份指数历史数据!$A:$B,2,)</f>
        <v>9087.1299999999992</v>
      </c>
      <c r="AA137" s="6">
        <f>VLOOKUP(A137,[6]台湾加权指数历史数据!$A:$B,2,)</f>
        <v>7124.49</v>
      </c>
      <c r="AB137" s="3">
        <v>19274.96</v>
      </c>
      <c r="AC137" s="3">
        <v>2998.49</v>
      </c>
      <c r="AD137">
        <v>5099.8500000000004</v>
      </c>
      <c r="AE137" s="5">
        <f>VLOOKUP(A137,[7]越南VN30指数历史数据!$A:$B,2,)</f>
        <v>489.61</v>
      </c>
      <c r="AF137">
        <v>30508.18</v>
      </c>
      <c r="AG137" s="9">
        <v>6762.87</v>
      </c>
      <c r="AH137">
        <v>9773.19</v>
      </c>
      <c r="AI137">
        <v>1083.21</v>
      </c>
      <c r="AJ137">
        <v>1441.2</v>
      </c>
    </row>
    <row r="138" spans="1:36" x14ac:dyDescent="0.3">
      <c r="A138" s="2">
        <v>41119</v>
      </c>
      <c r="B138" s="3">
        <v>2396.7800000000002</v>
      </c>
      <c r="C138" s="4">
        <v>57255</v>
      </c>
      <c r="D138" s="3">
        <v>4221.5</v>
      </c>
      <c r="E138" s="3">
        <v>13096.17</v>
      </c>
      <c r="F138" s="3">
        <v>11662.59</v>
      </c>
      <c r="G138" s="1">
        <v>788.48</v>
      </c>
      <c r="H138" s="3">
        <v>1390.99</v>
      </c>
      <c r="I138" s="3">
        <v>2967.9</v>
      </c>
      <c r="J138" s="3">
        <v>40998.400000000001</v>
      </c>
      <c r="K138" s="1">
        <v>20295.59</v>
      </c>
      <c r="L138" s="3">
        <v>2222.64</v>
      </c>
      <c r="M138" s="3">
        <v>6865.66</v>
      </c>
      <c r="N138" s="6">
        <f>VLOOKUP(A138,'[1]俄罗斯交易系统市值加权指数历史数据 (1)'!$A:$B,2,)</f>
        <v>1398.33</v>
      </c>
      <c r="O138" s="3">
        <v>3374.19</v>
      </c>
      <c r="P138" s="1">
        <v>330.43</v>
      </c>
      <c r="Q138" s="3">
        <v>6461.54</v>
      </c>
      <c r="R138" s="1">
        <v>653.04</v>
      </c>
      <c r="S138" s="3">
        <v>6755.7</v>
      </c>
      <c r="T138" s="3">
        <v>5787.28</v>
      </c>
      <c r="U138" s="3">
        <v>2372.58</v>
      </c>
      <c r="V138" s="6">
        <f>VLOOKUP(A138,[2]韩国KOSPI指数历史数据!$A:$B,2,)</f>
        <v>1848.68</v>
      </c>
      <c r="W138" s="6">
        <f>VLOOKUP(A138,[3]日经225指数历史数据!$A:$B,2,)</f>
        <v>8555.11</v>
      </c>
      <c r="X138" s="3">
        <v>1096.01</v>
      </c>
      <c r="Y138" s="6">
        <f>VLOOKUP(A138,[4]上证指数历史数据!$A:$B,2,)</f>
        <v>2132.8000000000002</v>
      </c>
      <c r="Z138" s="6">
        <f>VLOOKUP(A138,[5]深证成份指数历史数据!$A:$B,2,)</f>
        <v>9076.6200000000008</v>
      </c>
      <c r="AA138" s="6">
        <f>VLOOKUP(A138,[6]台湾加权指数历史数据!$A:$B,2,)</f>
        <v>7217.51</v>
      </c>
      <c r="AB138" s="3">
        <v>19666.18</v>
      </c>
      <c r="AC138" s="3">
        <v>3051.33</v>
      </c>
      <c r="AD138">
        <v>5215.7</v>
      </c>
      <c r="AE138" s="5">
        <f>VLOOKUP(A138,[7]越南VN30指数历史数据!$A:$B,2,)</f>
        <v>497.38</v>
      </c>
      <c r="AF138">
        <v>30981.21</v>
      </c>
      <c r="AG138" s="9">
        <v>7044.27</v>
      </c>
      <c r="AH138">
        <v>9922.74</v>
      </c>
      <c r="AI138">
        <v>1096</v>
      </c>
      <c r="AJ138">
        <v>1440.06</v>
      </c>
    </row>
    <row r="139" spans="1:36" x14ac:dyDescent="0.3">
      <c r="A139" s="2">
        <v>41126</v>
      </c>
      <c r="B139" s="3">
        <v>2410.85</v>
      </c>
      <c r="C139" s="4">
        <v>59281</v>
      </c>
      <c r="D139" s="3">
        <v>4277.3</v>
      </c>
      <c r="E139" s="3">
        <v>13207.95</v>
      </c>
      <c r="F139" s="3">
        <v>11890.89</v>
      </c>
      <c r="G139" s="1">
        <v>801.55</v>
      </c>
      <c r="H139" s="3">
        <v>1405.87</v>
      </c>
      <c r="I139" s="3">
        <v>3020.86</v>
      </c>
      <c r="J139" s="3">
        <v>40850</v>
      </c>
      <c r="K139" s="1">
        <v>20249.419999999998</v>
      </c>
      <c r="L139" s="3">
        <v>2313.09</v>
      </c>
      <c r="M139" s="3">
        <v>6944.56</v>
      </c>
      <c r="N139" s="6">
        <f>VLOOKUP(A139,'[1]俄罗斯交易系统市值加权指数历史数据 (1)'!$A:$B,2,)</f>
        <v>1427.33</v>
      </c>
      <c r="O139" s="3">
        <v>3435.62</v>
      </c>
      <c r="P139" s="1">
        <v>333.5</v>
      </c>
      <c r="Q139" s="3">
        <v>6483.44</v>
      </c>
      <c r="R139" s="1">
        <v>651.26</v>
      </c>
      <c r="S139" s="3">
        <v>7047.7</v>
      </c>
      <c r="T139" s="3">
        <v>5847.11</v>
      </c>
      <c r="U139" s="3">
        <v>2423.2199999999998</v>
      </c>
      <c r="V139" s="6">
        <f>VLOOKUP(A139,[2]韩国KOSPI指数历史数据!$A:$B,2,)</f>
        <v>1946.4</v>
      </c>
      <c r="W139" s="6">
        <f>VLOOKUP(A139,[3]日经225指数历史数据!$A:$B,2,)</f>
        <v>8891.44</v>
      </c>
      <c r="X139" s="3">
        <v>1107.26</v>
      </c>
      <c r="Y139" s="6">
        <f>VLOOKUP(A139,[4]上证指数历史数据!$A:$B,2,)</f>
        <v>2168.81</v>
      </c>
      <c r="Z139" s="6">
        <f>VLOOKUP(A139,[5]深证成份指数历史数据!$A:$B,2,)</f>
        <v>9238.2000000000007</v>
      </c>
      <c r="AA139" s="6">
        <f>VLOOKUP(A139,[6]台湾加权指数历史数据!$A:$B,2,)</f>
        <v>7441.12</v>
      </c>
      <c r="AB139" s="3">
        <v>20136.12</v>
      </c>
      <c r="AC139" s="3">
        <v>3054.2</v>
      </c>
      <c r="AD139">
        <v>5320.4</v>
      </c>
      <c r="AE139" s="5">
        <f>VLOOKUP(A139,[7]越南VN30指数历史数据!$A:$B,2,)</f>
        <v>506.6</v>
      </c>
      <c r="AF139">
        <v>31330.12</v>
      </c>
      <c r="AG139" s="9">
        <v>7041.88</v>
      </c>
      <c r="AH139">
        <v>9923.85</v>
      </c>
      <c r="AI139">
        <v>1084.1400000000001</v>
      </c>
      <c r="AJ139">
        <v>1440.57</v>
      </c>
    </row>
    <row r="140" spans="1:36" x14ac:dyDescent="0.3">
      <c r="A140" s="2">
        <v>41133</v>
      </c>
      <c r="B140" s="3">
        <v>2459.9499999999998</v>
      </c>
      <c r="C140" s="4">
        <v>59082</v>
      </c>
      <c r="D140" s="3">
        <v>4370.1000000000004</v>
      </c>
      <c r="E140" s="3">
        <v>13275.2</v>
      </c>
      <c r="F140" s="3">
        <v>12089.89</v>
      </c>
      <c r="G140" s="1">
        <v>819.89</v>
      </c>
      <c r="H140" s="3">
        <v>1418.16</v>
      </c>
      <c r="I140" s="3">
        <v>3076.59</v>
      </c>
      <c r="J140" s="3">
        <v>40547.49</v>
      </c>
      <c r="K140" s="1">
        <v>20578.78</v>
      </c>
      <c r="L140" s="3">
        <v>2313.69</v>
      </c>
      <c r="M140" s="3">
        <v>7040.88</v>
      </c>
      <c r="N140" s="6">
        <f>VLOOKUP(A140,'[1]俄罗斯交易系统市值加权指数历史数据 (1)'!$A:$B,2,)</f>
        <v>1416.78</v>
      </c>
      <c r="O140" s="3">
        <v>3488.38</v>
      </c>
      <c r="P140" s="1">
        <v>335.77</v>
      </c>
      <c r="Q140" s="3">
        <v>6529.34</v>
      </c>
      <c r="R140" s="1">
        <v>657.58</v>
      </c>
      <c r="S140" s="3">
        <v>7561</v>
      </c>
      <c r="T140" s="3">
        <v>5852.42</v>
      </c>
      <c r="U140" s="3">
        <v>2471.5300000000002</v>
      </c>
      <c r="V140" s="6">
        <f>VLOOKUP(A140,[2]韩国KOSPI指数历史数据!$A:$B,2,)</f>
        <v>1946.54</v>
      </c>
      <c r="W140" s="6">
        <f>VLOOKUP(A140,[3]日经225指数历史数据!$A:$B,2,)</f>
        <v>9162.5</v>
      </c>
      <c r="X140" s="3">
        <v>1099.6600000000001</v>
      </c>
      <c r="Y140" s="6">
        <f>VLOOKUP(A140,[4]上证指数历史数据!$A:$B,2,)</f>
        <v>2114.89</v>
      </c>
      <c r="Z140" s="6">
        <f>VLOOKUP(A140,[5]深证成份指数历史数据!$A:$B,2,)</f>
        <v>8883.6</v>
      </c>
      <c r="AA140" s="6">
        <f>VLOOKUP(A140,[6]台湾加权指数历史数据!$A:$B,2,)</f>
        <v>7467.92</v>
      </c>
      <c r="AB140" s="3">
        <v>20116.07</v>
      </c>
      <c r="AC140" s="3">
        <v>3062.11</v>
      </c>
      <c r="AD140">
        <v>5366.3</v>
      </c>
      <c r="AE140" s="5">
        <f>VLOOKUP(A140,[7]越南VN30指数历史数据!$A:$B,2,)</f>
        <v>515.54999999999995</v>
      </c>
      <c r="AF140">
        <v>31376.13</v>
      </c>
      <c r="AG140" s="9">
        <v>7358.42</v>
      </c>
      <c r="AH140">
        <v>9850.7999999999993</v>
      </c>
      <c r="AI140">
        <v>1084.6600000000001</v>
      </c>
      <c r="AJ140">
        <v>1442.38</v>
      </c>
    </row>
    <row r="141" spans="1:36" x14ac:dyDescent="0.3">
      <c r="A141" s="2">
        <v>41140</v>
      </c>
      <c r="B141" s="3">
        <v>2458.81</v>
      </c>
      <c r="C141" s="4">
        <v>58426</v>
      </c>
      <c r="D141" s="3">
        <v>4349</v>
      </c>
      <c r="E141" s="3">
        <v>13157.97</v>
      </c>
      <c r="F141" s="3">
        <v>12082.23</v>
      </c>
      <c r="G141" s="1">
        <v>809.19</v>
      </c>
      <c r="H141" s="3">
        <v>1411.13</v>
      </c>
      <c r="I141" s="3">
        <v>3069.79</v>
      </c>
      <c r="J141" s="3">
        <v>40211.410000000003</v>
      </c>
      <c r="K141" s="1">
        <v>20301.259999999998</v>
      </c>
      <c r="L141" s="3">
        <v>2283.08</v>
      </c>
      <c r="M141" s="3">
        <v>6971.07</v>
      </c>
      <c r="N141" s="6">
        <f>VLOOKUP(A141,'[1]俄罗斯交易系统市值加权指数历史数据 (1)'!$A:$B,2,)</f>
        <v>1436.84</v>
      </c>
      <c r="O141" s="3">
        <v>3433.21</v>
      </c>
      <c r="P141" s="1">
        <v>329.64</v>
      </c>
      <c r="Q141" s="3">
        <v>6475.94</v>
      </c>
      <c r="R141" s="1">
        <v>656.54</v>
      </c>
      <c r="S141" s="3">
        <v>7310.3</v>
      </c>
      <c r="T141" s="3">
        <v>5776.6</v>
      </c>
      <c r="U141" s="3">
        <v>2434.23</v>
      </c>
      <c r="V141" s="6">
        <f>VLOOKUP(A141,[2]韩国KOSPI指数历史数据!$A:$B,2,)</f>
        <v>1919.81</v>
      </c>
      <c r="W141" s="6">
        <f>VLOOKUP(A141,[3]日经225指数历史数据!$A:$B,2,)</f>
        <v>9070.76</v>
      </c>
      <c r="X141" s="3">
        <v>1109.42</v>
      </c>
      <c r="Y141" s="6">
        <f>VLOOKUP(A141,[4]上证指数历史数据!$A:$B,2,)</f>
        <v>2092.1</v>
      </c>
      <c r="Z141" s="6">
        <f>VLOOKUP(A141,[5]深证成份指数历史数据!$A:$B,2,)</f>
        <v>8579.2800000000007</v>
      </c>
      <c r="AA141" s="6">
        <f>VLOOKUP(A141,[6]台湾加权指数历史数据!$A:$B,2,)</f>
        <v>7477.53</v>
      </c>
      <c r="AB141" s="3">
        <v>19880.03</v>
      </c>
      <c r="AC141" s="3">
        <v>3050.49</v>
      </c>
      <c r="AD141">
        <v>5386.7</v>
      </c>
      <c r="AE141" s="5">
        <f>VLOOKUP(A141,[7]越南VN30指数历史数据!$A:$B,2,)</f>
        <v>472.75</v>
      </c>
      <c r="AF141">
        <v>31567.19</v>
      </c>
      <c r="AG141" s="9">
        <v>7442.74</v>
      </c>
      <c r="AH141">
        <v>9867.4500000000007</v>
      </c>
      <c r="AI141">
        <v>1095.7</v>
      </c>
      <c r="AJ141">
        <v>1444.32</v>
      </c>
    </row>
    <row r="142" spans="1:36" x14ac:dyDescent="0.3">
      <c r="A142" s="2">
        <v>41147</v>
      </c>
      <c r="B142" s="3">
        <v>2408.38</v>
      </c>
      <c r="C142" s="4">
        <v>57061</v>
      </c>
      <c r="D142" s="3">
        <v>4316.1000000000004</v>
      </c>
      <c r="E142" s="3">
        <v>13090.84</v>
      </c>
      <c r="F142" s="3">
        <v>11949.26</v>
      </c>
      <c r="G142" s="1">
        <v>812.09</v>
      </c>
      <c r="H142" s="3">
        <v>1406.58</v>
      </c>
      <c r="I142" s="3">
        <v>3066.96</v>
      </c>
      <c r="J142" s="3">
        <v>39421.65</v>
      </c>
      <c r="K142" s="1">
        <v>20176.310000000001</v>
      </c>
      <c r="L142" s="3">
        <v>2258.29</v>
      </c>
      <c r="M142" s="3">
        <v>6970.79</v>
      </c>
      <c r="N142" s="6">
        <f>VLOOKUP(A142,'[1]俄罗斯交易系统市值加权指数历史数据 (1)'!$A:$B,2,)</f>
        <v>1389.72</v>
      </c>
      <c r="O142" s="3">
        <v>3413.07</v>
      </c>
      <c r="P142" s="1">
        <v>329.28</v>
      </c>
      <c r="Q142" s="3">
        <v>6388.01</v>
      </c>
      <c r="R142" s="1">
        <v>673.68</v>
      </c>
      <c r="S142" s="3">
        <v>7420.5</v>
      </c>
      <c r="T142" s="3">
        <v>5711.48</v>
      </c>
      <c r="U142" s="3">
        <v>2440.71</v>
      </c>
      <c r="V142" s="6">
        <f>VLOOKUP(A142,[2]韩国KOSPI指数历史数据!$A:$B,2,)</f>
        <v>1905.12</v>
      </c>
      <c r="W142" s="6">
        <f>VLOOKUP(A142,[3]日经225指数历史数据!$A:$B,2,)</f>
        <v>8839.91</v>
      </c>
      <c r="X142" s="3">
        <v>1120.58</v>
      </c>
      <c r="Y142" s="6">
        <f>VLOOKUP(A142,[4]上证指数历史数据!$A:$B,2,)</f>
        <v>2047.52</v>
      </c>
      <c r="Z142" s="6">
        <f>VLOOKUP(A142,[5]深证成份指数历史数据!$A:$B,2,)</f>
        <v>8210.99</v>
      </c>
      <c r="AA142" s="6">
        <f>VLOOKUP(A142,[6]台湾加权指数历史数据!$A:$B,2,)</f>
        <v>7397.06</v>
      </c>
      <c r="AB142" s="3">
        <v>19482.57</v>
      </c>
      <c r="AC142" s="3">
        <v>3025.46</v>
      </c>
      <c r="AD142">
        <v>5258.5</v>
      </c>
      <c r="AE142" s="5">
        <f>VLOOKUP(A142,[7]越南VN30指数历史数据!$A:$B,2,)</f>
        <v>465.29</v>
      </c>
      <c r="AF142">
        <v>31172.74</v>
      </c>
      <c r="AG142" s="9">
        <v>7620.66</v>
      </c>
      <c r="AH142">
        <v>9944.2199999999993</v>
      </c>
      <c r="AI142">
        <v>1113.8499999999999</v>
      </c>
      <c r="AJ142">
        <v>1449.11</v>
      </c>
    </row>
    <row r="143" spans="1:36" x14ac:dyDescent="0.3">
      <c r="A143" s="2">
        <v>41154</v>
      </c>
      <c r="B143" s="3">
        <v>2381.96</v>
      </c>
      <c r="C143" s="4">
        <v>58321</v>
      </c>
      <c r="D143" s="3">
        <v>4325.8</v>
      </c>
      <c r="E143" s="3">
        <v>13306.64</v>
      </c>
      <c r="F143" s="3">
        <v>12268.01</v>
      </c>
      <c r="G143" s="1">
        <v>842.27</v>
      </c>
      <c r="H143" s="3">
        <v>1437.92</v>
      </c>
      <c r="I143" s="3">
        <v>3136.42</v>
      </c>
      <c r="J143" s="3">
        <v>40043.870000000003</v>
      </c>
      <c r="K143" s="1">
        <v>20249.810000000001</v>
      </c>
      <c r="L143" s="3">
        <v>2317.21</v>
      </c>
      <c r="M143" s="3">
        <v>7214.5</v>
      </c>
      <c r="N143" s="6">
        <f>VLOOKUP(A143,'[1]俄罗斯交易系统市值加权指数历史数据 (1)'!$A:$B,2,)</f>
        <v>1471.8</v>
      </c>
      <c r="O143" s="3">
        <v>3519.05</v>
      </c>
      <c r="P143" s="1">
        <v>337.57</v>
      </c>
      <c r="Q143" s="3">
        <v>6537.32</v>
      </c>
      <c r="R143" s="1">
        <v>679.37</v>
      </c>
      <c r="S143" s="3">
        <v>7882.8</v>
      </c>
      <c r="T143" s="3">
        <v>5794.8</v>
      </c>
      <c r="U143" s="3">
        <v>2538.6</v>
      </c>
      <c r="V143" s="6">
        <f>VLOOKUP(A143,[2]韩国KOSPI指数历史数据!$A:$B,2,)</f>
        <v>1929.58</v>
      </c>
      <c r="W143" s="6">
        <f>VLOOKUP(A143,[3]日经225指数历史数据!$A:$B,2,)</f>
        <v>8871.65</v>
      </c>
      <c r="X143" s="3">
        <v>1112.57</v>
      </c>
      <c r="Y143" s="6">
        <f>VLOOKUP(A143,[4]上证指数历史数据!$A:$B,2,)</f>
        <v>2127.7600000000002</v>
      </c>
      <c r="Z143" s="6">
        <f>VLOOKUP(A143,[5]深证成份指数历史数据!$A:$B,2,)</f>
        <v>8709.07</v>
      </c>
      <c r="AA143" s="6">
        <f>VLOOKUP(A143,[6]台湾加权指数历史数据!$A:$B,2,)</f>
        <v>7424.91</v>
      </c>
      <c r="AB143" s="3">
        <v>19802.16</v>
      </c>
      <c r="AC143" s="3">
        <v>3011.7</v>
      </c>
      <c r="AD143">
        <v>5342.1</v>
      </c>
      <c r="AE143" s="5">
        <f>VLOOKUP(A143,[7]越南VN30指数历史数据!$A:$B,2,)</f>
        <v>465.94</v>
      </c>
      <c r="AF143">
        <v>31530.799999999999</v>
      </c>
      <c r="AG143" s="9">
        <v>7922.05</v>
      </c>
      <c r="AH143">
        <v>9819.69</v>
      </c>
      <c r="AI143">
        <v>1166.23</v>
      </c>
      <c r="AJ143">
        <v>1454.62</v>
      </c>
    </row>
    <row r="144" spans="1:36" x14ac:dyDescent="0.3">
      <c r="A144" s="2">
        <v>41161</v>
      </c>
      <c r="B144" s="3">
        <v>2543.86</v>
      </c>
      <c r="C144" s="4">
        <v>62105</v>
      </c>
      <c r="D144" s="3">
        <v>4390</v>
      </c>
      <c r="E144" s="3">
        <v>13593.37</v>
      </c>
      <c r="F144" s="3">
        <v>12499.47</v>
      </c>
      <c r="G144" s="1">
        <v>864.7</v>
      </c>
      <c r="H144" s="3">
        <v>1465.77</v>
      </c>
      <c r="I144" s="3">
        <v>3183.95</v>
      </c>
      <c r="J144" s="3">
        <v>40693.47</v>
      </c>
      <c r="K144" s="1">
        <v>20486.099999999999</v>
      </c>
      <c r="L144" s="3">
        <v>2417.3200000000002</v>
      </c>
      <c r="M144" s="3">
        <v>7412.13</v>
      </c>
      <c r="N144" s="6">
        <f>VLOOKUP(A144,'[1]俄罗斯交易系统市值加权指数历史数据 (1)'!$A:$B,2,)</f>
        <v>1589.4</v>
      </c>
      <c r="O144" s="3">
        <v>3581.58</v>
      </c>
      <c r="P144" s="1">
        <v>338.28</v>
      </c>
      <c r="Q144" s="3">
        <v>6559.16</v>
      </c>
      <c r="R144" s="1">
        <v>681.8</v>
      </c>
      <c r="S144" s="3">
        <v>8154.5</v>
      </c>
      <c r="T144" s="3">
        <v>5915.55</v>
      </c>
      <c r="U144" s="3">
        <v>2594.56</v>
      </c>
      <c r="V144" s="6">
        <f>VLOOKUP(A144,[2]韩国KOSPI指数历史数据!$A:$B,2,)</f>
        <v>2007.58</v>
      </c>
      <c r="W144" s="6">
        <f>VLOOKUP(A144,[3]日经225指数历史数据!$A:$B,2,)</f>
        <v>9159.39</v>
      </c>
      <c r="X144" s="3">
        <v>1133.05</v>
      </c>
      <c r="Y144" s="6">
        <f>VLOOKUP(A144,[4]上证指数历史数据!$A:$B,2,)</f>
        <v>2123.85</v>
      </c>
      <c r="Z144" s="6">
        <f>VLOOKUP(A144,[5]深证成份指数历史数据!$A:$B,2,)</f>
        <v>8740.0499999999993</v>
      </c>
      <c r="AA144" s="6">
        <f>VLOOKUP(A144,[6]台湾加权指数历史数据!$A:$B,2,)</f>
        <v>7738.05</v>
      </c>
      <c r="AB144" s="3">
        <v>20629.78</v>
      </c>
      <c r="AC144" s="3">
        <v>3070.42</v>
      </c>
      <c r="AD144">
        <v>5577.65</v>
      </c>
      <c r="AE144" s="5">
        <f>VLOOKUP(A144,[7]越南VN30指数历史数据!$A:$B,2,)</f>
        <v>463.9</v>
      </c>
      <c r="AF144">
        <v>32328.83</v>
      </c>
      <c r="AG144" s="9">
        <v>8096.63</v>
      </c>
      <c r="AH144">
        <v>9829.26</v>
      </c>
      <c r="AI144">
        <v>1192.9100000000001</v>
      </c>
      <c r="AJ144">
        <v>1452.15</v>
      </c>
    </row>
    <row r="145" spans="1:36" x14ac:dyDescent="0.3">
      <c r="A145" s="2">
        <v>41168</v>
      </c>
      <c r="B145" s="3">
        <v>2531.75</v>
      </c>
      <c r="C145" s="4">
        <v>61320</v>
      </c>
      <c r="D145" s="3">
        <v>4408.3</v>
      </c>
      <c r="E145" s="3">
        <v>13579.47</v>
      </c>
      <c r="F145" s="3">
        <v>12383.6</v>
      </c>
      <c r="G145" s="1">
        <v>855.51</v>
      </c>
      <c r="H145" s="3">
        <v>1460.15</v>
      </c>
      <c r="I145" s="3">
        <v>3179.96</v>
      </c>
      <c r="J145" s="3">
        <v>40338.699999999997</v>
      </c>
      <c r="K145" s="1">
        <v>20557.47</v>
      </c>
      <c r="L145" s="3">
        <v>2380.3200000000002</v>
      </c>
      <c r="M145" s="3">
        <v>7451.62</v>
      </c>
      <c r="N145" s="6">
        <f>VLOOKUP(A145,'[1]俄罗斯交易系统市值加权指数历史数据 (1)'!$A:$B,2,)</f>
        <v>1522.63</v>
      </c>
      <c r="O145" s="3">
        <v>3530.72</v>
      </c>
      <c r="P145" s="1">
        <v>334.15</v>
      </c>
      <c r="Q145" s="3">
        <v>6605.82</v>
      </c>
      <c r="R145" s="1">
        <v>678.91</v>
      </c>
      <c r="S145" s="3">
        <v>8230.7000000000007</v>
      </c>
      <c r="T145" s="3">
        <v>5852.62</v>
      </c>
      <c r="U145" s="3">
        <v>2577.08</v>
      </c>
      <c r="V145" s="6">
        <f>VLOOKUP(A145,[2]韩国KOSPI指数历史数据!$A:$B,2,)</f>
        <v>2002.37</v>
      </c>
      <c r="W145" s="6">
        <f>VLOOKUP(A145,[3]日经225指数历史数据!$A:$B,2,)</f>
        <v>9110</v>
      </c>
      <c r="X145" s="3">
        <v>1138.33</v>
      </c>
      <c r="Y145" s="6">
        <f>VLOOKUP(A145,[4]上证指数历史数据!$A:$B,2,)</f>
        <v>2026.69</v>
      </c>
      <c r="Z145" s="6">
        <f>VLOOKUP(A145,[5]深证成份指数历史数据!$A:$B,2,)</f>
        <v>8201.5300000000007</v>
      </c>
      <c r="AA145" s="6">
        <f>VLOOKUP(A145,[6]台湾加权指数历史数据!$A:$B,2,)</f>
        <v>7754.59</v>
      </c>
      <c r="AB145" s="3">
        <v>20734.939999999999</v>
      </c>
      <c r="AC145" s="3">
        <v>3078.23</v>
      </c>
      <c r="AD145">
        <v>5691.15</v>
      </c>
      <c r="AE145" s="5">
        <f>VLOOKUP(A145,[7]越南VN30指数历史数据!$A:$B,2,)</f>
        <v>457.53</v>
      </c>
      <c r="AF145">
        <v>31934.87</v>
      </c>
      <c r="AG145" s="9">
        <v>8370.4599999999991</v>
      </c>
      <c r="AH145">
        <v>9509.51</v>
      </c>
      <c r="AI145">
        <v>1214.1600000000001</v>
      </c>
      <c r="AJ145">
        <v>1454.42</v>
      </c>
    </row>
    <row r="146" spans="1:36" x14ac:dyDescent="0.3">
      <c r="A146" s="2">
        <v>41175</v>
      </c>
      <c r="B146" s="3">
        <v>2451.73</v>
      </c>
      <c r="C146" s="4">
        <v>59176</v>
      </c>
      <c r="D146" s="3">
        <v>4387</v>
      </c>
      <c r="E146" s="3">
        <v>13437.13</v>
      </c>
      <c r="F146" s="3">
        <v>12317.46</v>
      </c>
      <c r="G146" s="1">
        <v>837.45</v>
      </c>
      <c r="H146" s="3">
        <v>1440.67</v>
      </c>
      <c r="I146" s="3">
        <v>3116.23</v>
      </c>
      <c r="J146" s="3">
        <v>40866.959999999999</v>
      </c>
      <c r="K146" s="1">
        <v>20551.46</v>
      </c>
      <c r="L146" s="3">
        <v>2371.42</v>
      </c>
      <c r="M146" s="3">
        <v>7216.15</v>
      </c>
      <c r="N146" s="6">
        <f>VLOOKUP(A146,'[1]俄罗斯交易系统市值加权指数历史数据 (1)'!$A:$B,2,)</f>
        <v>1475.7</v>
      </c>
      <c r="O146" s="3">
        <v>3354.82</v>
      </c>
      <c r="P146" s="1">
        <v>323.18</v>
      </c>
      <c r="Q146" s="3">
        <v>6495.88</v>
      </c>
      <c r="R146" s="1">
        <v>663.97</v>
      </c>
      <c r="S146" s="3">
        <v>7708.5</v>
      </c>
      <c r="T146" s="3">
        <v>5742.07</v>
      </c>
      <c r="U146" s="3">
        <v>2454.2600000000002</v>
      </c>
      <c r="V146" s="6">
        <f>VLOOKUP(A146,[2]韩国KOSPI指数历史数据!$A:$B,2,)</f>
        <v>1996.21</v>
      </c>
      <c r="W146" s="6">
        <f>VLOOKUP(A146,[3]日经225指数历史数据!$A:$B,2,)</f>
        <v>8870.16</v>
      </c>
      <c r="X146" s="3">
        <v>1189.25</v>
      </c>
      <c r="Y146" s="6">
        <f>VLOOKUP(A146,[4]上证指数历史数据!$A:$B,2,)</f>
        <v>2086.17</v>
      </c>
      <c r="Z146" s="6">
        <f>VLOOKUP(A146,[5]深证成份指数历史数据!$A:$B,2,)</f>
        <v>8679.2199999999993</v>
      </c>
      <c r="AA146" s="6">
        <f>VLOOKUP(A146,[6]台湾加权指数历史数据!$A:$B,2,)</f>
        <v>7715.16</v>
      </c>
      <c r="AB146" s="3">
        <v>20840.38</v>
      </c>
      <c r="AC146" s="3">
        <v>3060.34</v>
      </c>
      <c r="AD146">
        <v>5703.3</v>
      </c>
      <c r="AE146" s="5">
        <f>VLOOKUP(A146,[7]越南VN30指数历史数据!$A:$B,2,)</f>
        <v>456.48</v>
      </c>
      <c r="AF146">
        <v>31518.32</v>
      </c>
      <c r="AG146" s="9">
        <v>8475.7999999999993</v>
      </c>
      <c r="AH146">
        <v>9471.7999999999993</v>
      </c>
      <c r="AI146">
        <v>1219.5</v>
      </c>
      <c r="AJ146">
        <v>1457.61</v>
      </c>
    </row>
    <row r="147" spans="1:36" x14ac:dyDescent="0.3">
      <c r="A147" s="2">
        <v>41182</v>
      </c>
      <c r="B147" s="3">
        <v>2485.7600000000002</v>
      </c>
      <c r="C147" s="4">
        <v>58572</v>
      </c>
      <c r="D147" s="3">
        <v>4494.3999999999996</v>
      </c>
      <c r="E147" s="3">
        <v>13610.15</v>
      </c>
      <c r="F147" s="3">
        <v>12418.99</v>
      </c>
      <c r="G147" s="1">
        <v>842.86</v>
      </c>
      <c r="H147" s="3">
        <v>1460.93</v>
      </c>
      <c r="I147" s="3">
        <v>3136.19</v>
      </c>
      <c r="J147" s="3">
        <v>41934.080000000002</v>
      </c>
      <c r="K147" s="1">
        <v>20885.45</v>
      </c>
      <c r="L147" s="3">
        <v>2411.0700000000002</v>
      </c>
      <c r="M147" s="3">
        <v>7397.87</v>
      </c>
      <c r="N147" s="6">
        <f>VLOOKUP(A147,'[1]俄罗斯交易系统市值加权指数历史数据 (1)'!$A:$B,2,)</f>
        <v>1508.72</v>
      </c>
      <c r="O147" s="3">
        <v>3457.04</v>
      </c>
      <c r="P147" s="1">
        <v>332.53</v>
      </c>
      <c r="Q147" s="3">
        <v>6674.82</v>
      </c>
      <c r="R147" s="1">
        <v>673.84</v>
      </c>
      <c r="S147" s="3">
        <v>7954.4</v>
      </c>
      <c r="T147" s="3">
        <v>5871.02</v>
      </c>
      <c r="U147" s="3">
        <v>2531.21</v>
      </c>
      <c r="V147" s="6">
        <f>VLOOKUP(A147,[2]韩国KOSPI指数历史数据!$A:$B,2,)</f>
        <v>1995.17</v>
      </c>
      <c r="W147" s="6">
        <f>VLOOKUP(A147,[3]日经225指数历史数据!$A:$B,2,)</f>
        <v>8863.2999999999993</v>
      </c>
      <c r="X147" s="3">
        <v>1226.23</v>
      </c>
      <c r="Y147" s="6" t="e">
        <f>VLOOKUP(A147,[4]上证指数历史数据!$A:$B,2,)</f>
        <v>#N/A</v>
      </c>
      <c r="Z147" s="6" t="e">
        <f>VLOOKUP(A147,[5]深证成份指数历史数据!$A:$B,2,)</f>
        <v>#N/A</v>
      </c>
      <c r="AA147" s="6">
        <f>VLOOKUP(A147,[6]台湾加权指数历史数据!$A:$B,2,)</f>
        <v>7690.65</v>
      </c>
      <c r="AB147" s="3">
        <v>21012.38</v>
      </c>
      <c r="AC147" s="3">
        <v>3107.87</v>
      </c>
      <c r="AD147">
        <v>5746.95</v>
      </c>
      <c r="AE147" s="5">
        <f>VLOOKUP(A147,[7]越南VN30指数历史数据!$A:$B,2,)</f>
        <v>453.2</v>
      </c>
      <c r="AF147">
        <v>32361.91</v>
      </c>
      <c r="AG147" s="9">
        <v>8172.09</v>
      </c>
      <c r="AH147">
        <v>9462.8700000000008</v>
      </c>
      <c r="AI147">
        <v>1246.01</v>
      </c>
      <c r="AJ147">
        <v>1457.61</v>
      </c>
    </row>
    <row r="148" spans="1:36" x14ac:dyDescent="0.3">
      <c r="A148" s="2">
        <v>41189</v>
      </c>
      <c r="B148" s="3">
        <v>2400.13</v>
      </c>
      <c r="C148" s="4">
        <v>59162</v>
      </c>
      <c r="D148" s="3">
        <v>4486.6000000000004</v>
      </c>
      <c r="E148" s="3">
        <v>13328.85</v>
      </c>
      <c r="F148" s="3">
        <v>12202.04</v>
      </c>
      <c r="G148" s="1">
        <v>823.09</v>
      </c>
      <c r="H148" s="3">
        <v>1428.59</v>
      </c>
      <c r="I148" s="3">
        <v>3044.11</v>
      </c>
      <c r="J148" s="3">
        <v>41665.480000000003</v>
      </c>
      <c r="K148" s="1">
        <v>20778.439999999999</v>
      </c>
      <c r="L148" s="3">
        <v>2375.91</v>
      </c>
      <c r="M148" s="3">
        <v>7232.49</v>
      </c>
      <c r="N148" s="6">
        <f>VLOOKUP(A148,'[1]俄罗斯交易系统市值加权指数历史数据 (1)'!$A:$B,2,)</f>
        <v>1472.36</v>
      </c>
      <c r="O148" s="3">
        <v>3389.08</v>
      </c>
      <c r="P148" s="1">
        <v>327.95</v>
      </c>
      <c r="Q148" s="3">
        <v>6655.2</v>
      </c>
      <c r="R148" s="1">
        <v>696.03</v>
      </c>
      <c r="S148" s="3">
        <v>7652.4</v>
      </c>
      <c r="T148" s="3">
        <v>5793.32</v>
      </c>
      <c r="U148" s="3">
        <v>2469.09</v>
      </c>
      <c r="V148" s="6">
        <f>VLOOKUP(A148,[2]韩国KOSPI指数历史数据!$A:$B,2,)</f>
        <v>1933.26</v>
      </c>
      <c r="W148" s="6">
        <f>VLOOKUP(A148,[3]日经225指数历史数据!$A:$B,2,)</f>
        <v>8534.1200000000008</v>
      </c>
      <c r="X148" s="3">
        <v>1216.8599999999999</v>
      </c>
      <c r="Y148" s="6">
        <f>VLOOKUP(A148,[4]上证指数历史数据!$A:$B,2,)</f>
        <v>2104.9299999999998</v>
      </c>
      <c r="Z148" s="6">
        <f>VLOOKUP(A148,[5]深证成份指数历史数据!$A:$B,2,)</f>
        <v>8650.19</v>
      </c>
      <c r="AA148" s="6">
        <f>VLOOKUP(A148,[6]台湾加权指数历史数据!$A:$B,2,)</f>
        <v>7437.04</v>
      </c>
      <c r="AB148" s="3">
        <v>21136.43</v>
      </c>
      <c r="AC148" s="3">
        <v>3041.75</v>
      </c>
      <c r="AD148">
        <v>5676.05</v>
      </c>
      <c r="AE148" s="5">
        <f>VLOOKUP(A148,[7]越南VN30指数历史数据!$A:$B,2,)</f>
        <v>460.18</v>
      </c>
      <c r="AF148">
        <v>32276.07</v>
      </c>
      <c r="AG148" s="9">
        <v>8211.73</v>
      </c>
      <c r="AH148">
        <v>9281.31</v>
      </c>
      <c r="AI148">
        <v>1293.94</v>
      </c>
      <c r="AJ148">
        <v>1457.84</v>
      </c>
    </row>
    <row r="149" spans="1:36" x14ac:dyDescent="0.3">
      <c r="A149" s="2">
        <v>41196</v>
      </c>
      <c r="B149" s="3">
        <v>2428.0500000000002</v>
      </c>
      <c r="C149" s="4">
        <v>58922</v>
      </c>
      <c r="D149" s="3">
        <v>4571.1000000000004</v>
      </c>
      <c r="E149" s="3">
        <v>13343.51</v>
      </c>
      <c r="F149" s="3">
        <v>12415.98</v>
      </c>
      <c r="G149" s="1">
        <v>821</v>
      </c>
      <c r="H149" s="3">
        <v>1433.19</v>
      </c>
      <c r="I149" s="3">
        <v>3005.62</v>
      </c>
      <c r="J149" s="3">
        <v>42386.83</v>
      </c>
      <c r="K149" s="1">
        <v>20871.64</v>
      </c>
      <c r="L149" s="3">
        <v>2350.25</v>
      </c>
      <c r="M149" s="3">
        <v>7380.64</v>
      </c>
      <c r="N149" s="6">
        <f>VLOOKUP(A149,'[1]俄罗斯交易系统市值加权指数历史数据 (1)'!$A:$B,2,)</f>
        <v>1494.44</v>
      </c>
      <c r="O149" s="3">
        <v>3504.56</v>
      </c>
      <c r="P149" s="1">
        <v>334.17</v>
      </c>
      <c r="Q149" s="3">
        <v>6756.14</v>
      </c>
      <c r="R149" s="1">
        <v>707.74</v>
      </c>
      <c r="S149" s="3">
        <v>7913.4</v>
      </c>
      <c r="T149" s="3">
        <v>5896.15</v>
      </c>
      <c r="U149" s="3">
        <v>2542.2399999999998</v>
      </c>
      <c r="V149" s="6">
        <f>VLOOKUP(A149,[2]韩国KOSPI指数历史数据!$A:$B,2,)</f>
        <v>1943.84</v>
      </c>
      <c r="W149" s="6">
        <f>VLOOKUP(A149,[3]日经225指数历史数据!$A:$B,2,)</f>
        <v>9002.68</v>
      </c>
      <c r="X149" s="3">
        <v>1217.26</v>
      </c>
      <c r="Y149" s="6">
        <f>VLOOKUP(A149,[4]上证指数历史数据!$A:$B,2,)</f>
        <v>2128.3000000000002</v>
      </c>
      <c r="Z149" s="6">
        <f>VLOOKUP(A149,[5]深证成份指数历史数据!$A:$B,2,)</f>
        <v>8796.42</v>
      </c>
      <c r="AA149" s="6">
        <f>VLOOKUP(A149,[6]台湾加权指数历史数据!$A:$B,2,)</f>
        <v>7408.76</v>
      </c>
      <c r="AB149" s="3">
        <v>21551.759999999998</v>
      </c>
      <c r="AC149" s="3">
        <v>3048.92</v>
      </c>
      <c r="AD149">
        <v>5684.25</v>
      </c>
      <c r="AE149" s="5">
        <f>VLOOKUP(A149,[7]越南VN30指数历史数据!$A:$B,2,)</f>
        <v>471.26</v>
      </c>
      <c r="AF149">
        <v>32609.75</v>
      </c>
      <c r="AG149" s="9">
        <v>8344.0499999999993</v>
      </c>
      <c r="AH149">
        <v>9094.9</v>
      </c>
      <c r="AI149">
        <v>1293.7</v>
      </c>
      <c r="AJ149">
        <v>1457.84</v>
      </c>
    </row>
    <row r="150" spans="1:36" x14ac:dyDescent="0.3">
      <c r="A150" s="2">
        <v>41203</v>
      </c>
      <c r="B150" s="3">
        <v>2380.33</v>
      </c>
      <c r="C150" s="4">
        <v>57277</v>
      </c>
      <c r="D150" s="3">
        <v>4472.3999999999996</v>
      </c>
      <c r="E150" s="3">
        <v>13107.21</v>
      </c>
      <c r="F150" s="3">
        <v>12300.3</v>
      </c>
      <c r="G150" s="1">
        <v>813.25</v>
      </c>
      <c r="H150" s="3">
        <v>1411.94</v>
      </c>
      <c r="I150" s="3">
        <v>2987.95</v>
      </c>
      <c r="J150" s="3">
        <v>41836.92</v>
      </c>
      <c r="K150" s="1">
        <v>20835.73</v>
      </c>
      <c r="L150" s="3">
        <v>2320.08</v>
      </c>
      <c r="M150" s="3">
        <v>7231.85</v>
      </c>
      <c r="N150" s="6">
        <f>VLOOKUP(A150,'[1]俄罗斯交易系统市值加权指数历史数据 (1)'!$A:$B,2,)</f>
        <v>1441.38</v>
      </c>
      <c r="O150" s="3">
        <v>3435.09</v>
      </c>
      <c r="P150" s="1">
        <v>329.45</v>
      </c>
      <c r="Q150" s="3">
        <v>6600.84</v>
      </c>
      <c r="R150" s="1">
        <v>707.08</v>
      </c>
      <c r="S150" s="3">
        <v>7775.6</v>
      </c>
      <c r="T150" s="3">
        <v>5806.71</v>
      </c>
      <c r="U150" s="3">
        <v>2496.1</v>
      </c>
      <c r="V150" s="6">
        <f>VLOOKUP(A150,[2]韩国KOSPI指数历史数据!$A:$B,2,)</f>
        <v>1891.43</v>
      </c>
      <c r="W150" s="6">
        <f>VLOOKUP(A150,[3]日经225指数历史数据!$A:$B,2,)</f>
        <v>8933.06</v>
      </c>
      <c r="X150" s="3">
        <v>1209.74</v>
      </c>
      <c r="Y150" s="6">
        <f>VLOOKUP(A150,[4]上证指数历史数据!$A:$B,2,)</f>
        <v>2066.21</v>
      </c>
      <c r="Z150" s="6">
        <f>VLOOKUP(A150,[5]深证成份指数历史数据!$A:$B,2,)</f>
        <v>8414.85</v>
      </c>
      <c r="AA150" s="6">
        <f>VLOOKUP(A150,[6]台湾加权指数历史数据!$A:$B,2,)</f>
        <v>7134.06</v>
      </c>
      <c r="AB150" s="3">
        <v>21545.57</v>
      </c>
      <c r="AC150" s="3">
        <v>3057.51</v>
      </c>
      <c r="AD150">
        <v>5664.3</v>
      </c>
      <c r="AE150" s="5">
        <f>VLOOKUP(A150,[7]越南VN30指数历史数据!$A:$B,2,)</f>
        <v>462.16</v>
      </c>
      <c r="AF150">
        <v>32719.1</v>
      </c>
      <c r="AG150" s="9">
        <v>8355.31</v>
      </c>
      <c r="AH150">
        <v>9559.43</v>
      </c>
      <c r="AI150">
        <v>1269.43</v>
      </c>
      <c r="AJ150">
        <v>1457.84</v>
      </c>
    </row>
    <row r="151" spans="1:36" x14ac:dyDescent="0.3">
      <c r="A151" s="2">
        <v>41210</v>
      </c>
      <c r="B151" s="3">
        <v>2395.13</v>
      </c>
      <c r="C151" s="4">
        <v>58383</v>
      </c>
      <c r="D151" s="3">
        <v>4460.1000000000004</v>
      </c>
      <c r="E151" s="3">
        <v>13093.16</v>
      </c>
      <c r="F151" s="3">
        <v>12380.41</v>
      </c>
      <c r="G151" s="1">
        <v>814.37</v>
      </c>
      <c r="H151" s="3">
        <v>1414.2</v>
      </c>
      <c r="I151" s="3">
        <v>2982.13</v>
      </c>
      <c r="J151" s="3">
        <v>41761.78</v>
      </c>
      <c r="K151" s="1">
        <v>20910.93</v>
      </c>
      <c r="L151" s="3">
        <v>2345.9899999999998</v>
      </c>
      <c r="M151" s="3">
        <v>7363.85</v>
      </c>
      <c r="N151" s="6">
        <f>VLOOKUP(A151,'[1]俄罗斯交易系统市值加权指数历史数据 (1)'!$A:$B,2,)</f>
        <v>1444.19</v>
      </c>
      <c r="O151" s="3">
        <v>3492.46</v>
      </c>
      <c r="P151" s="1">
        <v>337.6</v>
      </c>
      <c r="Q151" s="3">
        <v>6701.37</v>
      </c>
      <c r="R151" s="1">
        <v>714.23</v>
      </c>
      <c r="S151" s="3">
        <v>7968.9</v>
      </c>
      <c r="T151" s="3">
        <v>5868.55</v>
      </c>
      <c r="U151" s="3">
        <v>2547.15</v>
      </c>
      <c r="V151" s="6">
        <f>VLOOKUP(A151,[2]韩国KOSPI指数历史数据!$A:$B,2,)</f>
        <v>1918.72</v>
      </c>
      <c r="W151" s="6">
        <f>VLOOKUP(A151,[3]日经225指数历史数据!$A:$B,2,)</f>
        <v>9051.2199999999993</v>
      </c>
      <c r="X151" s="3">
        <v>1219.71</v>
      </c>
      <c r="Y151" s="6">
        <f>VLOOKUP(A151,[4]上证指数历史数据!$A:$B,2,)</f>
        <v>2117.0500000000002</v>
      </c>
      <c r="Z151" s="6">
        <f>VLOOKUP(A151,[5]深证成份指数历史数据!$A:$B,2,)</f>
        <v>8679.68</v>
      </c>
      <c r="AA151" s="6">
        <f>VLOOKUP(A151,[6]台湾加权指数历史数据!$A:$B,2,)</f>
        <v>7210.47</v>
      </c>
      <c r="AB151" s="3">
        <v>22111.33</v>
      </c>
      <c r="AC151" s="3">
        <v>3040.75</v>
      </c>
      <c r="AD151">
        <v>5697.7</v>
      </c>
      <c r="AE151" s="5">
        <f>VLOOKUP(A151,[7]越南VN30指数历史数据!$A:$B,2,)</f>
        <v>441.9</v>
      </c>
      <c r="AF151">
        <v>33512.89</v>
      </c>
      <c r="AG151" s="9">
        <v>8052.74</v>
      </c>
      <c r="AH151">
        <v>9539.0300000000007</v>
      </c>
      <c r="AI151">
        <v>1251.6400000000001</v>
      </c>
      <c r="AJ151">
        <v>1458.27</v>
      </c>
    </row>
    <row r="152" spans="1:36" x14ac:dyDescent="0.3">
      <c r="A152" s="2">
        <v>41217</v>
      </c>
      <c r="B152" s="3">
        <v>2390.0500000000002</v>
      </c>
      <c r="C152" s="4">
        <v>57358</v>
      </c>
      <c r="D152" s="3">
        <v>4462</v>
      </c>
      <c r="E152" s="3">
        <v>12815.39</v>
      </c>
      <c r="F152" s="3">
        <v>12196.8</v>
      </c>
      <c r="G152" s="1">
        <v>795.02</v>
      </c>
      <c r="H152" s="3">
        <v>1379.85</v>
      </c>
      <c r="I152" s="3">
        <v>2904.87</v>
      </c>
      <c r="J152" s="3">
        <v>40677.07</v>
      </c>
      <c r="K152" s="1">
        <v>20736.349999999999</v>
      </c>
      <c r="L152" s="3">
        <v>2323.9699999999998</v>
      </c>
      <c r="M152" s="3">
        <v>7163.5</v>
      </c>
      <c r="N152" s="6">
        <f>VLOOKUP(A152,'[1]俄罗斯交易系统市值加权指数历史数据 (1)'!$A:$B,2,)</f>
        <v>1397.86</v>
      </c>
      <c r="O152" s="3">
        <v>3423.57</v>
      </c>
      <c r="P152" s="1">
        <v>331.93</v>
      </c>
      <c r="Q152" s="3">
        <v>6715.2</v>
      </c>
      <c r="R152" s="1">
        <v>718.2</v>
      </c>
      <c r="S152" s="3">
        <v>7636.6</v>
      </c>
      <c r="T152" s="3">
        <v>5769.68</v>
      </c>
      <c r="U152" s="3">
        <v>2479.8200000000002</v>
      </c>
      <c r="V152" s="6">
        <f>VLOOKUP(A152,[2]韩国KOSPI指数历史数据!$A:$B,2,)</f>
        <v>1904.41</v>
      </c>
      <c r="W152" s="6">
        <f>VLOOKUP(A152,[3]日经225指数历史数据!$A:$B,2,)</f>
        <v>8757.6</v>
      </c>
      <c r="X152" s="3">
        <v>1211.57</v>
      </c>
      <c r="Y152" s="6">
        <f>VLOOKUP(A152,[4]上证指数历史数据!$A:$B,2,)</f>
        <v>2069.0700000000002</v>
      </c>
      <c r="Z152" s="6">
        <f>VLOOKUP(A152,[5]深证成份指数历史数据!$A:$B,2,)</f>
        <v>8356.67</v>
      </c>
      <c r="AA152" s="6">
        <f>VLOOKUP(A152,[6]台湾加权指数历史数据!$A:$B,2,)</f>
        <v>7293.22</v>
      </c>
      <c r="AB152" s="3">
        <v>21384.38</v>
      </c>
      <c r="AC152" s="3">
        <v>3009.56</v>
      </c>
      <c r="AD152">
        <v>5686.25</v>
      </c>
      <c r="AE152" s="5">
        <f>VLOOKUP(A152,[7]越南VN30指数历史数据!$A:$B,2,)</f>
        <v>457.23</v>
      </c>
      <c r="AF152">
        <v>33122.46</v>
      </c>
      <c r="AG152" s="9">
        <v>8055.95</v>
      </c>
      <c r="AH152">
        <v>9692.2900000000009</v>
      </c>
      <c r="AI152">
        <v>1258.54</v>
      </c>
      <c r="AJ152">
        <v>1461.3</v>
      </c>
    </row>
    <row r="153" spans="1:36" x14ac:dyDescent="0.3">
      <c r="A153" s="2">
        <v>41224</v>
      </c>
      <c r="B153" s="3">
        <v>2283.09</v>
      </c>
      <c r="C153" s="4">
        <v>55402</v>
      </c>
      <c r="D153" s="3">
        <v>4336.8</v>
      </c>
      <c r="E153" s="3">
        <v>12588.31</v>
      </c>
      <c r="F153" s="3">
        <v>11877.72</v>
      </c>
      <c r="G153" s="1">
        <v>776.28</v>
      </c>
      <c r="H153" s="3">
        <v>1359.88</v>
      </c>
      <c r="I153" s="3">
        <v>2853.13</v>
      </c>
      <c r="J153" s="3">
        <v>40830.6</v>
      </c>
      <c r="K153" s="1">
        <v>20539.78</v>
      </c>
      <c r="L153" s="3">
        <v>2367.7399999999998</v>
      </c>
      <c r="M153" s="3">
        <v>6950.53</v>
      </c>
      <c r="N153" s="6">
        <f>VLOOKUP(A153,'[1]俄罗斯交易系统市值加权指数历史数据 (1)'!$A:$B,2,)</f>
        <v>1376.1</v>
      </c>
      <c r="O153" s="3">
        <v>3341.52</v>
      </c>
      <c r="P153" s="1">
        <v>319.83999999999997</v>
      </c>
      <c r="Q153" s="3">
        <v>6508.66</v>
      </c>
      <c r="R153" s="1">
        <v>707.91</v>
      </c>
      <c r="S153" s="3">
        <v>7588.2</v>
      </c>
      <c r="T153" s="3">
        <v>5605.59</v>
      </c>
      <c r="U153" s="3">
        <v>2427.3200000000002</v>
      </c>
      <c r="V153" s="6">
        <f>VLOOKUP(A153,[2]韩国KOSPI指数历史数据!$A:$B,2,)</f>
        <v>1860.83</v>
      </c>
      <c r="W153" s="6">
        <f>VLOOKUP(A153,[3]日经225指数历史数据!$A:$B,2,)</f>
        <v>9024.16</v>
      </c>
      <c r="X153" s="3">
        <v>1181.76</v>
      </c>
      <c r="Y153" s="6">
        <f>VLOOKUP(A153,[4]上证指数历史数据!$A:$B,2,)</f>
        <v>2014.72</v>
      </c>
      <c r="Z153" s="6">
        <f>VLOOKUP(A153,[5]深证成份指数历史数据!$A:$B,2,)</f>
        <v>8118.15</v>
      </c>
      <c r="AA153" s="6">
        <f>VLOOKUP(A153,[6]台湾加权指数历史数据!$A:$B,2,)</f>
        <v>7130.07</v>
      </c>
      <c r="AB153" s="3">
        <v>21159.01</v>
      </c>
      <c r="AC153" s="3">
        <v>2945.63</v>
      </c>
      <c r="AD153">
        <v>5574.05</v>
      </c>
      <c r="AE153" s="5">
        <f>VLOOKUP(A153,[7]越南VN30指数历史数据!$A:$B,2,)</f>
        <v>455.67</v>
      </c>
      <c r="AF153">
        <v>32612.45</v>
      </c>
      <c r="AG153" s="9">
        <v>8119.71</v>
      </c>
      <c r="AH153">
        <v>9683.69</v>
      </c>
      <c r="AI153">
        <v>1243.79</v>
      </c>
      <c r="AJ153">
        <v>1464.97</v>
      </c>
    </row>
    <row r="154" spans="1:36" x14ac:dyDescent="0.3">
      <c r="A154" s="2">
        <v>41231</v>
      </c>
      <c r="B154" s="3">
        <v>2339.92</v>
      </c>
      <c r="C154" s="4">
        <v>57574</v>
      </c>
      <c r="D154" s="3">
        <v>4413</v>
      </c>
      <c r="E154" s="3">
        <v>13009.68</v>
      </c>
      <c r="F154" s="3">
        <v>12213.24</v>
      </c>
      <c r="G154" s="1">
        <v>807.18</v>
      </c>
      <c r="H154" s="3">
        <v>1409.15</v>
      </c>
      <c r="I154" s="3">
        <v>2966.85</v>
      </c>
      <c r="J154" s="3">
        <v>41919.550000000003</v>
      </c>
      <c r="K154" s="1">
        <v>20365.27</v>
      </c>
      <c r="L154" s="3">
        <v>2398.39</v>
      </c>
      <c r="M154" s="3">
        <v>7309.13</v>
      </c>
      <c r="N154" s="6">
        <f>VLOOKUP(A154,'[1]俄罗斯交易系统市值加权指数历史数据 (1)'!$A:$B,2,)</f>
        <v>1432.24</v>
      </c>
      <c r="O154" s="3">
        <v>3528.8</v>
      </c>
      <c r="P154" s="1">
        <v>331.5</v>
      </c>
      <c r="Q154" s="3">
        <v>6715.09</v>
      </c>
      <c r="R154" s="1">
        <v>710.04</v>
      </c>
      <c r="S154" s="3">
        <v>7909.6</v>
      </c>
      <c r="T154" s="3">
        <v>5819.14</v>
      </c>
      <c r="U154" s="3">
        <v>2557.0300000000002</v>
      </c>
      <c r="V154" s="6">
        <f>VLOOKUP(A154,[2]韩国KOSPI指数历史数据!$A:$B,2,)</f>
        <v>1911.33</v>
      </c>
      <c r="W154" s="6">
        <f>VLOOKUP(A154,[3]日经225指数历史数据!$A:$B,2,)</f>
        <v>9366.7999999999993</v>
      </c>
      <c r="X154" s="3">
        <v>1211.03</v>
      </c>
      <c r="Y154" s="6">
        <f>VLOOKUP(A154,[4]上证指数历史数据!$A:$B,2,)</f>
        <v>2027.38</v>
      </c>
      <c r="Z154" s="6">
        <f>VLOOKUP(A154,[5]深证成份指数历史数据!$A:$B,2,)</f>
        <v>8114.74</v>
      </c>
      <c r="AA154" s="6">
        <f>VLOOKUP(A154,[6]台湾加权指数历史数据!$A:$B,2,)</f>
        <v>7326.01</v>
      </c>
      <c r="AB154" s="3">
        <v>21913.98</v>
      </c>
      <c r="AC154" s="3">
        <v>2989.28</v>
      </c>
      <c r="AD154">
        <v>5626.6</v>
      </c>
      <c r="AE154" s="5">
        <f>VLOOKUP(A154,[7]越南VN30指数历史数据!$A:$B,2,)</f>
        <v>449.73</v>
      </c>
      <c r="AF154">
        <v>33634.44</v>
      </c>
      <c r="AG154" s="9">
        <v>7793.57</v>
      </c>
      <c r="AH154">
        <v>9661.52</v>
      </c>
      <c r="AI154">
        <v>1241.69</v>
      </c>
      <c r="AJ154">
        <v>1472.58</v>
      </c>
    </row>
    <row r="155" spans="1:36" x14ac:dyDescent="0.3">
      <c r="A155" s="2">
        <v>41238</v>
      </c>
      <c r="B155" s="3">
        <v>2419.3000000000002</v>
      </c>
      <c r="C155" s="4">
        <v>57475</v>
      </c>
      <c r="D155" s="3">
        <v>4506</v>
      </c>
      <c r="E155" s="3">
        <v>13025.58</v>
      </c>
      <c r="F155" s="3">
        <v>12239.36</v>
      </c>
      <c r="G155" s="1">
        <v>821.92</v>
      </c>
      <c r="H155" s="3">
        <v>1416.18</v>
      </c>
      <c r="I155" s="3">
        <v>3010.24</v>
      </c>
      <c r="J155" s="3">
        <v>41833.519999999997</v>
      </c>
      <c r="K155" s="1">
        <v>20323.849999999999</v>
      </c>
      <c r="L155" s="3">
        <v>2421.54</v>
      </c>
      <c r="M155" s="3">
        <v>7405.5</v>
      </c>
      <c r="N155" s="6">
        <f>VLOOKUP(A155,'[1]俄罗斯交易系统市值加权指数历史数据 (1)'!$A:$B,2,)</f>
        <v>1436.55</v>
      </c>
      <c r="O155" s="3">
        <v>3557.28</v>
      </c>
      <c r="P155" s="1">
        <v>336.55</v>
      </c>
      <c r="Q155" s="3">
        <v>6820.6</v>
      </c>
      <c r="R155" s="1">
        <v>730.59</v>
      </c>
      <c r="S155" s="3">
        <v>7934.6</v>
      </c>
      <c r="T155" s="3">
        <v>5866.82</v>
      </c>
      <c r="U155" s="3">
        <v>2575.25</v>
      </c>
      <c r="V155" s="6">
        <f>VLOOKUP(A155,[2]韩国KOSPI指数历史数据!$A:$B,2,)</f>
        <v>1932.9</v>
      </c>
      <c r="W155" s="6">
        <f>VLOOKUP(A155,[3]日经225指数历史数据!$A:$B,2,)</f>
        <v>9446.01</v>
      </c>
      <c r="X155" s="3">
        <v>1229.97</v>
      </c>
      <c r="Y155" s="6">
        <f>VLOOKUP(A155,[4]上证指数历史数据!$A:$B,2,)</f>
        <v>1980.12</v>
      </c>
      <c r="Z155" s="6">
        <f>VLOOKUP(A155,[5]深证成份指数历史数据!$A:$B,2,)</f>
        <v>7903.25</v>
      </c>
      <c r="AA155" s="6">
        <f>VLOOKUP(A155,[6]台湾加权指数历史数据!$A:$B,2,)</f>
        <v>7580.17</v>
      </c>
      <c r="AB155" s="3">
        <v>22030.39</v>
      </c>
      <c r="AC155" s="3">
        <v>3069.95</v>
      </c>
      <c r="AD155">
        <v>5879.85</v>
      </c>
      <c r="AE155" s="5">
        <f>VLOOKUP(A155,[7]越南VN30指数历史数据!$A:$B,2,)</f>
        <v>443.68</v>
      </c>
      <c r="AF155">
        <v>33872.69</v>
      </c>
      <c r="AG155" s="9">
        <v>6933.38</v>
      </c>
      <c r="AH155">
        <v>9733.6200000000008</v>
      </c>
      <c r="AI155">
        <v>1259.78</v>
      </c>
      <c r="AJ155">
        <v>1474.59</v>
      </c>
    </row>
    <row r="156" spans="1:36" x14ac:dyDescent="0.3">
      <c r="A156" s="2">
        <v>41245</v>
      </c>
      <c r="B156" s="3">
        <v>2480.0300000000002</v>
      </c>
      <c r="C156" s="4">
        <v>58487</v>
      </c>
      <c r="D156" s="3">
        <v>4551.8</v>
      </c>
      <c r="E156" s="3">
        <v>13155.13</v>
      </c>
      <c r="F156" s="3">
        <v>12159.59</v>
      </c>
      <c r="G156" s="1">
        <v>822.27</v>
      </c>
      <c r="H156" s="3">
        <v>1418.07</v>
      </c>
      <c r="I156" s="3">
        <v>2978.04</v>
      </c>
      <c r="J156" s="3">
        <v>42797.67</v>
      </c>
      <c r="K156" s="1">
        <v>20322.68</v>
      </c>
      <c r="L156" s="3">
        <v>2450.7399999999998</v>
      </c>
      <c r="M156" s="3">
        <v>7517.8</v>
      </c>
      <c r="N156" s="6">
        <f>VLOOKUP(A156,'[1]俄罗斯交易系统市值加权指数历史数据 (1)'!$A:$B,2,)</f>
        <v>1471.09</v>
      </c>
      <c r="O156" s="3">
        <v>3605.61</v>
      </c>
      <c r="P156" s="1">
        <v>342.61</v>
      </c>
      <c r="Q156" s="3">
        <v>6925.25</v>
      </c>
      <c r="R156" s="1">
        <v>762.42</v>
      </c>
      <c r="S156" s="3">
        <v>7848.5</v>
      </c>
      <c r="T156" s="3">
        <v>5914.4</v>
      </c>
      <c r="U156" s="3">
        <v>2601.37</v>
      </c>
      <c r="V156" s="6">
        <f>VLOOKUP(A156,[2]韩国KOSPI指数历史数据!$A:$B,2,)</f>
        <v>1957.45</v>
      </c>
      <c r="W156" s="6">
        <f>VLOOKUP(A156,[3]日经225指数历史数据!$A:$B,2,)</f>
        <v>9527.39</v>
      </c>
      <c r="X156" s="3">
        <v>1228.53</v>
      </c>
      <c r="Y156" s="6">
        <f>VLOOKUP(A156,[4]上证指数历史数据!$A:$B,2,)</f>
        <v>2061.79</v>
      </c>
      <c r="Z156" s="6">
        <f>VLOOKUP(A156,[5]深证成份指数历史数据!$A:$B,2,)</f>
        <v>8189.68</v>
      </c>
      <c r="AA156" s="6">
        <f>VLOOKUP(A156,[6]台湾加权指数历史数据!$A:$B,2,)</f>
        <v>7642.26</v>
      </c>
      <c r="AB156" s="3">
        <v>22191.17</v>
      </c>
      <c r="AC156" s="3">
        <v>3107.11</v>
      </c>
      <c r="AD156">
        <v>5907.4</v>
      </c>
      <c r="AE156" s="5">
        <f>VLOOKUP(A156,[7]越南VN30指数历史数据!$A:$B,2,)</f>
        <v>449.81</v>
      </c>
      <c r="AF156">
        <v>33909.68</v>
      </c>
      <c r="AG156" s="9">
        <v>6957.02</v>
      </c>
      <c r="AH156">
        <v>9749.52</v>
      </c>
      <c r="AI156">
        <v>1266.58</v>
      </c>
      <c r="AJ156">
        <v>1474.81</v>
      </c>
    </row>
    <row r="157" spans="1:36" x14ac:dyDescent="0.3">
      <c r="A157" s="2">
        <v>41252</v>
      </c>
      <c r="B157" s="3">
        <v>2696.98</v>
      </c>
      <c r="C157" s="4">
        <v>59605</v>
      </c>
      <c r="D157" s="3">
        <v>4583.1000000000004</v>
      </c>
      <c r="E157" s="3">
        <v>13135.01</v>
      </c>
      <c r="F157" s="3">
        <v>12296.72</v>
      </c>
      <c r="G157" s="1">
        <v>823.75</v>
      </c>
      <c r="H157" s="3">
        <v>1413.58</v>
      </c>
      <c r="I157" s="3">
        <v>2971.33</v>
      </c>
      <c r="J157" s="3">
        <v>43050.92</v>
      </c>
      <c r="K157" s="1">
        <v>20854.96</v>
      </c>
      <c r="L157" s="3">
        <v>2536.8000000000002</v>
      </c>
      <c r="M157" s="3">
        <v>7596.47</v>
      </c>
      <c r="N157" s="6">
        <f>VLOOKUP(A157,'[1]俄罗斯交易系统市值加权指数历史数据 (1)'!$A:$B,2,)</f>
        <v>1500.89</v>
      </c>
      <c r="O157" s="3">
        <v>3643.28</v>
      </c>
      <c r="P157" s="1">
        <v>344.39</v>
      </c>
      <c r="Q157" s="3">
        <v>6902.51</v>
      </c>
      <c r="R157" s="1">
        <v>762.93</v>
      </c>
      <c r="S157" s="3">
        <v>8024.1</v>
      </c>
      <c r="T157" s="3">
        <v>5921.76</v>
      </c>
      <c r="U157" s="3">
        <v>2630.54</v>
      </c>
      <c r="V157" s="6">
        <f>VLOOKUP(A157,[2]韩国KOSPI指数历史数据!$A:$B,2,)</f>
        <v>1995.04</v>
      </c>
      <c r="W157" s="6">
        <f>VLOOKUP(A157,[3]日经225指数历史数据!$A:$B,2,)</f>
        <v>9737.56</v>
      </c>
      <c r="X157" s="3">
        <v>1230.8800000000001</v>
      </c>
      <c r="Y157" s="6">
        <f>VLOOKUP(A157,[4]上证指数历史数据!$A:$B,2,)</f>
        <v>2150.63</v>
      </c>
      <c r="Z157" s="6">
        <f>VLOOKUP(A157,[5]深证成份指数历史数据!$A:$B,2,)</f>
        <v>8530.9</v>
      </c>
      <c r="AA157" s="6">
        <f>VLOOKUP(A157,[6]台湾加权指数历史数据!$A:$B,2,)</f>
        <v>7698.77</v>
      </c>
      <c r="AB157" s="3">
        <v>22605.98</v>
      </c>
      <c r="AC157" s="3">
        <v>3168.43</v>
      </c>
      <c r="AD157">
        <v>5879.6</v>
      </c>
      <c r="AE157" s="5">
        <f>VLOOKUP(A157,[7]越南VN30指数历史数据!$A:$B,2,)</f>
        <v>460.74</v>
      </c>
      <c r="AF157">
        <v>34277.21</v>
      </c>
      <c r="AG157" s="9">
        <v>7446.15</v>
      </c>
      <c r="AH157">
        <v>9630.0300000000007</v>
      </c>
      <c r="AI157">
        <v>1324.57</v>
      </c>
      <c r="AJ157">
        <v>1475.12</v>
      </c>
    </row>
    <row r="158" spans="1:36" x14ac:dyDescent="0.3">
      <c r="A158" s="2">
        <v>41259</v>
      </c>
      <c r="B158" s="3">
        <v>2786.4</v>
      </c>
      <c r="C158" s="4">
        <v>61007</v>
      </c>
      <c r="D158" s="3">
        <v>4623.6000000000004</v>
      </c>
      <c r="E158" s="3">
        <v>13190.84</v>
      </c>
      <c r="F158" s="3">
        <v>12385.7</v>
      </c>
      <c r="G158" s="1">
        <v>847.92</v>
      </c>
      <c r="H158" s="3">
        <v>1430.15</v>
      </c>
      <c r="I158" s="3">
        <v>3021.01</v>
      </c>
      <c r="J158" s="3">
        <v>43621.62</v>
      </c>
      <c r="K158" s="1">
        <v>21002.39</v>
      </c>
      <c r="L158" s="3">
        <v>2583.06</v>
      </c>
      <c r="M158" s="3">
        <v>7636.23</v>
      </c>
      <c r="N158" s="6">
        <f>VLOOKUP(A158,'[1]俄罗斯交易系统市值加权指数历史数据 (1)'!$A:$B,2,)</f>
        <v>1512.18</v>
      </c>
      <c r="O158" s="3">
        <v>3661.4</v>
      </c>
      <c r="P158" s="1">
        <v>344.12</v>
      </c>
      <c r="Q158" s="3">
        <v>6889.54</v>
      </c>
      <c r="R158" s="1">
        <v>766.85</v>
      </c>
      <c r="S158" s="3">
        <v>8291</v>
      </c>
      <c r="T158" s="3">
        <v>5939.99</v>
      </c>
      <c r="U158" s="3">
        <v>2651.09</v>
      </c>
      <c r="V158" s="6">
        <f>VLOOKUP(A158,[2]韩国KOSPI指数历史数据!$A:$B,2,)</f>
        <v>1980.42</v>
      </c>
      <c r="W158" s="6">
        <f>VLOOKUP(A158,[3]日经225指数历史数据!$A:$B,2,)</f>
        <v>9940.06</v>
      </c>
      <c r="X158" s="3">
        <v>1220.74</v>
      </c>
      <c r="Y158" s="6">
        <f>VLOOKUP(A158,[4]上证指数历史数据!$A:$B,2,)</f>
        <v>2153.31</v>
      </c>
      <c r="Z158" s="6">
        <f>VLOOKUP(A158,[5]深证成份指数历史数据!$A:$B,2,)</f>
        <v>8658.35</v>
      </c>
      <c r="AA158" s="6">
        <f>VLOOKUP(A158,[6]台湾加权指数历史数据!$A:$B,2,)</f>
        <v>7540.14</v>
      </c>
      <c r="AB158" s="3">
        <v>22506.29</v>
      </c>
      <c r="AC158" s="3">
        <v>3163.56</v>
      </c>
      <c r="AD158">
        <v>5847.7</v>
      </c>
      <c r="AE158" s="5">
        <f>VLOOKUP(A158,[7]越南VN30指数历史数据!$A:$B,2,)</f>
        <v>465.24</v>
      </c>
      <c r="AF158">
        <v>34727.300000000003</v>
      </c>
      <c r="AG158" s="9">
        <v>7855.53</v>
      </c>
      <c r="AH158">
        <v>9557.9699999999993</v>
      </c>
      <c r="AI158">
        <v>1305.77</v>
      </c>
      <c r="AJ158">
        <v>1480.37</v>
      </c>
    </row>
    <row r="159" spans="1:36" x14ac:dyDescent="0.3">
      <c r="A159" s="2">
        <v>41266</v>
      </c>
      <c r="B159" s="3">
        <v>2854.29</v>
      </c>
      <c r="C159" s="4">
        <v>60952</v>
      </c>
      <c r="D159" s="3">
        <v>4671.3</v>
      </c>
      <c r="E159" s="3">
        <v>12938.11</v>
      </c>
      <c r="F159" s="3">
        <v>12316.12</v>
      </c>
      <c r="G159" s="1">
        <v>832.1</v>
      </c>
      <c r="H159" s="3">
        <v>1402.43</v>
      </c>
      <c r="I159" s="3">
        <v>2960.31</v>
      </c>
      <c r="J159" s="3">
        <v>43721.93</v>
      </c>
      <c r="K159" s="1">
        <v>21070.28</v>
      </c>
      <c r="L159" s="3">
        <v>2582.98</v>
      </c>
      <c r="M159" s="3">
        <v>7612.39</v>
      </c>
      <c r="N159" s="6">
        <f>VLOOKUP(A159,'[1]俄罗斯交易系统市值加权指数历史数据 (1)'!$A:$B,2,)</f>
        <v>1526.98</v>
      </c>
      <c r="O159" s="3">
        <v>3620.25</v>
      </c>
      <c r="P159" s="1">
        <v>342</v>
      </c>
      <c r="Q159" s="3">
        <v>6822.44</v>
      </c>
      <c r="R159" s="1">
        <v>785.79</v>
      </c>
      <c r="S159" s="3">
        <v>8131</v>
      </c>
      <c r="T159" s="3">
        <v>5925.37</v>
      </c>
      <c r="U159" s="3">
        <v>2626.85</v>
      </c>
      <c r="V159" s="6">
        <f>VLOOKUP(A159,[2]韩国KOSPI指数历史数据!$A:$B,2,)</f>
        <v>1997.05</v>
      </c>
      <c r="W159" s="6">
        <f>VLOOKUP(A159,[3]日经225指数历史数据!$A:$B,2,)</f>
        <v>10395.18</v>
      </c>
      <c r="X159" s="3">
        <v>1184.1199999999999</v>
      </c>
      <c r="Y159" s="6">
        <f>VLOOKUP(A159,[4]上证指数历史数据!$A:$B,2,)</f>
        <v>2233.25</v>
      </c>
      <c r="Z159" s="6">
        <f>VLOOKUP(A159,[5]深证成份指数历史数据!$A:$B,2,)</f>
        <v>9026.99</v>
      </c>
      <c r="AA159" s="6">
        <f>VLOOKUP(A159,[6]台湾加权指数历史数据!$A:$B,2,)</f>
        <v>7699.5</v>
      </c>
      <c r="AB159" s="3">
        <v>22666.59</v>
      </c>
      <c r="AC159" s="3">
        <v>3191.8</v>
      </c>
      <c r="AD159">
        <v>5908.35</v>
      </c>
      <c r="AE159" s="5">
        <f>VLOOKUP(A159,[7]越南VN30指数历史数据!$A:$B,2,)</f>
        <v>485.38</v>
      </c>
      <c r="AF159">
        <v>34930.61</v>
      </c>
      <c r="AG159" s="9">
        <v>7817.73</v>
      </c>
      <c r="AH159">
        <v>9388.83</v>
      </c>
      <c r="AI159">
        <v>1324.51</v>
      </c>
      <c r="AJ159">
        <v>1478.99</v>
      </c>
    </row>
    <row r="160" spans="1:36" x14ac:dyDescent="0.3">
      <c r="A160" s="2">
        <v>41273</v>
      </c>
      <c r="B160" s="3">
        <v>2996.28</v>
      </c>
      <c r="C160" s="4">
        <v>62523</v>
      </c>
      <c r="D160" s="3">
        <v>4723.8</v>
      </c>
      <c r="E160" s="3">
        <v>13435.21</v>
      </c>
      <c r="F160" s="3">
        <v>12540.81</v>
      </c>
      <c r="G160" s="1">
        <v>879.15</v>
      </c>
      <c r="H160" s="3">
        <v>1466.47</v>
      </c>
      <c r="I160" s="3">
        <v>3101.66</v>
      </c>
      <c r="J160" s="3">
        <v>44562.33</v>
      </c>
      <c r="K160" s="1">
        <v>21462.16</v>
      </c>
      <c r="L160" s="3">
        <v>2601.73</v>
      </c>
      <c r="M160" s="3">
        <v>7776.37</v>
      </c>
      <c r="N160" s="6" t="e">
        <f>VLOOKUP(A160,'[1]俄罗斯交易系统市值加权指数历史数据 (1)'!$A:$B,2,)</f>
        <v>#N/A</v>
      </c>
      <c r="O160" s="3">
        <v>3730.02</v>
      </c>
      <c r="P160" s="1">
        <v>351.73</v>
      </c>
      <c r="Q160" s="3">
        <v>7058.92</v>
      </c>
      <c r="R160" s="1">
        <v>795.64</v>
      </c>
      <c r="S160" s="3">
        <v>8435.7999999999993</v>
      </c>
      <c r="T160" s="3">
        <v>6089.84</v>
      </c>
      <c r="U160" s="3">
        <v>2709.35</v>
      </c>
      <c r="V160" s="6">
        <f>VLOOKUP(A160,[2]韩国KOSPI指数历史数据!$A:$B,2,)</f>
        <v>2011.94</v>
      </c>
      <c r="W160" s="6">
        <f>VLOOKUP(A160,[3]日经225指数历史数据!$A:$B,2,)</f>
        <v>10688.11</v>
      </c>
      <c r="X160" s="3">
        <v>1210.6199999999999</v>
      </c>
      <c r="Y160" s="6">
        <f>VLOOKUP(A160,[4]上证指数历史数据!$A:$B,2,)</f>
        <v>2276.9899999999998</v>
      </c>
      <c r="Z160" s="6">
        <f>VLOOKUP(A160,[5]深证成份指数历史数据!$A:$B,2,)</f>
        <v>9096.07</v>
      </c>
      <c r="AA160" s="6">
        <f>VLOOKUP(A160,[6]台湾加权指数历史数据!$A:$B,2,)</f>
        <v>7805.99</v>
      </c>
      <c r="AB160" s="3">
        <v>23331.09</v>
      </c>
      <c r="AC160" s="3">
        <v>3225.22</v>
      </c>
      <c r="AD160">
        <v>6016.15</v>
      </c>
      <c r="AE160" s="5">
        <f>VLOOKUP(A160,[7]越南VN30指数历史数据!$A:$B,2,)</f>
        <v>498.31</v>
      </c>
      <c r="AF160">
        <v>35775.9</v>
      </c>
      <c r="AG160" s="9">
        <v>8269.99</v>
      </c>
      <c r="AH160">
        <v>9271.61</v>
      </c>
      <c r="AI160">
        <v>1356.7</v>
      </c>
      <c r="AJ160">
        <v>1489.53</v>
      </c>
    </row>
    <row r="161" spans="1:36" x14ac:dyDescent="0.3">
      <c r="A161" s="2">
        <v>41280</v>
      </c>
      <c r="B161" s="3">
        <v>3107.66</v>
      </c>
      <c r="C161" s="4">
        <v>61497</v>
      </c>
      <c r="D161" s="3">
        <v>4709.5</v>
      </c>
      <c r="E161" s="3">
        <v>13488.43</v>
      </c>
      <c r="F161" s="3">
        <v>12602.18</v>
      </c>
      <c r="G161" s="1">
        <v>880.77</v>
      </c>
      <c r="H161" s="3">
        <v>1472.05</v>
      </c>
      <c r="I161" s="3">
        <v>3125.64</v>
      </c>
      <c r="J161" s="3">
        <v>44888.13</v>
      </c>
      <c r="K161" s="1">
        <v>21676.41</v>
      </c>
      <c r="L161" s="3">
        <v>2557.9299999999998</v>
      </c>
      <c r="M161" s="3">
        <v>7715.53</v>
      </c>
      <c r="N161" s="6">
        <f>VLOOKUP(A161,'[1]俄罗斯交易系统市值加权指数历史数据 (1)'!$A:$B,2,)</f>
        <v>1571.73</v>
      </c>
      <c r="O161" s="3">
        <v>3706.02</v>
      </c>
      <c r="P161" s="1">
        <v>350.13</v>
      </c>
      <c r="Q161" s="3">
        <v>7188.22</v>
      </c>
      <c r="R161" s="1">
        <v>810.34</v>
      </c>
      <c r="S161" s="3">
        <v>8664.7000000000007</v>
      </c>
      <c r="T161" s="3">
        <v>6121.58</v>
      </c>
      <c r="U161" s="3">
        <v>2717.79</v>
      </c>
      <c r="V161" s="6">
        <f>VLOOKUP(A161,[2]韩国KOSPI指数历史数据!$A:$B,2,)</f>
        <v>1996.67</v>
      </c>
      <c r="W161" s="6">
        <f>VLOOKUP(A161,[3]日经225指数历史数据!$A:$B,2,)</f>
        <v>10801.57</v>
      </c>
      <c r="X161" s="3">
        <v>1224.1099999999999</v>
      </c>
      <c r="Y161" s="6">
        <f>VLOOKUP(A161,[4]上证指数历史数据!$A:$B,2,)</f>
        <v>2243</v>
      </c>
      <c r="Z161" s="6">
        <f>VLOOKUP(A161,[5]深证成份指数历史数据!$A:$B,2,)</f>
        <v>9017.73</v>
      </c>
      <c r="AA161" s="6">
        <f>VLOOKUP(A161,[6]台湾加权指数历史数据!$A:$B,2,)</f>
        <v>7819.15</v>
      </c>
      <c r="AB161" s="3">
        <v>23264.07</v>
      </c>
      <c r="AC161" s="3">
        <v>3216.5</v>
      </c>
      <c r="AD161">
        <v>5951.3</v>
      </c>
      <c r="AE161" s="5">
        <f>VLOOKUP(A161,[7]越南VN30指数历史数据!$A:$B,2,)</f>
        <v>545.72</v>
      </c>
      <c r="AF161">
        <v>35792.519999999997</v>
      </c>
      <c r="AG161" s="9">
        <v>8259.1200000000008</v>
      </c>
      <c r="AH161">
        <v>9227.5</v>
      </c>
      <c r="AI161">
        <v>1391.99</v>
      </c>
      <c r="AJ161">
        <v>1485.02</v>
      </c>
    </row>
    <row r="162" spans="1:36" x14ac:dyDescent="0.3">
      <c r="A162" s="2">
        <v>41287</v>
      </c>
      <c r="B162" s="3">
        <v>3197.35</v>
      </c>
      <c r="C162" s="4">
        <v>61956</v>
      </c>
      <c r="D162" s="3">
        <v>4771.2</v>
      </c>
      <c r="E162" s="3">
        <v>13649.7</v>
      </c>
      <c r="F162" s="3">
        <v>12725.69</v>
      </c>
      <c r="G162" s="1">
        <v>892.8</v>
      </c>
      <c r="H162" s="3">
        <v>1485.98</v>
      </c>
      <c r="I162" s="3">
        <v>3134.71</v>
      </c>
      <c r="J162" s="3">
        <v>45212.53</v>
      </c>
      <c r="K162" s="1">
        <v>22030.33</v>
      </c>
      <c r="L162" s="3">
        <v>2572.14</v>
      </c>
      <c r="M162" s="3">
        <v>7702.23</v>
      </c>
      <c r="N162" s="6">
        <f>VLOOKUP(A162,'[1]俄罗斯交易系统市值加权指数历史数据 (1)'!$A:$B,2,)</f>
        <v>1603.5</v>
      </c>
      <c r="O162" s="3">
        <v>3741.58</v>
      </c>
      <c r="P162" s="1">
        <v>350.89</v>
      </c>
      <c r="Q162" s="3">
        <v>7368.8</v>
      </c>
      <c r="R162" s="1">
        <v>850.05</v>
      </c>
      <c r="S162" s="3">
        <v>8604</v>
      </c>
      <c r="T162" s="3">
        <v>6154.41</v>
      </c>
      <c r="U162" s="3">
        <v>2709.59</v>
      </c>
      <c r="V162" s="6">
        <f>VLOOKUP(A162,[2]韩国KOSPI指数历史数据!$A:$B,2,)</f>
        <v>1987.85</v>
      </c>
      <c r="W162" s="6">
        <f>VLOOKUP(A162,[3]日经225指数历史数据!$A:$B,2,)</f>
        <v>10913.3</v>
      </c>
      <c r="X162" s="3">
        <v>1207.67</v>
      </c>
      <c r="Y162" s="6">
        <f>VLOOKUP(A162,[4]上证指数历史数据!$A:$B,2,)</f>
        <v>2317.0700000000002</v>
      </c>
      <c r="Z162" s="6">
        <f>VLOOKUP(A162,[5]深证成份指数历史数据!$A:$B,2,)</f>
        <v>9432.2999999999993</v>
      </c>
      <c r="AA162" s="6">
        <f>VLOOKUP(A162,[6]台湾加权指数历史数据!$A:$B,2,)</f>
        <v>7732.87</v>
      </c>
      <c r="AB162" s="3">
        <v>23601.78</v>
      </c>
      <c r="AC162" s="3">
        <v>3211.22</v>
      </c>
      <c r="AD162">
        <v>6064.4</v>
      </c>
      <c r="AE162" s="5">
        <f>VLOOKUP(A162,[7]越南VN30指数历史数据!$A:$B,2,)</f>
        <v>534.97</v>
      </c>
      <c r="AF162">
        <v>35723.78</v>
      </c>
      <c r="AG162" s="9">
        <v>8100.16</v>
      </c>
      <c r="AH162">
        <v>8927.27</v>
      </c>
      <c r="AI162">
        <v>1459.65</v>
      </c>
      <c r="AJ162">
        <v>1492.17</v>
      </c>
    </row>
    <row r="163" spans="1:36" x14ac:dyDescent="0.3">
      <c r="A163" s="2">
        <v>41294</v>
      </c>
      <c r="B163" s="3">
        <v>3339.77</v>
      </c>
      <c r="C163" s="4">
        <v>61170</v>
      </c>
      <c r="D163" s="3">
        <v>4835.2</v>
      </c>
      <c r="E163" s="3">
        <v>13895.98</v>
      </c>
      <c r="F163" s="3">
        <v>12816.63</v>
      </c>
      <c r="G163" s="1">
        <v>905.24</v>
      </c>
      <c r="H163" s="3">
        <v>1502.96</v>
      </c>
      <c r="I163" s="3">
        <v>3149.71</v>
      </c>
      <c r="J163" s="3">
        <v>45575.86</v>
      </c>
      <c r="K163" s="1">
        <v>21966.79</v>
      </c>
      <c r="L163" s="3">
        <v>2542.3200000000002</v>
      </c>
      <c r="M163" s="3">
        <v>7857.97</v>
      </c>
      <c r="N163" s="6">
        <f>VLOOKUP(A163,'[1]俄罗斯交易系统市值加权指数历史数据 (1)'!$A:$B,2,)</f>
        <v>1618.84</v>
      </c>
      <c r="O163" s="3">
        <v>3778.16</v>
      </c>
      <c r="P163" s="1">
        <v>355.74</v>
      </c>
      <c r="Q163" s="3">
        <v>7458.66</v>
      </c>
      <c r="R163" s="1">
        <v>847.55</v>
      </c>
      <c r="S163" s="3">
        <v>8724.6</v>
      </c>
      <c r="T163" s="3">
        <v>6284.45</v>
      </c>
      <c r="U163" s="3">
        <v>2744.18</v>
      </c>
      <c r="V163" s="6">
        <f>VLOOKUP(A163,[2]韩国KOSPI指数历史数据!$A:$B,2,)</f>
        <v>1946.69</v>
      </c>
      <c r="W163" s="6">
        <f>VLOOKUP(A163,[3]日经225指数历史数据!$A:$B,2,)</f>
        <v>10926.65</v>
      </c>
      <c r="X163" s="3">
        <v>1196.3399999999999</v>
      </c>
      <c r="Y163" s="6">
        <f>VLOOKUP(A163,[4]上证指数历史数据!$A:$B,2,)</f>
        <v>2291.3000000000002</v>
      </c>
      <c r="Z163" s="6">
        <f>VLOOKUP(A163,[5]深证成份指数历史数据!$A:$B,2,)</f>
        <v>9357.1299999999992</v>
      </c>
      <c r="AA163" s="6">
        <f>VLOOKUP(A163,[6]台湾加权指数历史数据!$A:$B,2,)</f>
        <v>7672.58</v>
      </c>
      <c r="AB163" s="3">
        <v>23580.43</v>
      </c>
      <c r="AC163" s="3">
        <v>3269.31</v>
      </c>
      <c r="AD163">
        <v>6074.65</v>
      </c>
      <c r="AE163" s="5">
        <f>VLOOKUP(A163,[7]越南VN30指数历史数据!$A:$B,2,)</f>
        <v>547.30999999999995</v>
      </c>
      <c r="AF163">
        <v>36064.379999999997</v>
      </c>
      <c r="AG163" s="9">
        <v>8136.99</v>
      </c>
      <c r="AH163">
        <v>8899.59</v>
      </c>
      <c r="AI163">
        <v>1507.57</v>
      </c>
      <c r="AJ163">
        <v>1491.41</v>
      </c>
    </row>
    <row r="164" spans="1:36" x14ac:dyDescent="0.3">
      <c r="A164" s="2">
        <v>41301</v>
      </c>
      <c r="B164" s="3">
        <v>3531.46</v>
      </c>
      <c r="C164" s="4">
        <v>60351</v>
      </c>
      <c r="D164" s="3">
        <v>4921.1000000000004</v>
      </c>
      <c r="E164" s="3">
        <v>14009.79</v>
      </c>
      <c r="F164" s="3">
        <v>12768.83</v>
      </c>
      <c r="G164" s="1">
        <v>911.2</v>
      </c>
      <c r="H164" s="3">
        <v>1513.17</v>
      </c>
      <c r="I164" s="3">
        <v>3179.1</v>
      </c>
      <c r="J164" s="3">
        <v>45768.49</v>
      </c>
      <c r="K164" s="1">
        <v>22219.83</v>
      </c>
      <c r="L164" s="3">
        <v>2499.19</v>
      </c>
      <c r="M164" s="3">
        <v>7833.39</v>
      </c>
      <c r="N164" s="6">
        <f>VLOOKUP(A164,'[1]俄罗斯交易系统市值加权指数历史数据 (1)'!$A:$B,2,)</f>
        <v>1628.31</v>
      </c>
      <c r="O164" s="3">
        <v>3773.53</v>
      </c>
      <c r="P164" s="1">
        <v>355.55</v>
      </c>
      <c r="Q164" s="3">
        <v>7420.35</v>
      </c>
      <c r="R164" s="1">
        <v>802.22</v>
      </c>
      <c r="S164" s="3">
        <v>8229.7000000000007</v>
      </c>
      <c r="T164" s="3">
        <v>6347.24</v>
      </c>
      <c r="U164" s="3">
        <v>2710.08</v>
      </c>
      <c r="V164" s="6">
        <f>VLOOKUP(A164,[2]韩国KOSPI指数历史数据!$A:$B,2,)</f>
        <v>1957.79</v>
      </c>
      <c r="W164" s="6">
        <f>VLOOKUP(A164,[3]日经225指数历史数据!$A:$B,2,)</f>
        <v>11191.34</v>
      </c>
      <c r="X164" s="3">
        <v>1177.3599999999999</v>
      </c>
      <c r="Y164" s="6">
        <f>VLOOKUP(A164,[4]上证指数历史数据!$A:$B,2,)</f>
        <v>2419.02</v>
      </c>
      <c r="Z164" s="6">
        <f>VLOOKUP(A164,[5]深证成份指数历史数据!$A:$B,2,)</f>
        <v>9820.2900000000009</v>
      </c>
      <c r="AA164" s="6">
        <f>VLOOKUP(A164,[6]台湾加权指数历史数据!$A:$B,2,)</f>
        <v>7855.97</v>
      </c>
      <c r="AB164" s="3">
        <v>23721.84</v>
      </c>
      <c r="AC164" s="3">
        <v>3291.14</v>
      </c>
      <c r="AD164">
        <v>5998.9</v>
      </c>
      <c r="AE164" s="5">
        <f>VLOOKUP(A164,[7]越南VN30指数历史数据!$A:$B,2,)</f>
        <v>566.09</v>
      </c>
      <c r="AF164">
        <v>36219.07</v>
      </c>
      <c r="AG164" s="9">
        <v>8074.59</v>
      </c>
      <c r="AH164">
        <v>8933.31</v>
      </c>
      <c r="AI164">
        <v>1556.61</v>
      </c>
      <c r="AJ164">
        <v>1488.53</v>
      </c>
    </row>
    <row r="165" spans="1:36" x14ac:dyDescent="0.3">
      <c r="A165" s="2">
        <v>41308</v>
      </c>
      <c r="B165" s="3">
        <v>3279.96</v>
      </c>
      <c r="C165" s="4">
        <v>58498</v>
      </c>
      <c r="D165" s="3">
        <v>4971.3</v>
      </c>
      <c r="E165" s="3">
        <v>13992.97</v>
      </c>
      <c r="F165" s="3">
        <v>12801.23</v>
      </c>
      <c r="G165" s="1">
        <v>913.67</v>
      </c>
      <c r="H165" s="3">
        <v>1517.93</v>
      </c>
      <c r="I165" s="3">
        <v>3193.87</v>
      </c>
      <c r="J165" s="3">
        <v>45089.36</v>
      </c>
      <c r="K165" s="1">
        <v>22280.73</v>
      </c>
      <c r="L165" s="3">
        <v>2495.42</v>
      </c>
      <c r="M165" s="3">
        <v>7652.14</v>
      </c>
      <c r="N165" s="6">
        <f>VLOOKUP(A165,'[1]俄罗斯交易系统市值加权指数历史数据 (1)'!$A:$B,2,)</f>
        <v>1590.13</v>
      </c>
      <c r="O165" s="3">
        <v>3649.5</v>
      </c>
      <c r="P165" s="1">
        <v>345.13</v>
      </c>
      <c r="Q165" s="3">
        <v>7395.97</v>
      </c>
      <c r="R165" s="1">
        <v>786.84</v>
      </c>
      <c r="S165" s="3">
        <v>8174.9</v>
      </c>
      <c r="T165" s="3">
        <v>6263.93</v>
      </c>
      <c r="U165" s="3">
        <v>2630.3</v>
      </c>
      <c r="V165" s="6">
        <f>VLOOKUP(A165,[2]韩国KOSPI指数历史数据!$A:$B,2,)</f>
        <v>1950.9</v>
      </c>
      <c r="W165" s="6">
        <f>VLOOKUP(A165,[3]日经225指数历史数据!$A:$B,2,)</f>
        <v>11153.16</v>
      </c>
      <c r="X165" s="3">
        <v>1210.46</v>
      </c>
      <c r="Y165" s="6">
        <f>VLOOKUP(A165,[4]上证指数历史数据!$A:$B,2,)</f>
        <v>2432.4</v>
      </c>
      <c r="Z165" s="6">
        <f>VLOOKUP(A165,[5]深证成份指数历史数据!$A:$B,2,)</f>
        <v>9989.09</v>
      </c>
      <c r="AA165" s="6">
        <f>VLOOKUP(A165,[6]台湾加权指数历史数据!$A:$B,2,)</f>
        <v>7906.65</v>
      </c>
      <c r="AB165" s="3">
        <v>23215.16</v>
      </c>
      <c r="AC165" s="3">
        <v>3270.3</v>
      </c>
      <c r="AD165">
        <v>5903.5</v>
      </c>
      <c r="AE165" s="5">
        <f>VLOOKUP(A165,[7]越南VN30指数历史数据!$A:$B,2,)</f>
        <v>574.17999999999995</v>
      </c>
      <c r="AF165">
        <v>36477.46</v>
      </c>
      <c r="AG165" s="9">
        <v>8251.85</v>
      </c>
      <c r="AH165">
        <v>8936.5</v>
      </c>
      <c r="AI165">
        <v>1595.95</v>
      </c>
      <c r="AJ165">
        <v>1488.34</v>
      </c>
    </row>
    <row r="166" spans="1:36" x14ac:dyDescent="0.3">
      <c r="A166" s="2">
        <v>41315</v>
      </c>
      <c r="B166" s="3">
        <v>3295.42</v>
      </c>
      <c r="C166" s="4">
        <v>57903</v>
      </c>
      <c r="D166" s="3">
        <v>5033.8999999999996</v>
      </c>
      <c r="E166" s="3">
        <v>13981.76</v>
      </c>
      <c r="F166" s="3">
        <v>12686.63</v>
      </c>
      <c r="G166" s="1">
        <v>923.15</v>
      </c>
      <c r="H166" s="3">
        <v>1519.79</v>
      </c>
      <c r="I166" s="3">
        <v>3192.03</v>
      </c>
      <c r="J166" s="3">
        <v>44152.959999999999</v>
      </c>
      <c r="K166" s="1">
        <v>22335.32</v>
      </c>
      <c r="L166" s="3">
        <v>2467.63</v>
      </c>
      <c r="M166" s="3">
        <v>7593.51</v>
      </c>
      <c r="N166" s="6">
        <f>VLOOKUP(A166,'[1]俄罗斯交易系统市值加权指数历史数据 (1)'!$A:$B,2,)</f>
        <v>1577.26</v>
      </c>
      <c r="O166" s="3">
        <v>3660.37</v>
      </c>
      <c r="P166" s="1">
        <v>343.45</v>
      </c>
      <c r="Q166" s="3">
        <v>7500.57</v>
      </c>
      <c r="R166" s="1">
        <v>780.81</v>
      </c>
      <c r="S166" s="3">
        <v>8150.2</v>
      </c>
      <c r="T166" s="3">
        <v>6328.26</v>
      </c>
      <c r="U166" s="3">
        <v>2615.2600000000002</v>
      </c>
      <c r="V166" s="6">
        <f>VLOOKUP(A166,[2]韩国KOSPI指数历史数据!$A:$B,2,)</f>
        <v>1981.18</v>
      </c>
      <c r="W166" s="6">
        <f>VLOOKUP(A166,[3]日经225指数历史数据!$A:$B,2,)</f>
        <v>11173.83</v>
      </c>
      <c r="X166" s="3">
        <v>1220.71</v>
      </c>
      <c r="Y166" s="6" t="e">
        <f>VLOOKUP(A166,[4]上证指数历史数据!$A:$B,2,)</f>
        <v>#N/A</v>
      </c>
      <c r="Z166" s="6" t="e">
        <f>VLOOKUP(A166,[5]深证成份指数历史数据!$A:$B,2,)</f>
        <v>#N/A</v>
      </c>
      <c r="AA166" s="6" t="e">
        <f>VLOOKUP(A166,[6]台湾加权指数历史数据!$A:$B,2,)</f>
        <v>#N/A</v>
      </c>
      <c r="AB166" s="3">
        <v>23444.560000000001</v>
      </c>
      <c r="AC166" s="3">
        <v>3283.07</v>
      </c>
      <c r="AD166">
        <v>5887.4</v>
      </c>
      <c r="AE166" s="5" t="e">
        <f>VLOOKUP(A166,[7]越南VN30指数历史数据!$A:$B,2,)</f>
        <v>#N/A</v>
      </c>
      <c r="AF166">
        <v>36242.86</v>
      </c>
      <c r="AG166" s="9">
        <v>8247.91</v>
      </c>
      <c r="AH166">
        <v>8847.0400000000009</v>
      </c>
      <c r="AI166">
        <v>1593.66</v>
      </c>
      <c r="AJ166">
        <v>1499.82</v>
      </c>
    </row>
    <row r="167" spans="1:36" x14ac:dyDescent="0.3">
      <c r="A167" s="2">
        <v>41322</v>
      </c>
      <c r="B167" s="3">
        <v>3140.38</v>
      </c>
      <c r="C167" s="4">
        <v>56697</v>
      </c>
      <c r="D167" s="3">
        <v>5018.1000000000004</v>
      </c>
      <c r="E167" s="3">
        <v>14000.57</v>
      </c>
      <c r="F167" s="3">
        <v>12701.63</v>
      </c>
      <c r="G167" s="1">
        <v>916.16</v>
      </c>
      <c r="H167" s="3">
        <v>1515.6</v>
      </c>
      <c r="I167" s="3">
        <v>3161.82</v>
      </c>
      <c r="J167" s="3">
        <v>43875.73</v>
      </c>
      <c r="K167" s="1">
        <v>22150.75</v>
      </c>
      <c r="L167" s="3">
        <v>2437.2399999999998</v>
      </c>
      <c r="M167" s="3">
        <v>7661.91</v>
      </c>
      <c r="N167" s="6">
        <f>VLOOKUP(A167,'[1]俄罗斯交易系统市值加权指数历史数据 (1)'!$A:$B,2,)</f>
        <v>1551.04</v>
      </c>
      <c r="O167" s="3">
        <v>3706.28</v>
      </c>
      <c r="P167" s="1">
        <v>339.87</v>
      </c>
      <c r="Q167" s="3">
        <v>7554.38</v>
      </c>
      <c r="R167" s="1">
        <v>758.99</v>
      </c>
      <c r="S167" s="3">
        <v>8179</v>
      </c>
      <c r="T167" s="3">
        <v>6335.7</v>
      </c>
      <c r="U167" s="3">
        <v>2630.05</v>
      </c>
      <c r="V167" s="6">
        <f>VLOOKUP(A167,[2]韩国KOSPI指数历史数据!$A:$B,2,)</f>
        <v>2018.89</v>
      </c>
      <c r="W167" s="6">
        <f>VLOOKUP(A167,[3]日经225指数历史数据!$A:$B,2,)</f>
        <v>11385.94</v>
      </c>
      <c r="X167" s="3">
        <v>1218</v>
      </c>
      <c r="Y167" s="6">
        <f>VLOOKUP(A167,[4]上证指数历史数据!$A:$B,2,)</f>
        <v>2314.16</v>
      </c>
      <c r="Z167" s="6">
        <f>VLOOKUP(A167,[5]深证成份指数历史数据!$A:$B,2,)</f>
        <v>9364.5400000000009</v>
      </c>
      <c r="AA167" s="6">
        <f>VLOOKUP(A167,[6]台湾加权指数历史数据!$A:$B,2,)</f>
        <v>7986.89</v>
      </c>
      <c r="AB167" s="3">
        <v>22782.44</v>
      </c>
      <c r="AC167" s="3">
        <v>3288.13</v>
      </c>
      <c r="AD167">
        <v>5850.3</v>
      </c>
      <c r="AE167" s="5">
        <f>VLOOKUP(A167,[7]越南VN30指数历史数据!$A:$B,2,)</f>
        <v>551.33000000000004</v>
      </c>
      <c r="AF167">
        <v>35249.89</v>
      </c>
      <c r="AG167" s="9">
        <v>8085.41</v>
      </c>
      <c r="AH167">
        <v>8833.1200000000008</v>
      </c>
      <c r="AI167">
        <v>1616.07</v>
      </c>
      <c r="AJ167">
        <v>1499.53</v>
      </c>
    </row>
    <row r="168" spans="1:36" x14ac:dyDescent="0.3">
      <c r="A168" s="2">
        <v>41329</v>
      </c>
      <c r="B168" s="3">
        <v>3099.71</v>
      </c>
      <c r="C168" s="4">
        <v>56884</v>
      </c>
      <c r="D168" s="3">
        <v>5086.1000000000004</v>
      </c>
      <c r="E168" s="3">
        <v>14089.66</v>
      </c>
      <c r="F168" s="3">
        <v>12773.12</v>
      </c>
      <c r="G168" s="1">
        <v>914.73</v>
      </c>
      <c r="H168" s="3">
        <v>1518.2</v>
      </c>
      <c r="I168" s="3">
        <v>3169.74</v>
      </c>
      <c r="J168" s="3">
        <v>43995.72</v>
      </c>
      <c r="K168" s="1">
        <v>22284.57</v>
      </c>
      <c r="L168" s="3">
        <v>2452.86</v>
      </c>
      <c r="M168" s="3">
        <v>7708.16</v>
      </c>
      <c r="N168" s="6">
        <f>VLOOKUP(A168,'[1]俄罗斯交易系统市值加权指数历史数据 (1)'!$A:$B,2,)</f>
        <v>1509.8</v>
      </c>
      <c r="O168" s="3">
        <v>3699.91</v>
      </c>
      <c r="P168" s="1">
        <v>339.73</v>
      </c>
      <c r="Q168" s="3">
        <v>7601.99</v>
      </c>
      <c r="R168" s="1">
        <v>798.68</v>
      </c>
      <c r="S168" s="3">
        <v>8187.1</v>
      </c>
      <c r="T168" s="3">
        <v>6378.6</v>
      </c>
      <c r="U168" s="3">
        <v>2616.75</v>
      </c>
      <c r="V168" s="6">
        <f>VLOOKUP(A168,[2]韩国KOSPI指数历史数据!$A:$B,2,)</f>
        <v>2026.49</v>
      </c>
      <c r="W168" s="6">
        <f>VLOOKUP(A168,[3]日经225指数历史数据!$A:$B,2,)</f>
        <v>11606.38</v>
      </c>
      <c r="X168" s="3">
        <v>1221.47</v>
      </c>
      <c r="Y168" s="6">
        <f>VLOOKUP(A168,[4]上证指数历史数据!$A:$B,2,)</f>
        <v>2359.5100000000002</v>
      </c>
      <c r="Z168" s="6">
        <f>VLOOKUP(A168,[5]深证成份指数历史数据!$A:$B,2,)</f>
        <v>9650.14</v>
      </c>
      <c r="AA168" s="6">
        <f>VLOOKUP(A168,[6]台湾加权指数历史数据!$A:$B,2,)</f>
        <v>7964.63</v>
      </c>
      <c r="AB168" s="3">
        <v>22880.22</v>
      </c>
      <c r="AC168" s="3">
        <v>3269.5</v>
      </c>
      <c r="AD168">
        <v>5719.7</v>
      </c>
      <c r="AE168" s="5">
        <f>VLOOKUP(A168,[7]越南VN30指数历史数据!$A:$B,2,)</f>
        <v>547.70000000000005</v>
      </c>
      <c r="AF168">
        <v>35653.81</v>
      </c>
      <c r="AG168" s="9">
        <v>7870.82</v>
      </c>
      <c r="AH168">
        <v>8828.85</v>
      </c>
      <c r="AI168">
        <v>1585.56</v>
      </c>
      <c r="AJ168">
        <v>1505.76</v>
      </c>
    </row>
    <row r="169" spans="1:36" x14ac:dyDescent="0.3">
      <c r="A169" s="2">
        <v>41336</v>
      </c>
      <c r="B169" s="3">
        <v>3324.89</v>
      </c>
      <c r="C169" s="4">
        <v>58433</v>
      </c>
      <c r="D169" s="3">
        <v>5123.3999999999996</v>
      </c>
      <c r="E169" s="3">
        <v>14397.07</v>
      </c>
      <c r="F169" s="3">
        <v>12835.61</v>
      </c>
      <c r="G169" s="1">
        <v>942.5</v>
      </c>
      <c r="H169" s="3">
        <v>1551.18</v>
      </c>
      <c r="I169" s="3">
        <v>3244.37</v>
      </c>
      <c r="J169" s="3">
        <v>44322.51</v>
      </c>
      <c r="K169" s="1">
        <v>22122.69</v>
      </c>
      <c r="L169" s="3">
        <v>2490.6999999999998</v>
      </c>
      <c r="M169" s="3">
        <v>7986.47</v>
      </c>
      <c r="N169" s="6">
        <f>VLOOKUP(A169,'[1]俄罗斯交易系统市值加权指数历史数据 (1)'!$A:$B,2,)</f>
        <v>1532.09</v>
      </c>
      <c r="O169" s="3">
        <v>3840.15</v>
      </c>
      <c r="P169" s="1">
        <v>352.43</v>
      </c>
      <c r="Q169" s="3">
        <v>7744.84</v>
      </c>
      <c r="R169" s="1">
        <v>835.42</v>
      </c>
      <c r="S169" s="3">
        <v>8628.1</v>
      </c>
      <c r="T169" s="3">
        <v>6483.58</v>
      </c>
      <c r="U169" s="3">
        <v>2728.78</v>
      </c>
      <c r="V169" s="6">
        <f>VLOOKUP(A169,[2]韩国KOSPI指数历史数据!$A:$B,2,)</f>
        <v>2006.01</v>
      </c>
      <c r="W169" s="6">
        <f>VLOOKUP(A169,[3]日经225指数历史数据!$A:$B,2,)</f>
        <v>12283.62</v>
      </c>
      <c r="X169" s="3">
        <v>1226.8900000000001</v>
      </c>
      <c r="Y169" s="6">
        <f>VLOOKUP(A169,[4]上证指数历史数据!$A:$B,2,)</f>
        <v>2318.61</v>
      </c>
      <c r="Z169" s="6">
        <f>VLOOKUP(A169,[5]深证成份指数历史数据!$A:$B,2,)</f>
        <v>9285.83</v>
      </c>
      <c r="AA169" s="6">
        <f>VLOOKUP(A169,[6]台湾加权指数历史数据!$A:$B,2,)</f>
        <v>8015.14</v>
      </c>
      <c r="AB169" s="3">
        <v>23091.95</v>
      </c>
      <c r="AC169" s="3">
        <v>3289.53</v>
      </c>
      <c r="AD169">
        <v>5945.7</v>
      </c>
      <c r="AE169" s="5">
        <f>VLOOKUP(A169,[7]越南VN30指数历史数据!$A:$B,2,)</f>
        <v>540.01</v>
      </c>
      <c r="AF169">
        <v>36168.65</v>
      </c>
      <c r="AG169" s="9">
        <v>7705.06</v>
      </c>
      <c r="AH169">
        <v>8759.15</v>
      </c>
      <c r="AI169">
        <v>1572.76</v>
      </c>
      <c r="AJ169">
        <v>1512.14</v>
      </c>
    </row>
    <row r="170" spans="1:36" x14ac:dyDescent="0.3">
      <c r="A170" s="2">
        <v>41343</v>
      </c>
      <c r="B170" s="3">
        <v>3488.76</v>
      </c>
      <c r="C170" s="4">
        <v>56869</v>
      </c>
      <c r="D170" s="3">
        <v>5120.2</v>
      </c>
      <c r="E170" s="3">
        <v>14514.11</v>
      </c>
      <c r="F170" s="3">
        <v>12830.03</v>
      </c>
      <c r="G170" s="1">
        <v>952.48</v>
      </c>
      <c r="H170" s="3">
        <v>1560.7</v>
      </c>
      <c r="I170" s="3">
        <v>3249.07</v>
      </c>
      <c r="J170" s="3">
        <v>42605.05</v>
      </c>
      <c r="K170" s="1">
        <v>21635.439999999999</v>
      </c>
      <c r="L170" s="3">
        <v>2486.3000000000002</v>
      </c>
      <c r="M170" s="3">
        <v>8042.85</v>
      </c>
      <c r="N170" s="6">
        <f>VLOOKUP(A170,'[1]俄罗斯交易系统市值加权指数历史数据 (1)'!$A:$B,2,)</f>
        <v>1537.66</v>
      </c>
      <c r="O170" s="3">
        <v>3844.03</v>
      </c>
      <c r="P170" s="1">
        <v>353.58</v>
      </c>
      <c r="Q170" s="3">
        <v>7864.39</v>
      </c>
      <c r="R170" s="1">
        <v>831.15</v>
      </c>
      <c r="S170" s="3">
        <v>8619.1</v>
      </c>
      <c r="T170" s="3">
        <v>6489.65</v>
      </c>
      <c r="U170" s="3">
        <v>2725.72</v>
      </c>
      <c r="V170" s="6">
        <f>VLOOKUP(A170,[2]韩国KOSPI指数历史数据!$A:$B,2,)</f>
        <v>1986.5</v>
      </c>
      <c r="W170" s="6">
        <f>VLOOKUP(A170,[3]日经225指数历史数据!$A:$B,2,)</f>
        <v>12560.95</v>
      </c>
      <c r="X170" s="3">
        <v>1240.51</v>
      </c>
      <c r="Y170" s="6">
        <f>VLOOKUP(A170,[4]上证指数历史数据!$A:$B,2,)</f>
        <v>2278.4</v>
      </c>
      <c r="Z170" s="6">
        <f>VLOOKUP(A170,[5]深证成份指数历史数据!$A:$B,2,)</f>
        <v>9099.2900000000009</v>
      </c>
      <c r="AA170" s="6">
        <f>VLOOKUP(A170,[6]台湾加权指数历史数据!$A:$B,2,)</f>
        <v>7927.49</v>
      </c>
      <c r="AB170" s="3">
        <v>22533.11</v>
      </c>
      <c r="AC170" s="3">
        <v>3286.05</v>
      </c>
      <c r="AD170">
        <v>5872.6</v>
      </c>
      <c r="AE170" s="5">
        <f>VLOOKUP(A170,[7]越南VN30指数历史数据!$A:$B,2,)</f>
        <v>553.33000000000004</v>
      </c>
      <c r="AF170">
        <v>36226.720000000001</v>
      </c>
      <c r="AG170" s="9">
        <v>7537.74</v>
      </c>
      <c r="AH170">
        <v>8834.7099999999991</v>
      </c>
      <c r="AI170">
        <v>1575.84</v>
      </c>
      <c r="AJ170">
        <v>1516.52</v>
      </c>
    </row>
    <row r="171" spans="1:36" x14ac:dyDescent="0.3">
      <c r="A171" s="2">
        <v>41350</v>
      </c>
      <c r="B171" s="3">
        <v>3430.17</v>
      </c>
      <c r="C171" s="4">
        <v>55243</v>
      </c>
      <c r="D171" s="3">
        <v>4967.3</v>
      </c>
      <c r="E171" s="3">
        <v>14512.03</v>
      </c>
      <c r="F171" s="3">
        <v>12757.35</v>
      </c>
      <c r="G171" s="1">
        <v>946.27</v>
      </c>
      <c r="H171" s="3">
        <v>1556.89</v>
      </c>
      <c r="I171" s="3">
        <v>3245</v>
      </c>
      <c r="J171" s="3">
        <v>42686.68</v>
      </c>
      <c r="K171" s="1">
        <v>21777.07</v>
      </c>
      <c r="L171" s="3">
        <v>2370.02</v>
      </c>
      <c r="M171" s="3">
        <v>7911.35</v>
      </c>
      <c r="N171" s="6">
        <f>VLOOKUP(A171,'[1]俄罗斯交易系统市值加权指数历史数据 (1)'!$A:$B,2,)</f>
        <v>1470.91</v>
      </c>
      <c r="O171" s="3">
        <v>3770.29</v>
      </c>
      <c r="P171" s="1">
        <v>350.74</v>
      </c>
      <c r="Q171" s="3">
        <v>7744.33</v>
      </c>
      <c r="R171" s="1">
        <v>824.52</v>
      </c>
      <c r="S171" s="3">
        <v>8329.5</v>
      </c>
      <c r="T171" s="3">
        <v>6392.76</v>
      </c>
      <c r="U171" s="3">
        <v>2681.67</v>
      </c>
      <c r="V171" s="6">
        <f>VLOOKUP(A171,[2]韩国KOSPI指数历史数据!$A:$B,2,)</f>
        <v>1948.71</v>
      </c>
      <c r="W171" s="6">
        <f>VLOOKUP(A171,[3]日经225指数历史数据!$A:$B,2,)</f>
        <v>12338.53</v>
      </c>
      <c r="X171" s="3">
        <v>1239.0899999999999</v>
      </c>
      <c r="Y171" s="6">
        <f>VLOOKUP(A171,[4]上证指数历史数据!$A:$B,2,)</f>
        <v>2328.2800000000002</v>
      </c>
      <c r="Z171" s="6">
        <f>VLOOKUP(A171,[5]深证成份指数历史数据!$A:$B,2,)</f>
        <v>9343.41</v>
      </c>
      <c r="AA171" s="6">
        <f>VLOOKUP(A171,[6]台湾加权指数历史数据!$A:$B,2,)</f>
        <v>7796.22</v>
      </c>
      <c r="AB171" s="3">
        <v>22115.3</v>
      </c>
      <c r="AC171" s="3">
        <v>3258.57</v>
      </c>
      <c r="AD171">
        <v>5651.35</v>
      </c>
      <c r="AE171" s="5">
        <f>VLOOKUP(A171,[7]越南VN30指数历史数据!$A:$B,2,)</f>
        <v>554.84</v>
      </c>
      <c r="AF171">
        <v>35493.620000000003</v>
      </c>
      <c r="AG171" s="9">
        <v>7527.81</v>
      </c>
      <c r="AH171">
        <v>8913.7900000000009</v>
      </c>
      <c r="AI171">
        <v>1597.36</v>
      </c>
      <c r="AJ171">
        <v>1522.15</v>
      </c>
    </row>
    <row r="172" spans="1:36" x14ac:dyDescent="0.3">
      <c r="A172" s="2">
        <v>41357</v>
      </c>
      <c r="B172" s="3">
        <v>3380.78</v>
      </c>
      <c r="C172" s="4">
        <v>56352</v>
      </c>
      <c r="D172" s="3">
        <v>4966.5</v>
      </c>
      <c r="E172" s="3">
        <v>14578.54</v>
      </c>
      <c r="F172" s="3">
        <v>12749.9</v>
      </c>
      <c r="G172" s="1">
        <v>951.54</v>
      </c>
      <c r="H172" s="3">
        <v>1569.19</v>
      </c>
      <c r="I172" s="3">
        <v>3267.52</v>
      </c>
      <c r="J172" s="3">
        <v>44077.09</v>
      </c>
      <c r="K172" s="1">
        <v>21698.32</v>
      </c>
      <c r="L172" s="3">
        <v>2370.0700000000002</v>
      </c>
      <c r="M172" s="3">
        <v>7795.31</v>
      </c>
      <c r="N172" s="6">
        <f>VLOOKUP(A172,'[1]俄罗斯交易系统市值加权指数历史数据 (1)'!$A:$B,2,)</f>
        <v>1460.04</v>
      </c>
      <c r="O172" s="3">
        <v>3731.42</v>
      </c>
      <c r="P172" s="1">
        <v>348.1</v>
      </c>
      <c r="Q172" s="3">
        <v>7813.67</v>
      </c>
      <c r="R172" s="1">
        <v>858.99</v>
      </c>
      <c r="S172" s="3">
        <v>7920</v>
      </c>
      <c r="T172" s="3">
        <v>6411.74</v>
      </c>
      <c r="U172" s="3">
        <v>2624.02</v>
      </c>
      <c r="V172" s="6">
        <f>VLOOKUP(A172,[2]韩国KOSPI指数历史数据!$A:$B,2,)</f>
        <v>2004.89</v>
      </c>
      <c r="W172" s="6">
        <f>VLOOKUP(A172,[3]日经225指数历史数据!$A:$B,2,)</f>
        <v>12397.91</v>
      </c>
      <c r="X172" s="3">
        <v>1237.67</v>
      </c>
      <c r="Y172" s="6">
        <f>VLOOKUP(A172,[4]上证指数历史数据!$A:$B,2,)</f>
        <v>2236.62</v>
      </c>
      <c r="Z172" s="6">
        <f>VLOOKUP(A172,[5]深证成份指数历史数据!$A:$B,2,)</f>
        <v>8889.77</v>
      </c>
      <c r="AA172" s="6">
        <f>VLOOKUP(A172,[6]台湾加权指数历史数据!$A:$B,2,)</f>
        <v>7918.61</v>
      </c>
      <c r="AB172" s="3">
        <v>22299.63</v>
      </c>
      <c r="AC172" s="3">
        <v>3308.1</v>
      </c>
      <c r="AD172">
        <v>5682.55</v>
      </c>
      <c r="AE172" s="5">
        <f>VLOOKUP(A172,[7]越南VN30指数历史数据!$A:$B,2,)</f>
        <v>552.28</v>
      </c>
      <c r="AF172">
        <v>35259.1</v>
      </c>
      <c r="AG172" s="9">
        <v>7523.83</v>
      </c>
      <c r="AH172">
        <v>9040.9599999999991</v>
      </c>
      <c r="AI172">
        <v>1602.87</v>
      </c>
      <c r="AJ172">
        <v>1521.48</v>
      </c>
    </row>
    <row r="173" spans="1:36" x14ac:dyDescent="0.3">
      <c r="A173" s="2">
        <v>41364</v>
      </c>
      <c r="B173" s="3">
        <v>3312.8</v>
      </c>
      <c r="C173" s="4">
        <v>55051</v>
      </c>
      <c r="D173" s="3">
        <v>4891.3999999999996</v>
      </c>
      <c r="E173" s="3">
        <v>14565.25</v>
      </c>
      <c r="F173" s="3">
        <v>12331.85</v>
      </c>
      <c r="G173" s="1">
        <v>923.28</v>
      </c>
      <c r="H173" s="3">
        <v>1553.28</v>
      </c>
      <c r="I173" s="3">
        <v>3203.86</v>
      </c>
      <c r="J173" s="3">
        <v>43244.25</v>
      </c>
      <c r="K173" s="1">
        <v>21041.48</v>
      </c>
      <c r="L173" s="3">
        <v>2346.37</v>
      </c>
      <c r="M173" s="3">
        <v>7658.75</v>
      </c>
      <c r="N173" s="6">
        <f>VLOOKUP(A173,'[1]俄罗斯交易系统市值加权指数历史数据 (1)'!$A:$B,2,)</f>
        <v>1411.09</v>
      </c>
      <c r="O173" s="3">
        <v>3663.48</v>
      </c>
      <c r="P173" s="1">
        <v>340.71</v>
      </c>
      <c r="Q173" s="3">
        <v>7641.11</v>
      </c>
      <c r="R173" s="1">
        <v>820.71</v>
      </c>
      <c r="S173" s="3">
        <v>7798.4</v>
      </c>
      <c r="T173" s="3">
        <v>6249.78</v>
      </c>
      <c r="U173" s="3">
        <v>2585.2800000000002</v>
      </c>
      <c r="V173" s="6">
        <f>VLOOKUP(A173,[2]韩国KOSPI指数历史数据!$A:$B,2,)</f>
        <v>1927.23</v>
      </c>
      <c r="W173" s="6">
        <f>VLOOKUP(A173,[3]日经225指数历史数据!$A:$B,2,)</f>
        <v>12833.64</v>
      </c>
      <c r="X173" s="3">
        <v>1229.74</v>
      </c>
      <c r="Y173" s="6">
        <f>VLOOKUP(A173,[4]上证指数历史数据!$A:$B,2,)</f>
        <v>2225.3000000000002</v>
      </c>
      <c r="Z173" s="6">
        <f>VLOOKUP(A173,[5]深证成份指数历史数据!$A:$B,2,)</f>
        <v>8964.4699999999993</v>
      </c>
      <c r="AA173" s="6">
        <f>VLOOKUP(A173,[6]台湾加权指数历史数据!$A:$B,2,)</f>
        <v>7942.35</v>
      </c>
      <c r="AB173" s="3">
        <v>21726.9</v>
      </c>
      <c r="AC173" s="3">
        <v>3299.78</v>
      </c>
      <c r="AD173">
        <v>5553.25</v>
      </c>
      <c r="AE173" s="5">
        <f>VLOOKUP(A173,[7]越南VN30指数历史数据!$A:$B,2,)</f>
        <v>570.20000000000005</v>
      </c>
      <c r="AF173">
        <v>33920.57</v>
      </c>
      <c r="AG173" s="9">
        <v>7287.37</v>
      </c>
      <c r="AH173">
        <v>9066.7099999999991</v>
      </c>
      <c r="AI173">
        <v>1638.65</v>
      </c>
      <c r="AJ173">
        <v>1527.58</v>
      </c>
    </row>
    <row r="174" spans="1:36" x14ac:dyDescent="0.3">
      <c r="A174" s="2">
        <v>41371</v>
      </c>
      <c r="B174" s="3">
        <v>3463.49</v>
      </c>
      <c r="C174" s="4">
        <v>54963</v>
      </c>
      <c r="D174" s="3">
        <v>5013.5</v>
      </c>
      <c r="E174" s="3">
        <v>14865.06</v>
      </c>
      <c r="F174" s="3">
        <v>12337.59</v>
      </c>
      <c r="G174" s="1">
        <v>942.85</v>
      </c>
      <c r="H174" s="3">
        <v>1588.85</v>
      </c>
      <c r="I174" s="3">
        <v>3294.95</v>
      </c>
      <c r="J174" s="3">
        <v>44004.27</v>
      </c>
      <c r="K174" s="1">
        <v>21271.46</v>
      </c>
      <c r="L174" s="3">
        <v>2397.08</v>
      </c>
      <c r="M174" s="3">
        <v>7744.77</v>
      </c>
      <c r="N174" s="6">
        <f>VLOOKUP(A174,'[1]俄罗斯交易系统市值加权指数历史数据 (1)'!$A:$B,2,)</f>
        <v>1405.47</v>
      </c>
      <c r="O174" s="3">
        <v>3729.3</v>
      </c>
      <c r="P174" s="1">
        <v>348.65</v>
      </c>
      <c r="Q174" s="3">
        <v>7760.6</v>
      </c>
      <c r="R174" s="1">
        <v>845.81</v>
      </c>
      <c r="S174" s="3">
        <v>8040.4</v>
      </c>
      <c r="T174" s="3">
        <v>6384.39</v>
      </c>
      <c r="U174" s="3">
        <v>2633.47</v>
      </c>
      <c r="V174" s="6">
        <f>VLOOKUP(A174,[2]韩国KOSPI指数历史数据!$A:$B,2,)</f>
        <v>1924.23</v>
      </c>
      <c r="W174" s="6">
        <f>VLOOKUP(A174,[3]日经225指数历史数据!$A:$B,2,)</f>
        <v>13485.14</v>
      </c>
      <c r="X174" s="3">
        <v>1230.1199999999999</v>
      </c>
      <c r="Y174" s="6">
        <f>VLOOKUP(A174,[4]上证指数历史数据!$A:$B,2,)</f>
        <v>2206.7800000000002</v>
      </c>
      <c r="Z174" s="6">
        <f>VLOOKUP(A174,[5]深证成份指数历史数据!$A:$B,2,)</f>
        <v>8835.15</v>
      </c>
      <c r="AA174" s="6">
        <f>VLOOKUP(A174,[6]台湾加权指数历史数据!$A:$B,2,)</f>
        <v>7821.63</v>
      </c>
      <c r="AB174" s="3">
        <v>22089.05</v>
      </c>
      <c r="AC174" s="3">
        <v>3294.19</v>
      </c>
      <c r="AD174">
        <v>5528.55</v>
      </c>
      <c r="AE174" s="5">
        <f>VLOOKUP(A174,[7]越南VN30指数历史数据!$A:$B,2,)</f>
        <v>557.77</v>
      </c>
      <c r="AF174">
        <v>33990.33</v>
      </c>
      <c r="AG174" s="9">
        <v>7669.48</v>
      </c>
      <c r="AH174">
        <v>9262.3799999999992</v>
      </c>
      <c r="AI174">
        <v>1600.12</v>
      </c>
      <c r="AJ174">
        <v>1524.77</v>
      </c>
    </row>
    <row r="175" spans="1:36" x14ac:dyDescent="0.3">
      <c r="A175" s="2">
        <v>41378</v>
      </c>
      <c r="B175" s="3">
        <v>3444.49</v>
      </c>
      <c r="C175" s="4">
        <v>53929</v>
      </c>
      <c r="D175" s="3">
        <v>4931.8999999999996</v>
      </c>
      <c r="E175" s="3">
        <v>14547.51</v>
      </c>
      <c r="F175" s="3">
        <v>12065.55</v>
      </c>
      <c r="G175" s="1">
        <v>912.5</v>
      </c>
      <c r="H175" s="3">
        <v>1555.25</v>
      </c>
      <c r="I175" s="3">
        <v>3206.06</v>
      </c>
      <c r="J175" s="3">
        <v>42808.17</v>
      </c>
      <c r="K175" s="1">
        <v>21114.52</v>
      </c>
      <c r="L175" s="3">
        <v>2277.71</v>
      </c>
      <c r="M175" s="3">
        <v>7459.96</v>
      </c>
      <c r="N175" s="6">
        <f>VLOOKUP(A175,'[1]俄罗斯交易系统市值加权指数历史数据 (1)'!$A:$B,2,)</f>
        <v>1336.46</v>
      </c>
      <c r="O175" s="3">
        <v>3651.96</v>
      </c>
      <c r="P175" s="1">
        <v>341.68</v>
      </c>
      <c r="Q175" s="3">
        <v>7618.76</v>
      </c>
      <c r="R175" s="1">
        <v>832.85</v>
      </c>
      <c r="S175" s="3">
        <v>7915.5</v>
      </c>
      <c r="T175" s="3">
        <v>6286.59</v>
      </c>
      <c r="U175" s="3">
        <v>2575.16</v>
      </c>
      <c r="V175" s="6">
        <f>VLOOKUP(A175,[2]韩国KOSPI指数历史数据!$A:$B,2,)</f>
        <v>1906.75</v>
      </c>
      <c r="W175" s="6">
        <f>VLOOKUP(A175,[3]日经225指数历史数据!$A:$B,2,)</f>
        <v>13316.48</v>
      </c>
      <c r="X175" s="3">
        <v>1203.74</v>
      </c>
      <c r="Y175" s="6">
        <f>VLOOKUP(A175,[4]上证指数历史数据!$A:$B,2,)</f>
        <v>2244.64</v>
      </c>
      <c r="Z175" s="6">
        <f>VLOOKUP(A175,[5]深证成份指数历史数据!$A:$B,2,)</f>
        <v>9111.19</v>
      </c>
      <c r="AA175" s="6">
        <f>VLOOKUP(A175,[6]台湾加权指数历史数据!$A:$B,2,)</f>
        <v>7930.8</v>
      </c>
      <c r="AB175" s="3">
        <v>22013.57</v>
      </c>
      <c r="AC175" s="3">
        <v>3294.05</v>
      </c>
      <c r="AD175">
        <v>5783.1</v>
      </c>
      <c r="AE175" s="5">
        <f>VLOOKUP(A175,[7]越南VN30指数历史数据!$A:$B,2,)</f>
        <v>532.44000000000005</v>
      </c>
      <c r="AF175">
        <v>33842.230000000003</v>
      </c>
      <c r="AG175" s="9">
        <v>7719.6</v>
      </c>
      <c r="AH175">
        <v>9260.51</v>
      </c>
      <c r="AI175">
        <v>1574.85</v>
      </c>
      <c r="AJ175">
        <v>1532.98</v>
      </c>
    </row>
    <row r="176" spans="1:36" x14ac:dyDescent="0.3">
      <c r="A176" s="2">
        <v>41385</v>
      </c>
      <c r="B176" s="3">
        <v>3734.24</v>
      </c>
      <c r="C176" s="4">
        <v>54252</v>
      </c>
      <c r="D176" s="3">
        <v>5097.5</v>
      </c>
      <c r="E176" s="3">
        <v>14712.55</v>
      </c>
      <c r="F176" s="3">
        <v>12220.2</v>
      </c>
      <c r="G176" s="1">
        <v>935.25</v>
      </c>
      <c r="H176" s="3">
        <v>1582.24</v>
      </c>
      <c r="I176" s="3">
        <v>3279.26</v>
      </c>
      <c r="J176" s="3">
        <v>41897</v>
      </c>
      <c r="K176" s="1">
        <v>21042.43</v>
      </c>
      <c r="L176" s="3">
        <v>2294.06</v>
      </c>
      <c r="M176" s="3">
        <v>7814.76</v>
      </c>
      <c r="N176" s="6">
        <f>VLOOKUP(A176,'[1]俄罗斯交易系统市值加权指数历史数据 (1)'!$A:$B,2,)</f>
        <v>1382.22</v>
      </c>
      <c r="O176" s="3">
        <v>3810.05</v>
      </c>
      <c r="P176" s="1">
        <v>351.5</v>
      </c>
      <c r="Q176" s="3">
        <v>7856.32</v>
      </c>
      <c r="R176" s="1">
        <v>851.12</v>
      </c>
      <c r="S176" s="3">
        <v>8297</v>
      </c>
      <c r="T176" s="3">
        <v>6426.42</v>
      </c>
      <c r="U176" s="3">
        <v>2683.43</v>
      </c>
      <c r="V176" s="6">
        <f>VLOOKUP(A176,[2]韩国KOSPI指数历史数据!$A:$B,2,)</f>
        <v>1944.56</v>
      </c>
      <c r="W176" s="6">
        <f>VLOOKUP(A176,[3]日经225指数历史数据!$A:$B,2,)</f>
        <v>13884.13</v>
      </c>
      <c r="X176" s="3">
        <v>1205.0899999999999</v>
      </c>
      <c r="Y176" s="6">
        <f>VLOOKUP(A176,[4]上证指数历史数据!$A:$B,2,)</f>
        <v>2177.91</v>
      </c>
      <c r="Z176" s="6">
        <f>VLOOKUP(A176,[5]深证成份指数历史数据!$A:$B,2,)</f>
        <v>8691.39</v>
      </c>
      <c r="AA176" s="6">
        <f>VLOOKUP(A176,[6]台湾加权指数历史数据!$A:$B,2,)</f>
        <v>8022.06</v>
      </c>
      <c r="AB176" s="3">
        <v>22547.71</v>
      </c>
      <c r="AC176" s="3">
        <v>3348.87</v>
      </c>
      <c r="AD176">
        <v>5871.45</v>
      </c>
      <c r="AE176" s="5">
        <f>VLOOKUP(A176,[7]越南VN30指数历史数据!$A:$B,2,)</f>
        <v>537.37</v>
      </c>
      <c r="AF176">
        <v>34427.08</v>
      </c>
      <c r="AG176" s="9">
        <v>7634.14</v>
      </c>
      <c r="AH176">
        <v>9238.7800000000007</v>
      </c>
      <c r="AI176">
        <v>1583.56</v>
      </c>
      <c r="AJ176">
        <v>1533.88</v>
      </c>
    </row>
    <row r="177" spans="1:36" x14ac:dyDescent="0.3">
      <c r="A177" s="2">
        <v>41392</v>
      </c>
      <c r="B177" s="3">
        <v>3888.1</v>
      </c>
      <c r="C177" s="4">
        <v>55488</v>
      </c>
      <c r="D177" s="3">
        <v>5129.5</v>
      </c>
      <c r="E177" s="3">
        <v>14973.96</v>
      </c>
      <c r="F177" s="3">
        <v>12438.03</v>
      </c>
      <c r="G177" s="1">
        <v>954.42</v>
      </c>
      <c r="H177" s="3">
        <v>1614.42</v>
      </c>
      <c r="I177" s="3">
        <v>3378.63</v>
      </c>
      <c r="J177" s="3">
        <v>42602.07</v>
      </c>
      <c r="K177" s="1">
        <v>21293.3</v>
      </c>
      <c r="L177" s="3">
        <v>2305.9</v>
      </c>
      <c r="M177" s="3">
        <v>8122.29</v>
      </c>
      <c r="N177" s="6">
        <f>VLOOKUP(A177,'[1]俄罗斯交易系统市值加权指数历史数据 (1)'!$A:$B,2,)</f>
        <v>1429.86</v>
      </c>
      <c r="O177" s="3">
        <v>3912.95</v>
      </c>
      <c r="P177" s="1">
        <v>357.61</v>
      </c>
      <c r="Q177" s="3">
        <v>7937.61</v>
      </c>
      <c r="R177" s="1">
        <v>890.94</v>
      </c>
      <c r="S177" s="3">
        <v>8544.7999999999993</v>
      </c>
      <c r="T177" s="3">
        <v>6521.46</v>
      </c>
      <c r="U177" s="3">
        <v>2763.68</v>
      </c>
      <c r="V177" s="6">
        <f>VLOOKUP(A177,[2]韩国KOSPI指数历史数据!$A:$B,2,)</f>
        <v>1965.71</v>
      </c>
      <c r="W177" s="6">
        <f>VLOOKUP(A177,[3]日经225指数历史数据!$A:$B,2,)</f>
        <v>13694.04</v>
      </c>
      <c r="X177" s="3">
        <v>1204.53</v>
      </c>
      <c r="Y177" s="6">
        <f>VLOOKUP(A177,[4]上证指数历史数据!$A:$B,2,)</f>
        <v>2205.5</v>
      </c>
      <c r="Z177" s="6">
        <f>VLOOKUP(A177,[5]深证成份指数历史数据!$A:$B,2,)</f>
        <v>8847.67</v>
      </c>
      <c r="AA177" s="6">
        <f>VLOOKUP(A177,[6]台湾加权指数历史数据!$A:$B,2,)</f>
        <v>8135.03</v>
      </c>
      <c r="AB177" s="3">
        <v>22689.96</v>
      </c>
      <c r="AC177" s="3">
        <v>3369.9</v>
      </c>
      <c r="AD177">
        <v>5944</v>
      </c>
      <c r="AE177" s="5">
        <f>VLOOKUP(A177,[7]越南VN30指数历史数据!$A:$B,2,)</f>
        <v>539.33000000000004</v>
      </c>
      <c r="AF177">
        <v>34963.97</v>
      </c>
      <c r="AG177" s="9">
        <v>7694.16</v>
      </c>
      <c r="AH177">
        <v>9200.41</v>
      </c>
      <c r="AI177">
        <v>1668.84</v>
      </c>
      <c r="AJ177">
        <v>1535.66</v>
      </c>
    </row>
    <row r="178" spans="1:36" x14ac:dyDescent="0.3">
      <c r="A178" s="2">
        <v>41399</v>
      </c>
      <c r="B178" s="3">
        <v>3712.51</v>
      </c>
      <c r="C178" s="4">
        <v>55108</v>
      </c>
      <c r="D178" s="3">
        <v>5206.1000000000004</v>
      </c>
      <c r="E178" s="3">
        <v>15118.49</v>
      </c>
      <c r="F178" s="3">
        <v>12589.09</v>
      </c>
      <c r="G178" s="1">
        <v>975.16</v>
      </c>
      <c r="H178" s="3">
        <v>1633.7</v>
      </c>
      <c r="I178" s="3">
        <v>3436.58</v>
      </c>
      <c r="J178" s="3">
        <v>41741.54</v>
      </c>
      <c r="K178" s="1">
        <v>21185.52</v>
      </c>
      <c r="L178" s="3">
        <v>2338.16</v>
      </c>
      <c r="M178" s="3">
        <v>8278.59</v>
      </c>
      <c r="N178" s="6">
        <f>VLOOKUP(A178,'[1]俄罗斯交易系统市值加权指数历史数据 (1)'!$A:$B,2,)</f>
        <v>1429.78</v>
      </c>
      <c r="O178" s="3">
        <v>3953.83</v>
      </c>
      <c r="P178" s="1">
        <v>361.17</v>
      </c>
      <c r="Q178" s="3">
        <v>8177.85</v>
      </c>
      <c r="R178" s="1">
        <v>895.69</v>
      </c>
      <c r="S178" s="3">
        <v>8544.5</v>
      </c>
      <c r="T178" s="3">
        <v>6624.98</v>
      </c>
      <c r="U178" s="3">
        <v>2785.24</v>
      </c>
      <c r="V178" s="6">
        <f>VLOOKUP(A178,[2]韩国KOSPI指数历史数据!$A:$B,2,)</f>
        <v>1944.75</v>
      </c>
      <c r="W178" s="6">
        <f>VLOOKUP(A178,[3]日经225指数历史数据!$A:$B,2,)</f>
        <v>14607.54</v>
      </c>
      <c r="X178" s="3">
        <v>1203.19</v>
      </c>
      <c r="Y178" s="6">
        <f>VLOOKUP(A178,[4]上证指数历史数据!$A:$B,2,)</f>
        <v>2246.83</v>
      </c>
      <c r="Z178" s="6">
        <f>VLOOKUP(A178,[5]深证成份指数历史数据!$A:$B,2,)</f>
        <v>9071.16</v>
      </c>
      <c r="AA178" s="6">
        <f>VLOOKUP(A178,[6]台湾加权指数历史数据!$A:$B,2,)</f>
        <v>8280.26</v>
      </c>
      <c r="AB178" s="3">
        <v>23321.22</v>
      </c>
      <c r="AC178" s="3">
        <v>3443.77</v>
      </c>
      <c r="AD178">
        <v>6094.75</v>
      </c>
      <c r="AE178" s="5">
        <f>VLOOKUP(A178,[7]越南VN30指数历史数据!$A:$B,2,)</f>
        <v>551.80999999999995</v>
      </c>
      <c r="AF178">
        <v>35579.82</v>
      </c>
      <c r="AG178" s="9">
        <v>7886.57</v>
      </c>
      <c r="AH178">
        <v>9217.89</v>
      </c>
      <c r="AI178">
        <v>1717.84</v>
      </c>
      <c r="AJ178">
        <v>1536.58</v>
      </c>
    </row>
    <row r="179" spans="1:36" x14ac:dyDescent="0.3">
      <c r="A179" s="2">
        <v>41406</v>
      </c>
      <c r="B179" s="3">
        <v>3694.74</v>
      </c>
      <c r="C179" s="4">
        <v>55164</v>
      </c>
      <c r="D179" s="3">
        <v>5180.8</v>
      </c>
      <c r="E179" s="3">
        <v>15354.4</v>
      </c>
      <c r="F179" s="3">
        <v>12613.05</v>
      </c>
      <c r="G179" s="1">
        <v>996.28</v>
      </c>
      <c r="H179" s="3">
        <v>1667.47</v>
      </c>
      <c r="I179" s="3">
        <v>3498.97</v>
      </c>
      <c r="J179" s="3">
        <v>41806.730000000003</v>
      </c>
      <c r="K179" s="1">
        <v>20915.8</v>
      </c>
      <c r="L179" s="3">
        <v>2391.0700000000002</v>
      </c>
      <c r="M179" s="3">
        <v>8398</v>
      </c>
      <c r="N179" s="6">
        <f>VLOOKUP(A179,'[1]俄罗斯交易系统市值加权指数历史数据 (1)'!$A:$B,2,)</f>
        <v>1405.34</v>
      </c>
      <c r="O179" s="3">
        <v>4001.27</v>
      </c>
      <c r="P179" s="1">
        <v>368.08</v>
      </c>
      <c r="Q179" s="3">
        <v>8280.25</v>
      </c>
      <c r="R179" s="1">
        <v>919.25</v>
      </c>
      <c r="S179" s="3">
        <v>8582.4</v>
      </c>
      <c r="T179" s="3">
        <v>6723.06</v>
      </c>
      <c r="U179" s="3">
        <v>2817.99</v>
      </c>
      <c r="V179" s="6">
        <f>VLOOKUP(A179,[2]韩国KOSPI指数历史数据!$A:$B,2,)</f>
        <v>1986.81</v>
      </c>
      <c r="W179" s="6">
        <f>VLOOKUP(A179,[3]日经225指数历史数据!$A:$B,2,)</f>
        <v>15138.12</v>
      </c>
      <c r="X179" s="3">
        <v>1215.76</v>
      </c>
      <c r="Y179" s="6">
        <f>VLOOKUP(A179,[4]上证指数历史数据!$A:$B,2,)</f>
        <v>2282.87</v>
      </c>
      <c r="Z179" s="6">
        <f>VLOOKUP(A179,[5]深证成份指数历史数据!$A:$B,2,)</f>
        <v>9246.2800000000007</v>
      </c>
      <c r="AA179" s="6">
        <f>VLOOKUP(A179,[6]台湾加权指数历史数据!$A:$B,2,)</f>
        <v>8368.19</v>
      </c>
      <c r="AB179" s="3">
        <v>23082.68</v>
      </c>
      <c r="AC179" s="3">
        <v>3449.3</v>
      </c>
      <c r="AD179">
        <v>6187.3</v>
      </c>
      <c r="AE179" s="5">
        <f>VLOOKUP(A179,[7]越南VN30指数历史数据!$A:$B,2,)</f>
        <v>553.51</v>
      </c>
      <c r="AF179">
        <v>36771.800000000003</v>
      </c>
      <c r="AG179" s="9">
        <v>7908.13</v>
      </c>
      <c r="AH179">
        <v>9027.69</v>
      </c>
      <c r="AI179">
        <v>1760.83</v>
      </c>
      <c r="AJ179">
        <v>1539.95</v>
      </c>
    </row>
    <row r="180" spans="1:36" x14ac:dyDescent="0.3">
      <c r="A180" s="2">
        <v>41413</v>
      </c>
      <c r="B180" s="3">
        <v>3509.72</v>
      </c>
      <c r="C180" s="4">
        <v>56406</v>
      </c>
      <c r="D180" s="3">
        <v>4983.5</v>
      </c>
      <c r="E180" s="3">
        <v>15303.1</v>
      </c>
      <c r="F180" s="3">
        <v>12667.22</v>
      </c>
      <c r="G180" s="1">
        <v>984.28</v>
      </c>
      <c r="H180" s="3">
        <v>1649.6</v>
      </c>
      <c r="I180" s="3">
        <v>3459.14</v>
      </c>
      <c r="J180" s="3">
        <v>40521.269999999997</v>
      </c>
      <c r="K180" s="1">
        <v>20674.669999999998</v>
      </c>
      <c r="L180" s="3">
        <v>2384.58</v>
      </c>
      <c r="M180" s="3">
        <v>8305.32</v>
      </c>
      <c r="N180" s="6">
        <f>VLOOKUP(A180,'[1]俄罗斯交易系统市值加权指数历史数据 (1)'!$A:$B,2,)</f>
        <v>1388.52</v>
      </c>
      <c r="O180" s="3">
        <v>3956.79</v>
      </c>
      <c r="P180" s="1">
        <v>364.63</v>
      </c>
      <c r="Q180" s="3">
        <v>8168.78</v>
      </c>
      <c r="R180" s="1">
        <v>910.16</v>
      </c>
      <c r="S180" s="3">
        <v>8264.6</v>
      </c>
      <c r="T180" s="3">
        <v>6654.34</v>
      </c>
      <c r="U180" s="3">
        <v>2764.29</v>
      </c>
      <c r="V180" s="6">
        <f>VLOOKUP(A180,[2]韩国KOSPI指数历史数据!$A:$B,2,)</f>
        <v>1973.45</v>
      </c>
      <c r="W180" s="6">
        <f>VLOOKUP(A180,[3]日经225指数历史数据!$A:$B,2,)</f>
        <v>14612.45</v>
      </c>
      <c r="X180" s="3">
        <v>1215.4000000000001</v>
      </c>
      <c r="Y180" s="6">
        <f>VLOOKUP(A180,[4]上证指数历史数据!$A:$B,2,)</f>
        <v>2288.5300000000002</v>
      </c>
      <c r="Z180" s="6">
        <f>VLOOKUP(A180,[5]深证成份指数历史数据!$A:$B,2,)</f>
        <v>9304.86</v>
      </c>
      <c r="AA180" s="6">
        <f>VLOOKUP(A180,[6]台湾加权指数历史数据!$A:$B,2,)</f>
        <v>8209.7800000000007</v>
      </c>
      <c r="AB180" s="3">
        <v>22618.67</v>
      </c>
      <c r="AC180" s="3">
        <v>3393.17</v>
      </c>
      <c r="AD180">
        <v>5983.55</v>
      </c>
      <c r="AE180" s="5">
        <f>VLOOKUP(A180,[7]越南VN30指数历史数据!$A:$B,2,)</f>
        <v>563.80999999999995</v>
      </c>
      <c r="AF180">
        <v>36444.22</v>
      </c>
      <c r="AG180" s="9">
        <v>7767.58</v>
      </c>
      <c r="AH180">
        <v>8811.42</v>
      </c>
      <c r="AI180">
        <v>1750.63</v>
      </c>
      <c r="AJ180">
        <v>1541.97</v>
      </c>
    </row>
    <row r="181" spans="1:36" x14ac:dyDescent="0.3">
      <c r="A181" s="2">
        <v>41420</v>
      </c>
      <c r="B181" s="3">
        <v>3489.43</v>
      </c>
      <c r="C181" s="4">
        <v>53506</v>
      </c>
      <c r="D181" s="3">
        <v>4926.6000000000004</v>
      </c>
      <c r="E181" s="3">
        <v>15115.57</v>
      </c>
      <c r="F181" s="3">
        <v>12650.42</v>
      </c>
      <c r="G181" s="1">
        <v>984.14</v>
      </c>
      <c r="H181" s="3">
        <v>1630.74</v>
      </c>
      <c r="I181" s="3">
        <v>3455.91</v>
      </c>
      <c r="J181" s="3">
        <v>41588.32</v>
      </c>
      <c r="K181" s="1">
        <v>20681.45</v>
      </c>
      <c r="L181" s="3">
        <v>2485.5</v>
      </c>
      <c r="M181" s="3">
        <v>8348.84</v>
      </c>
      <c r="N181" s="6">
        <f>VLOOKUP(A181,'[1]俄罗斯交易系统市值加权指数历史数据 (1)'!$A:$B,2,)</f>
        <v>1331.43</v>
      </c>
      <c r="O181" s="3">
        <v>3948.59</v>
      </c>
      <c r="P181" s="1">
        <v>363.38</v>
      </c>
      <c r="Q181" s="3">
        <v>7947.01</v>
      </c>
      <c r="R181" s="1">
        <v>859.9</v>
      </c>
      <c r="S181" s="3">
        <v>8320.6</v>
      </c>
      <c r="T181" s="3">
        <v>6583.09</v>
      </c>
      <c r="U181" s="3">
        <v>2769.64</v>
      </c>
      <c r="V181" s="6">
        <f>VLOOKUP(A181,[2]韩国KOSPI指数历史数据!$A:$B,2,)</f>
        <v>2001.05</v>
      </c>
      <c r="W181" s="6">
        <f>VLOOKUP(A181,[3]日经225指数历史数据!$A:$B,2,)</f>
        <v>13774.54</v>
      </c>
      <c r="X181" s="3">
        <v>1232</v>
      </c>
      <c r="Y181" s="6">
        <f>VLOOKUP(A181,[4]上证指数历史数据!$A:$B,2,)</f>
        <v>2300.59</v>
      </c>
      <c r="Z181" s="6">
        <f>VLOOKUP(A181,[5]深证成份指数历史数据!$A:$B,2,)</f>
        <v>9257.9500000000007</v>
      </c>
      <c r="AA181" s="6">
        <f>VLOOKUP(A181,[6]台湾加权指数历史数据!$A:$B,2,)</f>
        <v>8254.7999999999993</v>
      </c>
      <c r="AB181" s="3">
        <v>22392.16</v>
      </c>
      <c r="AC181" s="3">
        <v>3311.37</v>
      </c>
      <c r="AD181">
        <v>5985.95</v>
      </c>
      <c r="AE181" s="5">
        <f>VLOOKUP(A181,[7]越南VN30指数历史数据!$A:$B,2,)</f>
        <v>581.95000000000005</v>
      </c>
      <c r="AF181">
        <v>37599.86</v>
      </c>
      <c r="AG181" s="9">
        <v>7878.76</v>
      </c>
      <c r="AH181">
        <v>8906.65</v>
      </c>
      <c r="AI181">
        <v>1809.74</v>
      </c>
      <c r="AJ181">
        <v>1549</v>
      </c>
    </row>
    <row r="182" spans="1:36" x14ac:dyDescent="0.3">
      <c r="A182" s="2">
        <v>41427</v>
      </c>
      <c r="B182" s="3">
        <v>3449.68</v>
      </c>
      <c r="C182" s="4">
        <v>51619</v>
      </c>
      <c r="D182" s="3">
        <v>4737.7</v>
      </c>
      <c r="E182" s="3">
        <v>15248.12</v>
      </c>
      <c r="F182" s="3">
        <v>12373.3</v>
      </c>
      <c r="G182" s="1">
        <v>987.62</v>
      </c>
      <c r="H182" s="3">
        <v>1643.38</v>
      </c>
      <c r="I182" s="3">
        <v>3469.22</v>
      </c>
      <c r="J182" s="3">
        <v>40232.68</v>
      </c>
      <c r="K182" s="1">
        <v>20388.5</v>
      </c>
      <c r="L182" s="3">
        <v>2488.84</v>
      </c>
      <c r="M182" s="3">
        <v>8254.68</v>
      </c>
      <c r="N182" s="6">
        <f>VLOOKUP(A182,'[1]俄罗斯交易系统市值加权指数历史数据 (1)'!$A:$B,2,)</f>
        <v>1314.41</v>
      </c>
      <c r="O182" s="3">
        <v>3872.59</v>
      </c>
      <c r="P182" s="1">
        <v>352.69</v>
      </c>
      <c r="Q182" s="3">
        <v>7784.84</v>
      </c>
      <c r="R182" s="1">
        <v>783.33</v>
      </c>
      <c r="S182" s="3">
        <v>8266.6</v>
      </c>
      <c r="T182" s="3">
        <v>6411.99</v>
      </c>
      <c r="U182" s="3">
        <v>2724.08</v>
      </c>
      <c r="V182" s="6">
        <f>VLOOKUP(A182,[2]韩国KOSPI指数历史数据!$A:$B,2,)</f>
        <v>1923.85</v>
      </c>
      <c r="W182" s="6">
        <f>VLOOKUP(A182,[3]日经225指数历史数据!$A:$B,2,)</f>
        <v>12877.53</v>
      </c>
      <c r="X182" s="3">
        <v>1225.26</v>
      </c>
      <c r="Y182" s="6">
        <f>VLOOKUP(A182,[4]上证指数历史数据!$A:$B,2,)</f>
        <v>2210.9</v>
      </c>
      <c r="Z182" s="6">
        <f>VLOOKUP(A182,[5]深证成份指数历史数据!$A:$B,2,)</f>
        <v>8763.61</v>
      </c>
      <c r="AA182" s="6">
        <f>VLOOKUP(A182,[6]台湾加权指数历史数据!$A:$B,2,)</f>
        <v>8095.2</v>
      </c>
      <c r="AB182" s="3">
        <v>21575.26</v>
      </c>
      <c r="AC182" s="3">
        <v>3184.72</v>
      </c>
      <c r="AD182">
        <v>5881</v>
      </c>
      <c r="AE182" s="5">
        <f>VLOOKUP(A182,[7]越南VN30指数历史数据!$A:$B,2,)</f>
        <v>588.21</v>
      </c>
      <c r="AF182">
        <v>36345.72</v>
      </c>
      <c r="AG182" s="9">
        <v>7261.57</v>
      </c>
      <c r="AH182">
        <v>8826.5300000000007</v>
      </c>
      <c r="AI182">
        <v>1890.61</v>
      </c>
      <c r="AJ182">
        <v>1553.49</v>
      </c>
    </row>
    <row r="183" spans="1:36" x14ac:dyDescent="0.3">
      <c r="A183" s="2">
        <v>41434</v>
      </c>
      <c r="B183" s="3">
        <v>3199.92</v>
      </c>
      <c r="C183" s="4">
        <v>49332</v>
      </c>
      <c r="D183" s="3">
        <v>4791.8</v>
      </c>
      <c r="E183" s="3">
        <v>15070.18</v>
      </c>
      <c r="F183" s="3">
        <v>12187.36</v>
      </c>
      <c r="G183" s="1">
        <v>981.38</v>
      </c>
      <c r="H183" s="3">
        <v>1626.73</v>
      </c>
      <c r="I183" s="3">
        <v>3423.56</v>
      </c>
      <c r="J183" s="3">
        <v>39269.300000000003</v>
      </c>
      <c r="K183" s="1">
        <v>19832.080000000002</v>
      </c>
      <c r="L183" s="3">
        <v>2478.4299999999998</v>
      </c>
      <c r="M183" s="3">
        <v>8127.96</v>
      </c>
      <c r="N183" s="6">
        <f>VLOOKUP(A183,'[1]俄罗斯交易系统市值加权指数历史数据 (1)'!$A:$B,2,)</f>
        <v>1293.8800000000001</v>
      </c>
      <c r="O183" s="3">
        <v>3805.16</v>
      </c>
      <c r="P183" s="1">
        <v>347.98</v>
      </c>
      <c r="Q183" s="3">
        <v>7635.96</v>
      </c>
      <c r="R183" s="1">
        <v>800.11</v>
      </c>
      <c r="S183" s="3">
        <v>8070.9</v>
      </c>
      <c r="T183" s="3">
        <v>6308.26</v>
      </c>
      <c r="U183" s="3">
        <v>2667.32</v>
      </c>
      <c r="V183" s="6">
        <f>VLOOKUP(A183,[2]韩国KOSPI指数历史数据!$A:$B,2,)</f>
        <v>1889.24</v>
      </c>
      <c r="W183" s="6">
        <f>VLOOKUP(A183,[3]日经225指数历史数据!$A:$B,2,)</f>
        <v>12686.52</v>
      </c>
      <c r="X183" s="3">
        <v>1222.1300000000001</v>
      </c>
      <c r="Y183" s="6">
        <f>VLOOKUP(A183,[4]上证指数历史数据!$A:$B,2,)</f>
        <v>2162.04</v>
      </c>
      <c r="Z183" s="6">
        <f>VLOOKUP(A183,[5]深证成份指数历史数据!$A:$B,2,)</f>
        <v>8479.4599999999991</v>
      </c>
      <c r="AA183" s="6">
        <f>VLOOKUP(A183,[6]台湾加权指数历史数据!$A:$B,2,)</f>
        <v>7937.74</v>
      </c>
      <c r="AB183" s="3">
        <v>20969.14</v>
      </c>
      <c r="AC183" s="3">
        <v>3161.43</v>
      </c>
      <c r="AD183">
        <v>5808.4</v>
      </c>
      <c r="AE183" s="5">
        <f>VLOOKUP(A183,[7]越南VN30指数历史数据!$A:$B,2,)</f>
        <v>562.97</v>
      </c>
      <c r="AF183">
        <v>35937.440000000002</v>
      </c>
      <c r="AG183" s="9">
        <v>6599.86</v>
      </c>
      <c r="AH183">
        <v>8700.99</v>
      </c>
      <c r="AI183">
        <v>1780.05</v>
      </c>
      <c r="AJ183">
        <v>1563.48</v>
      </c>
    </row>
    <row r="184" spans="1:36" x14ac:dyDescent="0.3">
      <c r="A184" s="2">
        <v>41441</v>
      </c>
      <c r="B184" s="3">
        <v>3070.86</v>
      </c>
      <c r="C184" s="4">
        <v>47056</v>
      </c>
      <c r="D184" s="3">
        <v>4738.8</v>
      </c>
      <c r="E184" s="3">
        <v>14799.4</v>
      </c>
      <c r="F184" s="3">
        <v>11995.66</v>
      </c>
      <c r="G184" s="1">
        <v>963.68</v>
      </c>
      <c r="H184" s="3">
        <v>1592.43</v>
      </c>
      <c r="I184" s="3">
        <v>3357.25</v>
      </c>
      <c r="J184" s="3">
        <v>38036.46</v>
      </c>
      <c r="K184" s="3">
        <v>19162.59</v>
      </c>
      <c r="L184" s="3">
        <v>2233.64</v>
      </c>
      <c r="M184" s="3">
        <v>7789.24</v>
      </c>
      <c r="N184" s="6">
        <f>VLOOKUP(A184,'[1]俄罗斯交易系统市值加权指数历史数据 (1)'!$A:$B,2,)</f>
        <v>1245.72</v>
      </c>
      <c r="O184" s="3">
        <v>3658.04</v>
      </c>
      <c r="P184" s="1">
        <v>337.64</v>
      </c>
      <c r="Q184" s="3">
        <v>7421.06</v>
      </c>
      <c r="R184" s="1">
        <v>731.02</v>
      </c>
      <c r="S184" s="3">
        <v>7700.2</v>
      </c>
      <c r="T184" s="3">
        <v>6116.17</v>
      </c>
      <c r="U184" s="3">
        <v>2549.48</v>
      </c>
      <c r="V184" s="6">
        <f>VLOOKUP(A184,[2]韩国KOSPI指数历史数据!$A:$B,2,)</f>
        <v>1822.83</v>
      </c>
      <c r="W184" s="6">
        <f>VLOOKUP(A184,[3]日经225指数历史数据!$A:$B,2,)</f>
        <v>13230.13</v>
      </c>
      <c r="X184" s="3">
        <v>1211.77</v>
      </c>
      <c r="Y184" s="6">
        <f>VLOOKUP(A184,[4]上证指数历史数据!$A:$B,2,)</f>
        <v>2073.1</v>
      </c>
      <c r="Z184" s="6">
        <f>VLOOKUP(A184,[5]深证成份指数历史数据!$A:$B,2,)</f>
        <v>8136.05</v>
      </c>
      <c r="AA184" s="6">
        <f>VLOOKUP(A184,[6]台湾加权指数历史数据!$A:$B,2,)</f>
        <v>7793.31</v>
      </c>
      <c r="AB184" s="3">
        <v>20263.310000000001</v>
      </c>
      <c r="AC184" s="3">
        <v>3124.45</v>
      </c>
      <c r="AD184">
        <v>5667.65</v>
      </c>
      <c r="AE184" s="5">
        <f>VLOOKUP(A184,[7]越南VN30指数历史数据!$A:$B,2,)</f>
        <v>553.57000000000005</v>
      </c>
      <c r="AF184">
        <v>34670.339999999997</v>
      </c>
      <c r="AG184" s="9">
        <v>6582</v>
      </c>
      <c r="AH184">
        <v>8860.91</v>
      </c>
      <c r="AI184">
        <v>1744.12</v>
      </c>
      <c r="AJ184">
        <v>1569.71</v>
      </c>
    </row>
    <row r="185" spans="1:36" x14ac:dyDescent="0.3">
      <c r="A185" s="2">
        <v>41448</v>
      </c>
      <c r="B185" s="3">
        <v>2976.27</v>
      </c>
      <c r="C185" s="4">
        <v>47457</v>
      </c>
      <c r="D185" s="3">
        <v>4802.6000000000004</v>
      </c>
      <c r="E185" s="3">
        <v>14909.6</v>
      </c>
      <c r="F185" s="3">
        <v>12129.11</v>
      </c>
      <c r="G185" s="1">
        <v>977.48</v>
      </c>
      <c r="H185" s="3">
        <v>1606.28</v>
      </c>
      <c r="I185" s="3">
        <v>3403.25</v>
      </c>
      <c r="J185" s="3">
        <v>40623.300000000003</v>
      </c>
      <c r="K185" s="3">
        <v>19861.099999999999</v>
      </c>
      <c r="L185" s="3">
        <v>2245.64</v>
      </c>
      <c r="M185" s="3">
        <v>7959.22</v>
      </c>
      <c r="N185" s="6">
        <f>VLOOKUP(A185,'[1]俄罗斯交易系统市值加权指数历史数据 (1)'!$A:$B,2,)</f>
        <v>1275.44</v>
      </c>
      <c r="O185" s="3">
        <v>3738.91</v>
      </c>
      <c r="P185" s="1">
        <v>344.59</v>
      </c>
      <c r="Q185" s="3">
        <v>7683.04</v>
      </c>
      <c r="R185" s="1">
        <v>762.95</v>
      </c>
      <c r="S185" s="3">
        <v>7762.7</v>
      </c>
      <c r="T185" s="3">
        <v>6215.47</v>
      </c>
      <c r="U185" s="3">
        <v>2602.59</v>
      </c>
      <c r="V185" s="6">
        <f>VLOOKUP(A185,[2]韩国KOSPI指数历史数据!$A:$B,2,)</f>
        <v>1863.32</v>
      </c>
      <c r="W185" s="6">
        <f>VLOOKUP(A185,[3]日经225指数历史数据!$A:$B,2,)</f>
        <v>13677.32</v>
      </c>
      <c r="X185" s="3">
        <v>1189.67</v>
      </c>
      <c r="Y185" s="6">
        <f>VLOOKUP(A185,[4]上证指数历史数据!$A:$B,2,)</f>
        <v>1979.21</v>
      </c>
      <c r="Z185" s="6">
        <f>VLOOKUP(A185,[5]深证成份指数历史数据!$A:$B,2,)</f>
        <v>7694.47</v>
      </c>
      <c r="AA185" s="6">
        <f>VLOOKUP(A185,[6]台湾加权指数历史数据!$A:$B,2,)</f>
        <v>8062.21</v>
      </c>
      <c r="AB185" s="3">
        <v>20803.29</v>
      </c>
      <c r="AC185" s="3">
        <v>3150.44</v>
      </c>
      <c r="AD185">
        <v>5842.2</v>
      </c>
      <c r="AE185" s="5">
        <f>VLOOKUP(A185,[7]越南VN30指数历史数据!$A:$B,2,)</f>
        <v>538.54</v>
      </c>
      <c r="AF185">
        <v>35051.49</v>
      </c>
      <c r="AG185" s="9">
        <v>6659.56</v>
      </c>
      <c r="AH185">
        <v>8792.15</v>
      </c>
      <c r="AI185">
        <v>1700.08</v>
      </c>
      <c r="AJ185">
        <v>1582.51</v>
      </c>
    </row>
    <row r="186" spans="1:36" x14ac:dyDescent="0.3">
      <c r="A186" s="2">
        <v>41455</v>
      </c>
      <c r="B186" s="3">
        <v>3063.69</v>
      </c>
      <c r="C186" s="4">
        <v>45210</v>
      </c>
      <c r="D186" s="3">
        <v>4841.7</v>
      </c>
      <c r="E186" s="3">
        <v>15135.84</v>
      </c>
      <c r="F186" s="3">
        <v>12134.91</v>
      </c>
      <c r="G186" s="3">
        <v>1005.39</v>
      </c>
      <c r="H186" s="3">
        <v>1631.89</v>
      </c>
      <c r="I186" s="3">
        <v>3479.38</v>
      </c>
      <c r="J186" s="3">
        <v>40623.089999999997</v>
      </c>
      <c r="K186" s="3">
        <v>19019.5</v>
      </c>
      <c r="L186" s="3">
        <v>2253.4899999999998</v>
      </c>
      <c r="M186" s="3">
        <v>7806</v>
      </c>
      <c r="N186" s="6">
        <f>VLOOKUP(A186,'[1]俄罗斯交易系统市值加权指数历史数据 (1)'!$A:$B,2,)</f>
        <v>1268.5899999999999</v>
      </c>
      <c r="O186" s="3">
        <v>3753.85</v>
      </c>
      <c r="P186" s="1">
        <v>352.53</v>
      </c>
      <c r="Q186" s="3">
        <v>7781.98</v>
      </c>
      <c r="R186" s="1">
        <v>731.12</v>
      </c>
      <c r="S186" s="3">
        <v>7868.4</v>
      </c>
      <c r="T186" s="3">
        <v>6375.52</v>
      </c>
      <c r="U186" s="3">
        <v>2596.0100000000002</v>
      </c>
      <c r="V186" s="6">
        <f>VLOOKUP(A186,[2]韩国KOSPI指数历史数据!$A:$B,2,)</f>
        <v>1833.31</v>
      </c>
      <c r="W186" s="6">
        <f>VLOOKUP(A186,[3]日经225指数历史数据!$A:$B,2,)</f>
        <v>14309.97</v>
      </c>
      <c r="X186" s="3">
        <v>1195.0899999999999</v>
      </c>
      <c r="Y186" s="6">
        <f>VLOOKUP(A186,[4]上证指数历史数据!$A:$B,2,)</f>
        <v>2007.2</v>
      </c>
      <c r="Z186" s="6">
        <f>VLOOKUP(A186,[5]深证成份指数历史数据!$A:$B,2,)</f>
        <v>7856.59</v>
      </c>
      <c r="AA186" s="6">
        <f>VLOOKUP(A186,[6]台湾加权指数历史数据!$A:$B,2,)</f>
        <v>8001.82</v>
      </c>
      <c r="AB186" s="3">
        <v>20854.669999999998</v>
      </c>
      <c r="AC186" s="3">
        <v>3169.73</v>
      </c>
      <c r="AD186">
        <v>5867.9</v>
      </c>
      <c r="AE186" s="5">
        <f>VLOOKUP(A186,[7]越南VN30指数历史数据!$A:$B,2,)</f>
        <v>543.38</v>
      </c>
      <c r="AF186">
        <v>34684.53</v>
      </c>
      <c r="AG186" s="9">
        <v>7673.65</v>
      </c>
      <c r="AH186">
        <v>8663.7099999999991</v>
      </c>
      <c r="AI186">
        <v>1742.18</v>
      </c>
      <c r="AJ186">
        <v>1582.43</v>
      </c>
    </row>
    <row r="187" spans="1:36" x14ac:dyDescent="0.3">
      <c r="A187" s="2">
        <v>41462</v>
      </c>
      <c r="B187" s="3">
        <v>3226.38</v>
      </c>
      <c r="C187" s="4">
        <v>45533</v>
      </c>
      <c r="D187" s="3">
        <v>4973.8999999999996</v>
      </c>
      <c r="E187" s="3">
        <v>15464.3</v>
      </c>
      <c r="F187" s="3">
        <v>12462.18</v>
      </c>
      <c r="G187" s="3">
        <v>1036.52</v>
      </c>
      <c r="H187" s="3">
        <v>1680.19</v>
      </c>
      <c r="I187" s="3">
        <v>3600.08</v>
      </c>
      <c r="J187" s="3">
        <v>40329.81</v>
      </c>
      <c r="K187" s="3">
        <v>18608.650000000001</v>
      </c>
      <c r="L187" s="3">
        <v>2302.81</v>
      </c>
      <c r="M187" s="3">
        <v>8212.77</v>
      </c>
      <c r="N187" s="6">
        <f>VLOOKUP(A187,'[1]俄罗斯交易系统市值加权指数历史数据 (1)'!$A:$B,2,)</f>
        <v>1348.81</v>
      </c>
      <c r="O187" s="3">
        <v>3855.09</v>
      </c>
      <c r="P187" s="1">
        <v>364.95</v>
      </c>
      <c r="Q187" s="3">
        <v>7983.18</v>
      </c>
      <c r="R187" s="1">
        <v>739.22</v>
      </c>
      <c r="S187" s="3">
        <v>7844.7</v>
      </c>
      <c r="T187" s="3">
        <v>6544.94</v>
      </c>
      <c r="U187" s="3">
        <v>2674.87</v>
      </c>
      <c r="V187" s="6">
        <f>VLOOKUP(A187,[2]韩国KOSPI指数历史数据!$A:$B,2,)</f>
        <v>1869.98</v>
      </c>
      <c r="W187" s="6">
        <f>VLOOKUP(A187,[3]日经225指数历史数据!$A:$B,2,)</f>
        <v>14506.25</v>
      </c>
      <c r="X187" s="3">
        <v>1214.52</v>
      </c>
      <c r="Y187" s="6">
        <f>VLOOKUP(A187,[4]上证指数历史数据!$A:$B,2,)</f>
        <v>2039.49</v>
      </c>
      <c r="Z187" s="6">
        <f>VLOOKUP(A187,[5]深证成份指数历史数据!$A:$B,2,)</f>
        <v>8012.84</v>
      </c>
      <c r="AA187" s="6">
        <f>VLOOKUP(A187,[6]台湾加权指数历史数据!$A:$B,2,)</f>
        <v>8220.49</v>
      </c>
      <c r="AB187" s="3">
        <v>21277.279999999999</v>
      </c>
      <c r="AC187" s="3">
        <v>3236.06</v>
      </c>
      <c r="AD187">
        <v>6009</v>
      </c>
      <c r="AE187" s="5">
        <f>VLOOKUP(A187,[7]越南VN30指数历史数据!$A:$B,2,)</f>
        <v>548.27</v>
      </c>
      <c r="AF187">
        <v>36227.269999999997</v>
      </c>
      <c r="AG187" s="9">
        <v>7612.68</v>
      </c>
      <c r="AH187">
        <v>8715.4699999999993</v>
      </c>
      <c r="AI187">
        <v>1758.75</v>
      </c>
      <c r="AJ187">
        <v>1594.07</v>
      </c>
    </row>
    <row r="188" spans="1:36" x14ac:dyDescent="0.3">
      <c r="A188" s="2">
        <v>41469</v>
      </c>
      <c r="B188" s="3">
        <v>3410.14</v>
      </c>
      <c r="C188" s="4">
        <v>47400</v>
      </c>
      <c r="D188" s="3">
        <v>4972.1000000000004</v>
      </c>
      <c r="E188" s="3">
        <v>15543.74</v>
      </c>
      <c r="F188" s="3">
        <v>12685.13</v>
      </c>
      <c r="G188" s="3">
        <v>1050.48</v>
      </c>
      <c r="H188" s="3">
        <v>1692.09</v>
      </c>
      <c r="I188" s="3">
        <v>3587.61</v>
      </c>
      <c r="J188" s="3">
        <v>39891.67</v>
      </c>
      <c r="K188" s="3">
        <v>19115.330000000002</v>
      </c>
      <c r="L188" s="3">
        <v>2313.31</v>
      </c>
      <c r="M188" s="3">
        <v>8331.57</v>
      </c>
      <c r="N188" s="6">
        <f>VLOOKUP(A188,'[1]俄罗斯交易系统市值加权指数历史数据 (1)'!$A:$B,2,)</f>
        <v>1382.33</v>
      </c>
      <c r="O188" s="3">
        <v>3925.32</v>
      </c>
      <c r="P188" s="1">
        <v>369.76</v>
      </c>
      <c r="Q188" s="3">
        <v>7928.12</v>
      </c>
      <c r="R188" s="1">
        <v>758.74</v>
      </c>
      <c r="S188" s="3">
        <v>7943.2</v>
      </c>
      <c r="T188" s="3">
        <v>6630.67</v>
      </c>
      <c r="U188" s="3">
        <v>2716.17</v>
      </c>
      <c r="V188" s="6">
        <f>VLOOKUP(A188,[2]韩国KOSPI指数历史数据!$A:$B,2,)</f>
        <v>1871.41</v>
      </c>
      <c r="W188" s="6">
        <f>VLOOKUP(A188,[3]日经225指数历史数据!$A:$B,2,)</f>
        <v>14589.91</v>
      </c>
      <c r="X188" s="3">
        <v>1226.8900000000001</v>
      </c>
      <c r="Y188" s="6">
        <f>VLOOKUP(A188,[4]上证指数历史数据!$A:$B,2,)</f>
        <v>1992.65</v>
      </c>
      <c r="Z188" s="6">
        <f>VLOOKUP(A188,[5]深证成份指数历史数据!$A:$B,2,)</f>
        <v>7663.99</v>
      </c>
      <c r="AA188" s="6">
        <f>VLOOKUP(A188,[6]台湾加权指数历史数据!$A:$B,2,)</f>
        <v>8062.03</v>
      </c>
      <c r="AB188" s="3">
        <v>21362.42</v>
      </c>
      <c r="AC188" s="3">
        <v>3213.26</v>
      </c>
      <c r="AD188">
        <v>6029.2</v>
      </c>
      <c r="AE188" s="5">
        <f>VLOOKUP(A188,[7]越南VN30指数历史数据!$A:$B,2,)</f>
        <v>556.55999999999995</v>
      </c>
      <c r="AF188">
        <v>36029.71</v>
      </c>
      <c r="AG188" s="9">
        <v>7708.49</v>
      </c>
      <c r="AH188">
        <v>8784.14</v>
      </c>
      <c r="AI188">
        <v>1813.02</v>
      </c>
      <c r="AJ188">
        <v>1600.3</v>
      </c>
    </row>
    <row r="189" spans="1:36" x14ac:dyDescent="0.3">
      <c r="A189" s="2">
        <v>41476</v>
      </c>
      <c r="B189" s="3">
        <v>3423.19</v>
      </c>
      <c r="C189" s="4">
        <v>49422</v>
      </c>
      <c r="D189" s="3">
        <v>5042</v>
      </c>
      <c r="E189" s="3">
        <v>15558.83</v>
      </c>
      <c r="F189" s="3">
        <v>12647.9</v>
      </c>
      <c r="G189" s="3">
        <v>1048.51</v>
      </c>
      <c r="H189" s="3">
        <v>1691.65</v>
      </c>
      <c r="I189" s="3">
        <v>3613.16</v>
      </c>
      <c r="J189" s="3">
        <v>41064.58</v>
      </c>
      <c r="K189" s="3">
        <v>18923.47</v>
      </c>
      <c r="L189" s="3">
        <v>2291.1</v>
      </c>
      <c r="M189" s="3">
        <v>8244.91</v>
      </c>
      <c r="N189" s="6">
        <f>VLOOKUP(A189,'[1]俄罗斯交易系统市值加权指数历史数据 (1)'!$A:$B,2,)</f>
        <v>1348.37</v>
      </c>
      <c r="O189" s="3">
        <v>3968.84</v>
      </c>
      <c r="P189" s="1">
        <v>368.31</v>
      </c>
      <c r="Q189" s="3">
        <v>7796.84</v>
      </c>
      <c r="R189" s="1">
        <v>725.55</v>
      </c>
      <c r="S189" s="3">
        <v>8353.6</v>
      </c>
      <c r="T189" s="3">
        <v>6554.79</v>
      </c>
      <c r="U189" s="3">
        <v>2741.96</v>
      </c>
      <c r="V189" s="6">
        <f>VLOOKUP(A189,[2]韩国KOSPI指数历史数据!$A:$B,2,)</f>
        <v>1910.81</v>
      </c>
      <c r="W189" s="6">
        <f>VLOOKUP(A189,[3]日经225指数历史数据!$A:$B,2,)</f>
        <v>14129.98</v>
      </c>
      <c r="X189" s="3">
        <v>1229.24</v>
      </c>
      <c r="Y189" s="6">
        <f>VLOOKUP(A189,[4]上证指数历史数据!$A:$B,2,)</f>
        <v>2010.85</v>
      </c>
      <c r="Z189" s="6">
        <f>VLOOKUP(A189,[5]深证成份指数历史数据!$A:$B,2,)</f>
        <v>7843.36</v>
      </c>
      <c r="AA189" s="6">
        <f>VLOOKUP(A189,[6]台湾加权指数历史数据!$A:$B,2,)</f>
        <v>8149.4</v>
      </c>
      <c r="AB189" s="3">
        <v>21968.95</v>
      </c>
      <c r="AC189" s="3">
        <v>3236.1</v>
      </c>
      <c r="AD189">
        <v>5886.2</v>
      </c>
      <c r="AE189" s="5">
        <f>VLOOKUP(A189,[7]越南VN30指数历史数据!$A:$B,2,)</f>
        <v>544.88</v>
      </c>
      <c r="AF189">
        <v>36026.19</v>
      </c>
      <c r="AG189" s="9">
        <v>7706.4</v>
      </c>
      <c r="AH189">
        <v>8658.4500000000007</v>
      </c>
      <c r="AI189">
        <v>1742.05</v>
      </c>
      <c r="AJ189">
        <v>1607.57</v>
      </c>
    </row>
    <row r="190" spans="1:36" x14ac:dyDescent="0.3">
      <c r="A190" s="2">
        <v>41483</v>
      </c>
      <c r="B190" s="3">
        <v>3458.79</v>
      </c>
      <c r="C190" s="4">
        <v>48474</v>
      </c>
      <c r="D190" s="3">
        <v>5116.8</v>
      </c>
      <c r="E190" s="3">
        <v>15658.36</v>
      </c>
      <c r="F190" s="3">
        <v>12603.25</v>
      </c>
      <c r="G190" s="3">
        <v>1059.8599999999999</v>
      </c>
      <c r="H190" s="3">
        <v>1709.67</v>
      </c>
      <c r="I190" s="3">
        <v>3689.59</v>
      </c>
      <c r="J190" s="3">
        <v>42051.6</v>
      </c>
      <c r="K190" s="3">
        <v>18789.28</v>
      </c>
      <c r="L190" s="3">
        <v>2401.85</v>
      </c>
      <c r="M190" s="3">
        <v>8406.94</v>
      </c>
      <c r="N190" s="6">
        <f>VLOOKUP(A190,'[1]俄罗斯交易系统市值加权指数历史数据 (1)'!$A:$B,2,)</f>
        <v>1336.39</v>
      </c>
      <c r="O190" s="3">
        <v>4045.65</v>
      </c>
      <c r="P190" s="1">
        <v>371.34</v>
      </c>
      <c r="Q190" s="3">
        <v>7963.93</v>
      </c>
      <c r="R190" s="1">
        <v>740.33</v>
      </c>
      <c r="S190" s="3">
        <v>8574</v>
      </c>
      <c r="T190" s="3">
        <v>6647.87</v>
      </c>
      <c r="U190" s="3">
        <v>2811</v>
      </c>
      <c r="V190" s="6">
        <f>VLOOKUP(A190,[2]韩国KOSPI指数历史数据!$A:$B,2,)</f>
        <v>1923.38</v>
      </c>
      <c r="W190" s="6">
        <f>VLOOKUP(A190,[3]日经225指数历史数据!$A:$B,2,)</f>
        <v>14466.16</v>
      </c>
      <c r="X190" s="3">
        <v>1207.8399999999999</v>
      </c>
      <c r="Y190" s="6">
        <f>VLOOKUP(A190,[4]上证指数历史数据!$A:$B,2,)</f>
        <v>2029.42</v>
      </c>
      <c r="Z190" s="6">
        <f>VLOOKUP(A190,[5]深证成份指数历史数据!$A:$B,2,)</f>
        <v>7961.47</v>
      </c>
      <c r="AA190" s="6">
        <f>VLOOKUP(A190,[6]台湾加权指数历史数据!$A:$B,2,)</f>
        <v>8099.88</v>
      </c>
      <c r="AB190" s="3">
        <v>22190.97</v>
      </c>
      <c r="AC190" s="3">
        <v>3254.13</v>
      </c>
      <c r="AD190">
        <v>5677.9</v>
      </c>
      <c r="AE190" s="5">
        <f>VLOOKUP(A190,[7]越南VN30指数历史数据!$A:$B,2,)</f>
        <v>545.59</v>
      </c>
      <c r="AF190">
        <v>37218.32</v>
      </c>
      <c r="AG190" s="9">
        <v>7750.06</v>
      </c>
      <c r="AH190">
        <v>8570.01</v>
      </c>
      <c r="AI190">
        <v>1805.3</v>
      </c>
      <c r="AJ190">
        <v>1611.15</v>
      </c>
    </row>
    <row r="191" spans="1:36" x14ac:dyDescent="0.3">
      <c r="A191" s="2">
        <v>41490</v>
      </c>
      <c r="B191" s="3">
        <v>3615.11</v>
      </c>
      <c r="C191" s="4">
        <v>49875</v>
      </c>
      <c r="D191" s="3">
        <v>5055.2</v>
      </c>
      <c r="E191" s="3">
        <v>15425.51</v>
      </c>
      <c r="F191" s="3">
        <v>12542.13</v>
      </c>
      <c r="G191" s="3">
        <v>1048.4000000000001</v>
      </c>
      <c r="H191" s="3">
        <v>1691.42</v>
      </c>
      <c r="I191" s="3">
        <v>3660.11</v>
      </c>
      <c r="J191" s="3">
        <v>42648.74</v>
      </c>
      <c r="K191" s="3">
        <v>18639.66</v>
      </c>
      <c r="L191" s="3">
        <v>2414.2800000000002</v>
      </c>
      <c r="M191" s="3">
        <v>8338.31</v>
      </c>
      <c r="N191" s="6">
        <f>VLOOKUP(A191,'[1]俄罗斯交易系统市值加权指数历史数据 (1)'!$A:$B,2,)</f>
        <v>1325.72</v>
      </c>
      <c r="O191" s="3">
        <v>4076.55</v>
      </c>
      <c r="P191" s="1">
        <v>375.4</v>
      </c>
      <c r="Q191" s="3">
        <v>7977.34</v>
      </c>
      <c r="R191" s="1">
        <v>735.45</v>
      </c>
      <c r="S191" s="3">
        <v>8735.5</v>
      </c>
      <c r="T191" s="3">
        <v>6583.39</v>
      </c>
      <c r="U191" s="3">
        <v>2825.62</v>
      </c>
      <c r="V191" s="6">
        <f>VLOOKUP(A191,[2]韩国KOSPI指数历史数据!$A:$B,2,)</f>
        <v>1880.71</v>
      </c>
      <c r="W191" s="6">
        <f>VLOOKUP(A191,[3]日经225指数历史数据!$A:$B,2,)</f>
        <v>13615.19</v>
      </c>
      <c r="X191" s="3">
        <v>1202.8499999999999</v>
      </c>
      <c r="Y191" s="6">
        <f>VLOOKUP(A191,[4]上证指数历史数据!$A:$B,2,)</f>
        <v>2052.23</v>
      </c>
      <c r="Z191" s="6">
        <f>VLOOKUP(A191,[5]深证成份指数历史数据!$A:$B,2,)</f>
        <v>8145.97</v>
      </c>
      <c r="AA191" s="6">
        <f>VLOOKUP(A191,[6]台湾加权指数历史数据!$A:$B,2,)</f>
        <v>7856.14</v>
      </c>
      <c r="AB191" s="3">
        <v>21807.56</v>
      </c>
      <c r="AC191" s="3">
        <v>3229.91</v>
      </c>
      <c r="AD191">
        <v>5565.65</v>
      </c>
      <c r="AE191" s="5">
        <f>VLOOKUP(A191,[7]越南VN30指数历史数据!$A:$B,2,)</f>
        <v>552.27</v>
      </c>
      <c r="AF191">
        <v>37314.01</v>
      </c>
      <c r="AG191" s="9">
        <v>8094.59</v>
      </c>
      <c r="AH191">
        <v>8529.99</v>
      </c>
      <c r="AI191">
        <v>1785.65</v>
      </c>
      <c r="AJ191">
        <v>1611.48</v>
      </c>
    </row>
    <row r="192" spans="1:36" x14ac:dyDescent="0.3">
      <c r="A192" s="2">
        <v>41497</v>
      </c>
      <c r="B192" s="3">
        <v>3815.29</v>
      </c>
      <c r="C192" s="4">
        <v>51539</v>
      </c>
      <c r="D192" s="3">
        <v>5113.8999999999996</v>
      </c>
      <c r="E192" s="3">
        <v>15081.47</v>
      </c>
      <c r="F192" s="3">
        <v>12736.92</v>
      </c>
      <c r="G192" s="3">
        <v>1024.3</v>
      </c>
      <c r="H192" s="3">
        <v>1655.83</v>
      </c>
      <c r="I192" s="3">
        <v>3602.78</v>
      </c>
      <c r="J192" s="3">
        <v>42049.7</v>
      </c>
      <c r="K192" s="3">
        <v>18427.919999999998</v>
      </c>
      <c r="L192" s="3">
        <v>2445.6</v>
      </c>
      <c r="M192" s="3">
        <v>8391.94</v>
      </c>
      <c r="N192" s="6">
        <f>VLOOKUP(A192,'[1]俄罗斯交易系统市值加权指数历史数据 (1)'!$A:$B,2,)</f>
        <v>1323.42</v>
      </c>
      <c r="O192" s="3">
        <v>4123.8900000000003</v>
      </c>
      <c r="P192" s="1">
        <v>374.75</v>
      </c>
      <c r="Q192" s="3">
        <v>7961.31</v>
      </c>
      <c r="R192" s="1">
        <v>742.75</v>
      </c>
      <c r="S192" s="3">
        <v>8821.2999999999993</v>
      </c>
      <c r="T192" s="3">
        <v>6499.99</v>
      </c>
      <c r="U192" s="3">
        <v>2854.27</v>
      </c>
      <c r="V192" s="6">
        <f>VLOOKUP(A192,[2]韩国KOSPI指数历史数据!$A:$B,2,)</f>
        <v>1920.11</v>
      </c>
      <c r="W192" s="6">
        <f>VLOOKUP(A192,[3]日经225指数历史数据!$A:$B,2,)</f>
        <v>13650.11</v>
      </c>
      <c r="X192" s="3">
        <v>1204.8900000000001</v>
      </c>
      <c r="Y192" s="6">
        <f>VLOOKUP(A192,[4]上证指数历史数据!$A:$B,2,)</f>
        <v>2068.4499999999998</v>
      </c>
      <c r="Z192" s="6">
        <f>VLOOKUP(A192,[5]深证成份指数历史数据!$A:$B,2,)</f>
        <v>8168.09</v>
      </c>
      <c r="AA192" s="6">
        <f>VLOOKUP(A192,[6]台湾加权指数历史数据!$A:$B,2,)</f>
        <v>7925</v>
      </c>
      <c r="AB192" s="3">
        <v>22517.81</v>
      </c>
      <c r="AC192" s="3">
        <v>3197.53</v>
      </c>
      <c r="AD192">
        <v>5507.85</v>
      </c>
      <c r="AE192" s="5">
        <f>VLOOKUP(A192,[7]越南VN30指数历史数据!$A:$B,2,)</f>
        <v>559.16</v>
      </c>
      <c r="AF192">
        <v>38623.629999999997</v>
      </c>
      <c r="AG192" s="9">
        <v>8003.46</v>
      </c>
      <c r="AH192">
        <v>8506.5400000000009</v>
      </c>
      <c r="AI192">
        <v>1733.95</v>
      </c>
      <c r="AJ192">
        <v>1606.96</v>
      </c>
    </row>
    <row r="193" spans="1:36" x14ac:dyDescent="0.3">
      <c r="A193" s="2">
        <v>41504</v>
      </c>
      <c r="B193" s="3">
        <v>3903.21</v>
      </c>
      <c r="C193" s="4">
        <v>52197</v>
      </c>
      <c r="D193" s="3">
        <v>5123.3999999999996</v>
      </c>
      <c r="E193" s="3">
        <v>15010.51</v>
      </c>
      <c r="F193" s="3">
        <v>12762.3</v>
      </c>
      <c r="G193" s="3">
        <v>1038.24</v>
      </c>
      <c r="H193" s="3">
        <v>1663.5</v>
      </c>
      <c r="I193" s="3">
        <v>3657.79</v>
      </c>
      <c r="J193" s="3">
        <v>40925.129999999997</v>
      </c>
      <c r="K193" s="3">
        <v>18146.52</v>
      </c>
      <c r="L193" s="3">
        <v>2417.23</v>
      </c>
      <c r="M193" s="3">
        <v>8416.99</v>
      </c>
      <c r="N193" s="6">
        <f>VLOOKUP(A193,'[1]俄罗斯交易系统市值加权指数历史数据 (1)'!$A:$B,2,)</f>
        <v>1330.99</v>
      </c>
      <c r="O193" s="3">
        <v>4069.47</v>
      </c>
      <c r="P193" s="1">
        <v>374.67</v>
      </c>
      <c r="Q193" s="3">
        <v>8006.9</v>
      </c>
      <c r="R193" s="1">
        <v>679.32</v>
      </c>
      <c r="S193" s="3">
        <v>8686.7999999999993</v>
      </c>
      <c r="T193" s="3">
        <v>6492.1</v>
      </c>
      <c r="U193" s="3">
        <v>2826.05</v>
      </c>
      <c r="V193" s="6">
        <f>VLOOKUP(A193,[2]韩国KOSPI指数历史数据!$A:$B,2,)</f>
        <v>1870.16</v>
      </c>
      <c r="W193" s="6">
        <f>VLOOKUP(A193,[3]日经225指数历史数据!$A:$B,2,)</f>
        <v>13660.55</v>
      </c>
      <c r="X193" s="3">
        <v>1201.28</v>
      </c>
      <c r="Y193" s="6">
        <f>VLOOKUP(A193,[4]上证指数历史数据!$A:$B,2,)</f>
        <v>2057.46</v>
      </c>
      <c r="Z193" s="6">
        <f>VLOOKUP(A193,[5]深证成份指数历史数据!$A:$B,2,)</f>
        <v>8166.28</v>
      </c>
      <c r="AA193" s="6">
        <f>VLOOKUP(A193,[6]台湾加权指数历史数据!$A:$B,2,)</f>
        <v>7873.31</v>
      </c>
      <c r="AB193" s="3">
        <v>21863.51</v>
      </c>
      <c r="AC193" s="3">
        <v>3088.85</v>
      </c>
      <c r="AD193">
        <v>5471.75</v>
      </c>
      <c r="AE193" s="5">
        <f>VLOOKUP(A193,[7]越南VN30指数历史数据!$A:$B,2,)</f>
        <v>542.08000000000004</v>
      </c>
      <c r="AF193">
        <v>38652.120000000003</v>
      </c>
      <c r="AG193" s="9">
        <v>7844.17</v>
      </c>
      <c r="AH193">
        <v>8473.16</v>
      </c>
      <c r="AI193">
        <v>1714.9</v>
      </c>
      <c r="AJ193">
        <v>1607.45</v>
      </c>
    </row>
    <row r="194" spans="1:36" x14ac:dyDescent="0.3">
      <c r="A194" s="2">
        <v>41511</v>
      </c>
      <c r="B194" s="3">
        <v>3935.89</v>
      </c>
      <c r="C194" s="4">
        <v>50012</v>
      </c>
      <c r="D194" s="3">
        <v>5135</v>
      </c>
      <c r="E194" s="3">
        <v>14810.31</v>
      </c>
      <c r="F194" s="3">
        <v>12653.9</v>
      </c>
      <c r="G194" s="3">
        <v>1010.9</v>
      </c>
      <c r="H194" s="3">
        <v>1632.97</v>
      </c>
      <c r="I194" s="3">
        <v>3589.87</v>
      </c>
      <c r="J194" s="3">
        <v>39484.46</v>
      </c>
      <c r="K194" s="3">
        <v>17993.73</v>
      </c>
      <c r="L194" s="3">
        <v>2384.2199999999998</v>
      </c>
      <c r="M194" s="3">
        <v>8103.15</v>
      </c>
      <c r="N194" s="6">
        <f>VLOOKUP(A194,'[1]俄罗斯交易系统市值加权指数历史数据 (1)'!$A:$B,2,)</f>
        <v>1290.96</v>
      </c>
      <c r="O194" s="3">
        <v>3933.78</v>
      </c>
      <c r="P194" s="1">
        <v>362.93</v>
      </c>
      <c r="Q194" s="3">
        <v>7745.97</v>
      </c>
      <c r="R194" s="1">
        <v>663.94</v>
      </c>
      <c r="S194" s="3">
        <v>8290.5</v>
      </c>
      <c r="T194" s="3">
        <v>6412.93</v>
      </c>
      <c r="U194" s="3">
        <v>2721.37</v>
      </c>
      <c r="V194" s="6">
        <f>VLOOKUP(A194,[2]韩国KOSPI指数历史数据!$A:$B,2,)</f>
        <v>1926.36</v>
      </c>
      <c r="W194" s="6">
        <f>VLOOKUP(A194,[3]日经225指数历史数据!$A:$B,2,)</f>
        <v>13388.86</v>
      </c>
      <c r="X194" s="3">
        <v>1178.4100000000001</v>
      </c>
      <c r="Y194" s="6">
        <f>VLOOKUP(A194,[4]上证指数历史数据!$A:$B,2,)</f>
        <v>2098.38</v>
      </c>
      <c r="Z194" s="6">
        <f>VLOOKUP(A194,[5]深证成份指数历史数据!$A:$B,2,)</f>
        <v>8202.48</v>
      </c>
      <c r="AA194" s="6">
        <f>VLOOKUP(A194,[6]台湾加权指数历史数据!$A:$B,2,)</f>
        <v>8021.89</v>
      </c>
      <c r="AB194" s="3">
        <v>21731.37</v>
      </c>
      <c r="AC194" s="3">
        <v>3028.94</v>
      </c>
      <c r="AD194">
        <v>5471.8</v>
      </c>
      <c r="AE194" s="5">
        <f>VLOOKUP(A194,[7]越南VN30指数历史数据!$A:$B,2,)</f>
        <v>531.23</v>
      </c>
      <c r="AF194">
        <v>37863.93</v>
      </c>
      <c r="AG194" s="9">
        <v>7616.58</v>
      </c>
      <c r="AH194">
        <v>8413.7199999999993</v>
      </c>
      <c r="AI194">
        <v>1689.32</v>
      </c>
      <c r="AJ194">
        <v>1611.49</v>
      </c>
    </row>
    <row r="195" spans="1:36" x14ac:dyDescent="0.3">
      <c r="A195" s="2">
        <v>41518</v>
      </c>
      <c r="B195" s="3">
        <v>4181.58</v>
      </c>
      <c r="C195" s="4">
        <v>53749</v>
      </c>
      <c r="D195" s="3">
        <v>5145</v>
      </c>
      <c r="E195" s="3">
        <v>14922.5</v>
      </c>
      <c r="F195" s="3">
        <v>12820.92</v>
      </c>
      <c r="G195" s="3">
        <v>1029.55</v>
      </c>
      <c r="H195" s="3">
        <v>1655.17</v>
      </c>
      <c r="I195" s="3">
        <v>3660.01</v>
      </c>
      <c r="J195" s="3">
        <v>39915.06</v>
      </c>
      <c r="K195" s="3">
        <v>18691.57</v>
      </c>
      <c r="L195" s="3">
        <v>2238.98</v>
      </c>
      <c r="M195" s="3">
        <v>8275.67</v>
      </c>
      <c r="N195" s="6">
        <f>VLOOKUP(A195,'[1]俄罗斯交易系统市值加权指数历史数据 (1)'!$A:$B,2,)</f>
        <v>1345.6</v>
      </c>
      <c r="O195" s="3">
        <v>4049.19</v>
      </c>
      <c r="P195" s="1">
        <v>371.04</v>
      </c>
      <c r="Q195" s="3">
        <v>7950.78</v>
      </c>
      <c r="R195" s="1">
        <v>672.32</v>
      </c>
      <c r="S195" s="3">
        <v>8655</v>
      </c>
      <c r="T195" s="3">
        <v>6547.33</v>
      </c>
      <c r="U195" s="3">
        <v>2803.42</v>
      </c>
      <c r="V195" s="6">
        <f>VLOOKUP(A195,[2]韩国KOSPI指数历史数据!$A:$B,2,)</f>
        <v>1955.31</v>
      </c>
      <c r="W195" s="6">
        <f>VLOOKUP(A195,[3]日经225指数历史数据!$A:$B,2,)</f>
        <v>13860.81</v>
      </c>
      <c r="X195" s="3">
        <v>1179.73</v>
      </c>
      <c r="Y195" s="6">
        <f>VLOOKUP(A195,[4]上证指数历史数据!$A:$B,2,)</f>
        <v>2139.9899999999998</v>
      </c>
      <c r="Z195" s="6">
        <f>VLOOKUP(A195,[5]深证成份指数历史数据!$A:$B,2,)</f>
        <v>8280.33</v>
      </c>
      <c r="AA195" s="6">
        <f>VLOOKUP(A195,[6]台湾加权指数历史数据!$A:$B,2,)</f>
        <v>8164.2</v>
      </c>
      <c r="AB195" s="3">
        <v>22621.22</v>
      </c>
      <c r="AC195" s="3">
        <v>3048.35</v>
      </c>
      <c r="AD195">
        <v>5680.4</v>
      </c>
      <c r="AE195" s="5">
        <f>VLOOKUP(A195,[7]越南VN30指数历史数据!$A:$B,2,)</f>
        <v>534.79999999999995</v>
      </c>
      <c r="AF195">
        <v>38422.11</v>
      </c>
      <c r="AG195" s="9">
        <v>7480.03</v>
      </c>
      <c r="AH195">
        <v>8473.2000000000007</v>
      </c>
      <c r="AI195">
        <v>1697.67</v>
      </c>
      <c r="AJ195">
        <v>1616.86</v>
      </c>
    </row>
    <row r="196" spans="1:36" x14ac:dyDescent="0.3">
      <c r="A196" s="2">
        <v>41525</v>
      </c>
      <c r="B196" s="3">
        <v>4494.93</v>
      </c>
      <c r="C196" s="4">
        <v>53798</v>
      </c>
      <c r="D196" s="3">
        <v>5219.6000000000004</v>
      </c>
      <c r="E196" s="3">
        <v>15376.06</v>
      </c>
      <c r="F196" s="3">
        <v>12723.4</v>
      </c>
      <c r="G196" s="3">
        <v>1053.98</v>
      </c>
      <c r="H196" s="3">
        <v>1687.99</v>
      </c>
      <c r="I196" s="3">
        <v>3722.18</v>
      </c>
      <c r="J196" s="3">
        <v>41122.47</v>
      </c>
      <c r="K196" s="3">
        <v>18676.73</v>
      </c>
      <c r="L196" s="3">
        <v>2375.44</v>
      </c>
      <c r="M196" s="3">
        <v>8509.42</v>
      </c>
      <c r="N196" s="6">
        <f>VLOOKUP(A196,'[1]俄罗斯交易系统市值加权指数历史数据 (1)'!$A:$B,2,)</f>
        <v>1396.57</v>
      </c>
      <c r="O196" s="3">
        <v>4114.5</v>
      </c>
      <c r="P196" s="1">
        <v>376.84</v>
      </c>
      <c r="Q196" s="3">
        <v>8038.31</v>
      </c>
      <c r="R196" s="1">
        <v>716.35</v>
      </c>
      <c r="S196" s="3">
        <v>8941.6</v>
      </c>
      <c r="T196" s="3">
        <v>6583.8</v>
      </c>
      <c r="U196" s="3">
        <v>2867.11</v>
      </c>
      <c r="V196" s="6">
        <f>VLOOKUP(A196,[2]韩国KOSPI指数历史数据!$A:$B,2,)</f>
        <v>1994.32</v>
      </c>
      <c r="W196" s="6">
        <f>VLOOKUP(A196,[3]日经225指数历史数据!$A:$B,2,)</f>
        <v>14404.67</v>
      </c>
      <c r="X196" s="3">
        <v>1202.81</v>
      </c>
      <c r="Y196" s="6">
        <f>VLOOKUP(A196,[4]上证指数历史数据!$A:$B,2,)</f>
        <v>2236.2199999999998</v>
      </c>
      <c r="Z196" s="6">
        <f>VLOOKUP(A196,[5]深证成份指数历史数据!$A:$B,2,)</f>
        <v>8687.5400000000009</v>
      </c>
      <c r="AA196" s="6">
        <f>VLOOKUP(A196,[6]台湾加权指数历史数据!$A:$B,2,)</f>
        <v>8142.48</v>
      </c>
      <c r="AB196" s="3">
        <v>22915.279999999999</v>
      </c>
      <c r="AC196" s="3">
        <v>3120.3</v>
      </c>
      <c r="AD196">
        <v>5850.6</v>
      </c>
      <c r="AE196" s="5">
        <f>VLOOKUP(A196,[7]越南VN30指数历史数据!$A:$B,2,)</f>
        <v>531.21</v>
      </c>
      <c r="AF196">
        <v>39071.51</v>
      </c>
      <c r="AG196" s="9">
        <v>7933.06</v>
      </c>
      <c r="AH196">
        <v>8463.5</v>
      </c>
      <c r="AI196">
        <v>1686.44</v>
      </c>
      <c r="AJ196">
        <v>1613.9</v>
      </c>
    </row>
    <row r="197" spans="1:36" x14ac:dyDescent="0.3">
      <c r="A197" s="2">
        <v>41532</v>
      </c>
      <c r="B197" s="3">
        <v>4754.93</v>
      </c>
      <c r="C197" s="4">
        <v>54110</v>
      </c>
      <c r="D197" s="3">
        <v>5276.7</v>
      </c>
      <c r="E197" s="3">
        <v>15451.09</v>
      </c>
      <c r="F197" s="3">
        <v>12806.47</v>
      </c>
      <c r="G197" s="3">
        <v>1072.83</v>
      </c>
      <c r="H197" s="3">
        <v>1709.91</v>
      </c>
      <c r="I197" s="3">
        <v>3774.73</v>
      </c>
      <c r="J197" s="3">
        <v>41225.980000000003</v>
      </c>
      <c r="K197" s="3">
        <v>18809.57</v>
      </c>
      <c r="L197" s="3">
        <v>2408.16</v>
      </c>
      <c r="M197" s="3">
        <v>8675.73</v>
      </c>
      <c r="N197" s="6">
        <f>VLOOKUP(A197,'[1]俄罗斯交易系统市值加权指数历史数据 (1)'!$A:$B,2,)</f>
        <v>1462.92</v>
      </c>
      <c r="O197" s="3">
        <v>4203.66</v>
      </c>
      <c r="P197" s="1">
        <v>382.07</v>
      </c>
      <c r="Q197" s="3">
        <v>8105.39</v>
      </c>
      <c r="R197" s="1">
        <v>778.63</v>
      </c>
      <c r="S197" s="3">
        <v>9171.7999999999993</v>
      </c>
      <c r="T197" s="3">
        <v>6596.43</v>
      </c>
      <c r="U197" s="3">
        <v>2927.19</v>
      </c>
      <c r="V197" s="6">
        <f>VLOOKUP(A197,[2]韩国KOSPI指数历史数据!$A:$B,2,)</f>
        <v>2005.58</v>
      </c>
      <c r="W197" s="6">
        <f>VLOOKUP(A197,[3]日经225指数历史数据!$A:$B,2,)</f>
        <v>14742.42</v>
      </c>
      <c r="X197" s="3">
        <v>1240.08</v>
      </c>
      <c r="Y197" s="6">
        <f>VLOOKUP(A197,[4]上证指数历史数据!$A:$B,2,)</f>
        <v>2191.85</v>
      </c>
      <c r="Z197" s="6">
        <f>VLOOKUP(A197,[5]深证成份指数历史数据!$A:$B,2,)</f>
        <v>8480.74</v>
      </c>
      <c r="AA197" s="6">
        <f>VLOOKUP(A197,[6]台湾加权指数历史数据!$A:$B,2,)</f>
        <v>8209.18</v>
      </c>
      <c r="AB197" s="3">
        <v>23502.51</v>
      </c>
      <c r="AC197" s="3">
        <v>3237.53</v>
      </c>
      <c r="AD197">
        <v>6012.1</v>
      </c>
      <c r="AE197" s="5">
        <f>VLOOKUP(A197,[7]越南VN30指数历史数据!$A:$B,2,)</f>
        <v>537.57000000000005</v>
      </c>
      <c r="AF197">
        <v>39542.400000000001</v>
      </c>
      <c r="AG197" s="9">
        <v>8010.64</v>
      </c>
      <c r="AH197">
        <v>8420.8700000000008</v>
      </c>
      <c r="AI197">
        <v>1690.36</v>
      </c>
      <c r="AJ197">
        <v>1611.85</v>
      </c>
    </row>
    <row r="198" spans="1:36" x14ac:dyDescent="0.3">
      <c r="A198" s="2">
        <v>41539</v>
      </c>
      <c r="B198" s="3">
        <v>4730.1400000000003</v>
      </c>
      <c r="C198" s="4">
        <v>53739</v>
      </c>
      <c r="D198" s="3">
        <v>5307.1</v>
      </c>
      <c r="E198" s="3">
        <v>15258.24</v>
      </c>
      <c r="F198" s="3">
        <v>12844.08</v>
      </c>
      <c r="G198" s="3">
        <v>1074.19</v>
      </c>
      <c r="H198" s="3">
        <v>1691.75</v>
      </c>
      <c r="I198" s="3">
        <v>3781.59</v>
      </c>
      <c r="J198" s="3">
        <v>40903.65</v>
      </c>
      <c r="K198" s="3">
        <v>19028.29</v>
      </c>
      <c r="L198" s="3">
        <v>2422.46</v>
      </c>
      <c r="M198" s="3">
        <v>8661.51</v>
      </c>
      <c r="N198" s="6">
        <f>VLOOKUP(A198,'[1]俄罗斯交易系统市值加权指数历史数据 (1)'!$A:$B,2,)</f>
        <v>1432.87</v>
      </c>
      <c r="O198" s="3">
        <v>4186.7700000000004</v>
      </c>
      <c r="P198" s="1">
        <v>375.77</v>
      </c>
      <c r="Q198" s="3">
        <v>8055</v>
      </c>
      <c r="R198" s="1">
        <v>747.72</v>
      </c>
      <c r="S198" s="3">
        <v>9228.4</v>
      </c>
      <c r="T198" s="3">
        <v>6512.66</v>
      </c>
      <c r="U198" s="3">
        <v>2919.34</v>
      </c>
      <c r="V198" s="6">
        <f>VLOOKUP(A198,[2]韩国KOSPI指数历史数据!$A:$B,2,)</f>
        <v>2011.8</v>
      </c>
      <c r="W198" s="6">
        <f>VLOOKUP(A198,[3]日经225指数历史数据!$A:$B,2,)</f>
        <v>14760.07</v>
      </c>
      <c r="X198" s="3">
        <v>1256.3599999999999</v>
      </c>
      <c r="Y198" s="6">
        <f>VLOOKUP(A198,[4]上证指数历史数据!$A:$B,2,)</f>
        <v>2160.0300000000002</v>
      </c>
      <c r="Z198" s="6">
        <f>VLOOKUP(A198,[5]深证成份指数历史数据!$A:$B,2,)</f>
        <v>8472.2900000000009</v>
      </c>
      <c r="AA198" s="6">
        <f>VLOOKUP(A198,[6]台湾加权指数历史数据!$A:$B,2,)</f>
        <v>8230.68</v>
      </c>
      <c r="AB198" s="3">
        <v>23207.040000000001</v>
      </c>
      <c r="AC198" s="3">
        <v>3210.18</v>
      </c>
      <c r="AD198">
        <v>5833.2</v>
      </c>
      <c r="AE198" s="5">
        <f>VLOOKUP(A198,[7]越南VN30指数历史数据!$A:$B,2,)</f>
        <v>545.49</v>
      </c>
      <c r="AF198">
        <v>39774.18</v>
      </c>
      <c r="AG198" s="9">
        <v>8269.23</v>
      </c>
      <c r="AH198">
        <v>8680.7000000000007</v>
      </c>
      <c r="AI198">
        <v>1708.54</v>
      </c>
      <c r="AJ198">
        <v>1653.32</v>
      </c>
    </row>
    <row r="199" spans="1:36" x14ac:dyDescent="0.3">
      <c r="A199" s="2">
        <v>41546</v>
      </c>
      <c r="B199" s="3">
        <v>4855.47</v>
      </c>
      <c r="C199" s="4">
        <v>52849</v>
      </c>
      <c r="D199" s="3">
        <v>5208</v>
      </c>
      <c r="E199" s="3">
        <v>15072.58</v>
      </c>
      <c r="F199" s="3">
        <v>12758.65</v>
      </c>
      <c r="G199" s="3">
        <v>1078.25</v>
      </c>
      <c r="H199" s="3">
        <v>1690.5</v>
      </c>
      <c r="I199" s="3">
        <v>3807.75</v>
      </c>
      <c r="J199" s="3">
        <v>40909.54</v>
      </c>
      <c r="K199" s="3">
        <v>18876.060000000001</v>
      </c>
      <c r="L199" s="3">
        <v>2394.59</v>
      </c>
      <c r="M199" s="3">
        <v>8622.9699999999993</v>
      </c>
      <c r="N199" s="6">
        <f>VLOOKUP(A199,'[1]俄罗斯交易系统市值加权指数历史数据 (1)'!$A:$B,2,)</f>
        <v>1443.15</v>
      </c>
      <c r="O199" s="3">
        <v>4164.25</v>
      </c>
      <c r="P199" s="1">
        <v>376.03</v>
      </c>
      <c r="Q199" s="3">
        <v>7943.71</v>
      </c>
      <c r="R199" s="1">
        <v>762.07</v>
      </c>
      <c r="S199" s="3">
        <v>9420.9</v>
      </c>
      <c r="T199" s="3">
        <v>6453.88</v>
      </c>
      <c r="U199" s="3">
        <v>2928.31</v>
      </c>
      <c r="V199" s="6">
        <f>VLOOKUP(A199,[2]韩国KOSPI指数历史数据!$A:$B,2,)</f>
        <v>1996.98</v>
      </c>
      <c r="W199" s="6">
        <f>VLOOKUP(A199,[3]日经225指数历史数据!$A:$B,2,)</f>
        <v>14024.31</v>
      </c>
      <c r="X199" s="3">
        <v>1257.6400000000001</v>
      </c>
      <c r="Y199" s="6">
        <f>VLOOKUP(A199,[4]上证指数历史数据!$A:$B,2,)</f>
        <v>2174.66</v>
      </c>
      <c r="Z199" s="6">
        <f>VLOOKUP(A199,[5]深证成份指数历史数据!$A:$B,2,)</f>
        <v>8514.57</v>
      </c>
      <c r="AA199" s="6">
        <f>VLOOKUP(A199,[6]台湾加权指数历史数据!$A:$B,2,)</f>
        <v>8364.5499999999993</v>
      </c>
      <c r="AB199" s="3">
        <v>23138.54</v>
      </c>
      <c r="AC199" s="3">
        <v>3138.08</v>
      </c>
      <c r="AD199">
        <v>5907.3</v>
      </c>
      <c r="AE199" s="5">
        <f>VLOOKUP(A199,[7]越南VN30指数历史数据!$A:$B,2,)</f>
        <v>552.07000000000005</v>
      </c>
      <c r="AF199">
        <v>39285.17</v>
      </c>
      <c r="AG199" s="9">
        <v>8290.7000000000007</v>
      </c>
      <c r="AH199">
        <v>8714.66</v>
      </c>
      <c r="AI199">
        <v>1732.87</v>
      </c>
      <c r="AJ199">
        <v>1714.91</v>
      </c>
    </row>
    <row r="200" spans="1:36" x14ac:dyDescent="0.3">
      <c r="A200" s="2">
        <v>41553</v>
      </c>
      <c r="B200" s="3">
        <v>5241.88</v>
      </c>
      <c r="C200" s="4">
        <v>53150</v>
      </c>
      <c r="D200" s="3">
        <v>5230.8999999999996</v>
      </c>
      <c r="E200" s="3">
        <v>15237.11</v>
      </c>
      <c r="F200" s="3">
        <v>12892.11</v>
      </c>
      <c r="G200" s="3">
        <v>1084.31</v>
      </c>
      <c r="H200" s="3">
        <v>1703.2</v>
      </c>
      <c r="I200" s="3">
        <v>3791.87</v>
      </c>
      <c r="J200" s="3">
        <v>40975.370000000003</v>
      </c>
      <c r="K200" s="3">
        <v>18876.650000000001</v>
      </c>
      <c r="L200" s="3">
        <v>2489.64</v>
      </c>
      <c r="M200" s="3">
        <v>8724.83</v>
      </c>
      <c r="N200" s="6">
        <f>VLOOKUP(A200,'[1]俄罗斯交易系统市值加权指数历史数据 (1)'!$A:$B,2,)</f>
        <v>1477</v>
      </c>
      <c r="O200" s="3">
        <v>4219.9799999999996</v>
      </c>
      <c r="P200" s="1">
        <v>376.11</v>
      </c>
      <c r="Q200" s="3">
        <v>7936.08</v>
      </c>
      <c r="R200" s="1">
        <v>761.76</v>
      </c>
      <c r="S200" s="3">
        <v>9668.5</v>
      </c>
      <c r="T200" s="3">
        <v>6487.19</v>
      </c>
      <c r="U200" s="3">
        <v>2974.28</v>
      </c>
      <c r="V200" s="6">
        <f>VLOOKUP(A200,[2]韩国KOSPI指数历史数据!$A:$B,2,)</f>
        <v>2024.9</v>
      </c>
      <c r="W200" s="6">
        <f>VLOOKUP(A200,[3]日经225指数历史数据!$A:$B,2,)</f>
        <v>14404.74</v>
      </c>
      <c r="X200" s="3">
        <v>1292.75</v>
      </c>
      <c r="Y200" s="6">
        <f>VLOOKUP(A200,[4]上证指数历史数据!$A:$B,2,)</f>
        <v>2228.15</v>
      </c>
      <c r="Z200" s="6">
        <f>VLOOKUP(A200,[5]深证成份指数历史数据!$A:$B,2,)</f>
        <v>8737.9699999999993</v>
      </c>
      <c r="AA200" s="6">
        <f>VLOOKUP(A200,[6]台湾加权指数历史数据!$A:$B,2,)</f>
        <v>8349.3700000000008</v>
      </c>
      <c r="AB200" s="3">
        <v>23218.32</v>
      </c>
      <c r="AC200" s="3">
        <v>3179.71</v>
      </c>
      <c r="AD200">
        <v>6096.2</v>
      </c>
      <c r="AE200" s="5">
        <f>VLOOKUP(A200,[7]越南VN30指数历史数据!$A:$B,2,)</f>
        <v>552.16</v>
      </c>
      <c r="AF200">
        <v>38903.51</v>
      </c>
      <c r="AG200" s="9">
        <v>8624.91</v>
      </c>
      <c r="AH200">
        <v>8835.01</v>
      </c>
      <c r="AI200">
        <v>1735.8</v>
      </c>
      <c r="AJ200">
        <v>1768.43</v>
      </c>
    </row>
    <row r="201" spans="1:36" x14ac:dyDescent="0.3">
      <c r="A201" s="2">
        <v>41560</v>
      </c>
      <c r="B201" s="3">
        <v>5465.85</v>
      </c>
      <c r="C201" s="4">
        <v>55378</v>
      </c>
      <c r="D201" s="3">
        <v>5321.5</v>
      </c>
      <c r="E201" s="3">
        <v>15399.65</v>
      </c>
      <c r="F201" s="3">
        <v>13136.09</v>
      </c>
      <c r="G201" s="3">
        <v>1114.77</v>
      </c>
      <c r="H201" s="3">
        <v>1744.5</v>
      </c>
      <c r="I201" s="3">
        <v>3914.28</v>
      </c>
      <c r="J201" s="3">
        <v>40412.69</v>
      </c>
      <c r="K201" s="3">
        <v>18961.66</v>
      </c>
      <c r="L201" s="3">
        <v>2485.13</v>
      </c>
      <c r="M201" s="3">
        <v>8865.1</v>
      </c>
      <c r="N201" s="6">
        <f>VLOOKUP(A201,'[1]俄罗斯交易系统市值加权指数历史数据 (1)'!$A:$B,2,)</f>
        <v>1516.62</v>
      </c>
      <c r="O201" s="3">
        <v>4286.03</v>
      </c>
      <c r="P201" s="1">
        <v>385.73</v>
      </c>
      <c r="Q201" s="3">
        <v>8084.65</v>
      </c>
      <c r="R201" s="1">
        <v>762.35</v>
      </c>
      <c r="S201" s="3">
        <v>10001.799999999999</v>
      </c>
      <c r="T201" s="3">
        <v>6622.58</v>
      </c>
      <c r="U201" s="3">
        <v>3033.31</v>
      </c>
      <c r="V201" s="6">
        <f>VLOOKUP(A201,[2]韩国KOSPI指数历史数据!$A:$B,2,)</f>
        <v>2052.4</v>
      </c>
      <c r="W201" s="6">
        <f>VLOOKUP(A201,[3]日经225指数历史数据!$A:$B,2,)</f>
        <v>14561.54</v>
      </c>
      <c r="X201" s="3">
        <v>1296.6500000000001</v>
      </c>
      <c r="Y201" s="6">
        <f>VLOOKUP(A201,[4]上证指数历史数据!$A:$B,2,)</f>
        <v>2193.7800000000002</v>
      </c>
      <c r="Z201" s="6">
        <f>VLOOKUP(A201,[5]深证成份指数历史数据!$A:$B,2,)</f>
        <v>8584.8700000000008</v>
      </c>
      <c r="AA201" s="6">
        <f>VLOOKUP(A201,[6]台湾加权指数历史数据!$A:$B,2,)</f>
        <v>8441.19</v>
      </c>
      <c r="AB201" s="3">
        <v>23340.1</v>
      </c>
      <c r="AC201" s="3">
        <v>3192.9</v>
      </c>
      <c r="AD201">
        <v>6189.35</v>
      </c>
      <c r="AE201" s="5">
        <f>VLOOKUP(A201,[7]越南VN30指数历史数据!$A:$B,2,)</f>
        <v>559.38</v>
      </c>
      <c r="AF201">
        <v>39894.47</v>
      </c>
      <c r="AG201" s="9">
        <v>8701.94</v>
      </c>
      <c r="AH201">
        <v>8881.61</v>
      </c>
      <c r="AI201">
        <v>1757.14</v>
      </c>
      <c r="AJ201">
        <v>1733.74</v>
      </c>
    </row>
    <row r="202" spans="1:36" x14ac:dyDescent="0.3">
      <c r="A202" s="2">
        <v>41567</v>
      </c>
      <c r="B202" s="3">
        <v>5526.29</v>
      </c>
      <c r="C202" s="4">
        <v>54154</v>
      </c>
      <c r="D202" s="3">
        <v>5386.3</v>
      </c>
      <c r="E202" s="3">
        <v>15570.28</v>
      </c>
      <c r="F202" s="3">
        <v>13399.42</v>
      </c>
      <c r="G202" s="3">
        <v>1118.3399999999999</v>
      </c>
      <c r="H202" s="3">
        <v>1759.77</v>
      </c>
      <c r="I202" s="3">
        <v>3943.36</v>
      </c>
      <c r="J202" s="3">
        <v>40671.61</v>
      </c>
      <c r="K202" s="3">
        <v>19102.57</v>
      </c>
      <c r="L202" s="3">
        <v>2537.62</v>
      </c>
      <c r="M202" s="3">
        <v>8985.74</v>
      </c>
      <c r="N202" s="6">
        <f>VLOOKUP(A202,'[1]俄罗斯交易系统市值加权指数历史数据 (1)'!$A:$B,2,)</f>
        <v>1492.2</v>
      </c>
      <c r="O202" s="3">
        <v>4272.3100000000004</v>
      </c>
      <c r="P202" s="1">
        <v>389.19</v>
      </c>
      <c r="Q202" s="3">
        <v>8249.31</v>
      </c>
      <c r="R202" s="1">
        <v>792.72</v>
      </c>
      <c r="S202" s="3">
        <v>9815.5</v>
      </c>
      <c r="T202" s="3">
        <v>6721.34</v>
      </c>
      <c r="U202" s="3">
        <v>3034.5</v>
      </c>
      <c r="V202" s="6">
        <f>VLOOKUP(A202,[2]韩国KOSPI指数历史数据!$A:$B,2,)</f>
        <v>2034.39</v>
      </c>
      <c r="W202" s="6">
        <f>VLOOKUP(A202,[3]日经225指数历史数据!$A:$B,2,)</f>
        <v>14088.19</v>
      </c>
      <c r="X202" s="3">
        <v>1286.3599999999999</v>
      </c>
      <c r="Y202" s="6">
        <f>VLOOKUP(A202,[4]上证指数历史数据!$A:$B,2,)</f>
        <v>2132.96</v>
      </c>
      <c r="Z202" s="6">
        <f>VLOOKUP(A202,[5]深证成份指数历史数据!$A:$B,2,)</f>
        <v>8379.61</v>
      </c>
      <c r="AA202" s="6">
        <f>VLOOKUP(A202,[6]台湾加权指数历史数据!$A:$B,2,)</f>
        <v>8346.6200000000008</v>
      </c>
      <c r="AB202" s="3">
        <v>22698.34</v>
      </c>
      <c r="AC202" s="3">
        <v>3205.24</v>
      </c>
      <c r="AD202">
        <v>6144.9</v>
      </c>
      <c r="AE202" s="5">
        <f>VLOOKUP(A202,[7]越南VN30指数历史数据!$A:$B,2,)</f>
        <v>560.57000000000005</v>
      </c>
      <c r="AF202">
        <v>40314.879999999997</v>
      </c>
      <c r="AG202" s="9">
        <v>8958.81</v>
      </c>
      <c r="AH202">
        <v>9222.2999999999993</v>
      </c>
      <c r="AI202">
        <v>1752.74</v>
      </c>
      <c r="AJ202">
        <v>1809.04</v>
      </c>
    </row>
    <row r="203" spans="1:36" x14ac:dyDescent="0.3">
      <c r="A203" s="2">
        <v>41574</v>
      </c>
      <c r="B203" s="3">
        <v>5094.67</v>
      </c>
      <c r="C203" s="4">
        <v>54013</v>
      </c>
      <c r="D203" s="3">
        <v>5411.1</v>
      </c>
      <c r="E203" s="3">
        <v>15615.55</v>
      </c>
      <c r="F203" s="3">
        <v>13337.46</v>
      </c>
      <c r="G203" s="3">
        <v>1095.67</v>
      </c>
      <c r="H203" s="3">
        <v>1761.64</v>
      </c>
      <c r="I203" s="3">
        <v>3922.04</v>
      </c>
      <c r="J203" s="3">
        <v>41079.61</v>
      </c>
      <c r="K203" s="3">
        <v>19242.04</v>
      </c>
      <c r="L203" s="3">
        <v>2528.9699999999998</v>
      </c>
      <c r="M203" s="3">
        <v>9007.83</v>
      </c>
      <c r="N203" s="6">
        <f>VLOOKUP(A203,'[1]俄罗斯交易系统市值加权指数历史数据 (1)'!$A:$B,2,)</f>
        <v>1475.18</v>
      </c>
      <c r="O203" s="3">
        <v>4273.1899999999996</v>
      </c>
      <c r="P203" s="1">
        <v>391.2</v>
      </c>
      <c r="Q203" s="3">
        <v>8221.7999999999993</v>
      </c>
      <c r="R203" s="1">
        <v>765.01</v>
      </c>
      <c r="S203" s="3">
        <v>9838.2999999999993</v>
      </c>
      <c r="T203" s="3">
        <v>6734.74</v>
      </c>
      <c r="U203" s="3">
        <v>3052.14</v>
      </c>
      <c r="V203" s="6">
        <f>VLOOKUP(A203,[2]韩国KOSPI指数历史数据!$A:$B,2,)</f>
        <v>2039.42</v>
      </c>
      <c r="W203" s="6">
        <f>VLOOKUP(A203,[3]日经225指数历史数据!$A:$B,2,)</f>
        <v>14201.57</v>
      </c>
      <c r="X203" s="3">
        <v>1288.19</v>
      </c>
      <c r="Y203" s="6">
        <f>VLOOKUP(A203,[4]上证指数历史数据!$A:$B,2,)</f>
        <v>2149.56</v>
      </c>
      <c r="Z203" s="6">
        <f>VLOOKUP(A203,[5]深证成份指数历史数据!$A:$B,2,)</f>
        <v>8451.7199999999993</v>
      </c>
      <c r="AA203" s="6">
        <f>VLOOKUP(A203,[6]台湾加权指数历史数据!$A:$B,2,)</f>
        <v>8388.18</v>
      </c>
      <c r="AB203" s="3">
        <v>23249.79</v>
      </c>
      <c r="AC203" s="3">
        <v>3201.2</v>
      </c>
      <c r="AD203">
        <v>6307.2</v>
      </c>
      <c r="AE203" s="5">
        <f>VLOOKUP(A203,[7]越南VN30指数历史数据!$A:$B,2,)</f>
        <v>554.73</v>
      </c>
      <c r="AF203">
        <v>40729.18</v>
      </c>
      <c r="AG203" s="9">
        <v>8944.26</v>
      </c>
      <c r="AH203">
        <v>9322.1</v>
      </c>
      <c r="AI203">
        <v>1770.99</v>
      </c>
      <c r="AJ203">
        <v>1841.92</v>
      </c>
    </row>
    <row r="204" spans="1:36" x14ac:dyDescent="0.3">
      <c r="A204" s="2">
        <v>41581</v>
      </c>
      <c r="B204" s="3">
        <v>5294.18</v>
      </c>
      <c r="C204" s="4">
        <v>52249</v>
      </c>
      <c r="D204" s="3">
        <v>5400.7</v>
      </c>
      <c r="E204" s="3">
        <v>15761.78</v>
      </c>
      <c r="F204" s="3">
        <v>13378.33</v>
      </c>
      <c r="G204" s="3">
        <v>1099.97</v>
      </c>
      <c r="H204" s="3">
        <v>1770.61</v>
      </c>
      <c r="I204" s="3">
        <v>3919.23</v>
      </c>
      <c r="J204" s="3">
        <v>39864.160000000003</v>
      </c>
      <c r="K204" s="3">
        <v>18928.25</v>
      </c>
      <c r="L204" s="3">
        <v>2509.11</v>
      </c>
      <c r="M204" s="3">
        <v>9078.2800000000007</v>
      </c>
      <c r="N204" s="6">
        <f>VLOOKUP(A204,'[1]俄罗斯交易系统市值加权指数历史数据 (1)'!$A:$B,2,)</f>
        <v>1435.12</v>
      </c>
      <c r="O204" s="3">
        <v>4260.4399999999996</v>
      </c>
      <c r="P204" s="1">
        <v>394.07</v>
      </c>
      <c r="Q204" s="3">
        <v>8240.92</v>
      </c>
      <c r="R204" s="1">
        <v>739.18</v>
      </c>
      <c r="S204" s="3">
        <v>9747.2000000000007</v>
      </c>
      <c r="T204" s="3">
        <v>6708.42</v>
      </c>
      <c r="U204" s="3">
        <v>3034.91</v>
      </c>
      <c r="V204" s="6">
        <f>VLOOKUP(A204,[2]韩国KOSPI指数历史数据!$A:$B,2,)</f>
        <v>1984.87</v>
      </c>
      <c r="W204" s="6">
        <f>VLOOKUP(A204,[3]日经225指数历史数据!$A:$B,2,)</f>
        <v>14086.8</v>
      </c>
      <c r="X204" s="3">
        <v>1310.46</v>
      </c>
      <c r="Y204" s="6">
        <f>VLOOKUP(A204,[4]上证指数历史数据!$A:$B,2,)</f>
        <v>2106.13</v>
      </c>
      <c r="Z204" s="6">
        <f>VLOOKUP(A204,[5]深证成份指数历史数据!$A:$B,2,)</f>
        <v>8155.4</v>
      </c>
      <c r="AA204" s="6">
        <f>VLOOKUP(A204,[6]台湾加权指数历史数据!$A:$B,2,)</f>
        <v>8229.59</v>
      </c>
      <c r="AB204" s="3">
        <v>22744.39</v>
      </c>
      <c r="AC204" s="3">
        <v>3177.25</v>
      </c>
      <c r="AD204">
        <v>6140.75</v>
      </c>
      <c r="AE204" s="5">
        <f>VLOOKUP(A204,[7]越南VN30指数历史数据!$A:$B,2,)</f>
        <v>556.78</v>
      </c>
      <c r="AF204">
        <v>40698.57</v>
      </c>
      <c r="AG204" s="9">
        <v>9273.1</v>
      </c>
      <c r="AH204">
        <v>9295.56</v>
      </c>
      <c r="AI204">
        <v>1774.07</v>
      </c>
      <c r="AJ204">
        <v>1870.52</v>
      </c>
    </row>
    <row r="205" spans="1:36" x14ac:dyDescent="0.3">
      <c r="A205" s="2">
        <v>41588</v>
      </c>
      <c r="B205" s="3">
        <v>5572.33</v>
      </c>
      <c r="C205" s="4">
        <v>53452</v>
      </c>
      <c r="D205" s="3">
        <v>5401.7</v>
      </c>
      <c r="E205" s="3">
        <v>15961.7</v>
      </c>
      <c r="F205" s="3">
        <v>13482.57</v>
      </c>
      <c r="G205" s="3">
        <v>1116.2</v>
      </c>
      <c r="H205" s="3">
        <v>1798.18</v>
      </c>
      <c r="I205" s="3">
        <v>3985.97</v>
      </c>
      <c r="J205" s="3">
        <v>41034.11</v>
      </c>
      <c r="K205" s="3">
        <v>18703.04</v>
      </c>
      <c r="L205" s="3">
        <v>2547.0100000000002</v>
      </c>
      <c r="M205" s="3">
        <v>9168.69</v>
      </c>
      <c r="N205" s="6">
        <f>VLOOKUP(A205,'[1]俄罗斯交易系统市值加权指数历史数据 (1)'!$A:$B,2,)</f>
        <v>1444.24</v>
      </c>
      <c r="O205" s="3">
        <v>4292.2299999999996</v>
      </c>
      <c r="P205" s="1">
        <v>395.34</v>
      </c>
      <c r="Q205" s="3">
        <v>8327.31</v>
      </c>
      <c r="R205" s="1">
        <v>742.73</v>
      </c>
      <c r="S205" s="3">
        <v>9695.9</v>
      </c>
      <c r="T205" s="3">
        <v>6693.44</v>
      </c>
      <c r="U205" s="3">
        <v>3054.53</v>
      </c>
      <c r="V205" s="6">
        <f>VLOOKUP(A205,[2]韩国KOSPI指数历史数据!$A:$B,2,)</f>
        <v>2005.64</v>
      </c>
      <c r="W205" s="6">
        <f>VLOOKUP(A205,[3]日经225指数历史数据!$A:$B,2,)</f>
        <v>15165.92</v>
      </c>
      <c r="X205" s="3">
        <v>1315.86</v>
      </c>
      <c r="Y205" s="6">
        <f>VLOOKUP(A205,[4]上证指数历史数据!$A:$B,2,)</f>
        <v>2135.83</v>
      </c>
      <c r="Z205" s="6">
        <f>VLOOKUP(A205,[5]深证成份指数历史数据!$A:$B,2,)</f>
        <v>8305.91</v>
      </c>
      <c r="AA205" s="6">
        <f>VLOOKUP(A205,[6]台湾加权指数历史数据!$A:$B,2,)</f>
        <v>8177.12</v>
      </c>
      <c r="AB205" s="3">
        <v>23032.15</v>
      </c>
      <c r="AC205" s="3">
        <v>3201.27</v>
      </c>
      <c r="AD205">
        <v>6056.15</v>
      </c>
      <c r="AE205" s="5">
        <f>VLOOKUP(A205,[7]越南VN30指数历史数据!$A:$B,2,)</f>
        <v>559.75</v>
      </c>
      <c r="AF205">
        <v>40394.379999999997</v>
      </c>
      <c r="AG205" s="9">
        <v>8985.0400000000009</v>
      </c>
      <c r="AH205">
        <v>9249.18</v>
      </c>
      <c r="AI205">
        <v>1755.68</v>
      </c>
      <c r="AJ205">
        <v>1834.86</v>
      </c>
    </row>
    <row r="206" spans="1:36" x14ac:dyDescent="0.3">
      <c r="A206" s="2">
        <v>41595</v>
      </c>
      <c r="B206" s="3">
        <v>5529.54</v>
      </c>
      <c r="C206" s="4">
        <v>52801</v>
      </c>
      <c r="D206" s="3">
        <v>5335.9</v>
      </c>
      <c r="E206" s="3">
        <v>16064.77</v>
      </c>
      <c r="F206" s="3">
        <v>13478.34</v>
      </c>
      <c r="G206" s="3">
        <v>1124.92</v>
      </c>
      <c r="H206" s="3">
        <v>1804.76</v>
      </c>
      <c r="I206" s="3">
        <v>3991.65</v>
      </c>
      <c r="J206" s="3">
        <v>41199.019999999997</v>
      </c>
      <c r="K206" s="3">
        <v>18425.46</v>
      </c>
      <c r="L206" s="3">
        <v>2590.48</v>
      </c>
      <c r="M206" s="3">
        <v>9219.0400000000009</v>
      </c>
      <c r="N206" s="6">
        <f>VLOOKUP(A206,'[1]俄罗斯交易系统市值加权指数历史数据 (1)'!$A:$B,2,)</f>
        <v>1444.91</v>
      </c>
      <c r="O206" s="3">
        <v>4278.53</v>
      </c>
      <c r="P206" s="1">
        <v>395.8</v>
      </c>
      <c r="Q206" s="3">
        <v>8250.43</v>
      </c>
      <c r="R206" s="1">
        <v>756.38</v>
      </c>
      <c r="S206" s="3">
        <v>9677.4</v>
      </c>
      <c r="T206" s="3">
        <v>6674.3</v>
      </c>
      <c r="U206" s="3">
        <v>3055.98</v>
      </c>
      <c r="V206" s="6">
        <f>VLOOKUP(A206,[2]韩国KOSPI指数历史数据!$A:$B,2,)</f>
        <v>2006.23</v>
      </c>
      <c r="W206" s="6">
        <f>VLOOKUP(A206,[3]日经225指数历史数据!$A:$B,2,)</f>
        <v>15381.72</v>
      </c>
      <c r="X206" s="3">
        <v>1344.85</v>
      </c>
      <c r="Y206" s="6">
        <f>VLOOKUP(A206,[4]上证指数历史数据!$A:$B,2,)</f>
        <v>2196.38</v>
      </c>
      <c r="Z206" s="6">
        <f>VLOOKUP(A206,[5]深证成份指数历史数据!$A:$B,2,)</f>
        <v>8413.34</v>
      </c>
      <c r="AA206" s="6">
        <f>VLOOKUP(A206,[6]台湾加权指数历史数据!$A:$B,2,)</f>
        <v>8116.78</v>
      </c>
      <c r="AB206" s="3">
        <v>23696.28</v>
      </c>
      <c r="AC206" s="3">
        <v>3172.85</v>
      </c>
      <c r="AD206">
        <v>5995.45</v>
      </c>
      <c r="AE206" s="5">
        <f>VLOOKUP(A206,[7]越南VN30指数历史数据!$A:$B,2,)</f>
        <v>566.28</v>
      </c>
      <c r="AF206">
        <v>39642.74</v>
      </c>
      <c r="AG206" s="9">
        <v>9335.6</v>
      </c>
      <c r="AH206">
        <v>9159.77</v>
      </c>
      <c r="AI206">
        <v>1805.7</v>
      </c>
      <c r="AJ206">
        <v>1841.12</v>
      </c>
    </row>
    <row r="207" spans="1:36" x14ac:dyDescent="0.3">
      <c r="A207" s="2">
        <v>41602</v>
      </c>
      <c r="B207" s="3">
        <v>5718.68</v>
      </c>
      <c r="C207" s="4">
        <v>52482</v>
      </c>
      <c r="D207" s="3">
        <v>5320.1</v>
      </c>
      <c r="E207" s="3">
        <v>16086.41</v>
      </c>
      <c r="F207" s="3">
        <v>13395.4</v>
      </c>
      <c r="G207" s="3">
        <v>1142.8900000000001</v>
      </c>
      <c r="H207" s="3">
        <v>1805.81</v>
      </c>
      <c r="I207" s="3">
        <v>4059.89</v>
      </c>
      <c r="J207" s="3">
        <v>42499.13</v>
      </c>
      <c r="K207" s="3">
        <v>18599.86</v>
      </c>
      <c r="L207" s="3">
        <v>2584.6799999999998</v>
      </c>
      <c r="M207" s="3">
        <v>9405.2999999999993</v>
      </c>
      <c r="N207" s="6">
        <f>VLOOKUP(A207,'[1]俄罗斯交易系统市值加权指数历史数据 (1)'!$A:$B,2,)</f>
        <v>1402.93</v>
      </c>
      <c r="O207" s="3">
        <v>4295.21</v>
      </c>
      <c r="P207" s="1">
        <v>396.55</v>
      </c>
      <c r="Q207" s="3">
        <v>8264.2000000000007</v>
      </c>
      <c r="R207" s="1">
        <v>757.48</v>
      </c>
      <c r="S207" s="3">
        <v>9837.6</v>
      </c>
      <c r="T207" s="3">
        <v>6650.57</v>
      </c>
      <c r="U207" s="3">
        <v>3086.64</v>
      </c>
      <c r="V207" s="6">
        <f>VLOOKUP(A207,[2]韩国KOSPI指数历史数据!$A:$B,2,)</f>
        <v>2044.87</v>
      </c>
      <c r="W207" s="6">
        <f>VLOOKUP(A207,[3]日经225指数历史数据!$A:$B,2,)</f>
        <v>15661.87</v>
      </c>
      <c r="X207" s="3">
        <v>1358.23</v>
      </c>
      <c r="Y207" s="6">
        <f>VLOOKUP(A207,[4]上证指数历史数据!$A:$B,2,)</f>
        <v>2220.5</v>
      </c>
      <c r="Z207" s="6">
        <f>VLOOKUP(A207,[5]深证成份指数历史数据!$A:$B,2,)</f>
        <v>8542.61</v>
      </c>
      <c r="AA207" s="6">
        <f>VLOOKUP(A207,[6]台湾加权指数历史数据!$A:$B,2,)</f>
        <v>8406.83</v>
      </c>
      <c r="AB207" s="3">
        <v>23881.29</v>
      </c>
      <c r="AC207" s="3">
        <v>3176.35</v>
      </c>
      <c r="AD207">
        <v>6176.1</v>
      </c>
      <c r="AE207" s="5">
        <f>VLOOKUP(A207,[7]越南VN30指数历史数据!$A:$B,2,)</f>
        <v>569.05999999999995</v>
      </c>
      <c r="AF207">
        <v>40169.32</v>
      </c>
      <c r="AG207" s="9">
        <v>8947.64</v>
      </c>
      <c r="AH207">
        <v>9262.49</v>
      </c>
      <c r="AI207">
        <v>1803.47</v>
      </c>
      <c r="AJ207">
        <v>1940.37</v>
      </c>
    </row>
    <row r="208" spans="1:36" x14ac:dyDescent="0.3">
      <c r="A208" s="2">
        <v>41609</v>
      </c>
      <c r="B208" s="3">
        <v>5331.28</v>
      </c>
      <c r="C208" s="4">
        <v>50944</v>
      </c>
      <c r="D208" s="3">
        <v>5186</v>
      </c>
      <c r="E208" s="3">
        <v>16020.2</v>
      </c>
      <c r="F208" s="3">
        <v>13280.72</v>
      </c>
      <c r="G208" s="3">
        <v>1131.3800000000001</v>
      </c>
      <c r="H208" s="3">
        <v>1805.09</v>
      </c>
      <c r="I208" s="3">
        <v>4062.52</v>
      </c>
      <c r="J208" s="3">
        <v>41925.54</v>
      </c>
      <c r="K208" s="3">
        <v>18235.75</v>
      </c>
      <c r="L208" s="3">
        <v>2479.16</v>
      </c>
      <c r="M208" s="3">
        <v>9172.41</v>
      </c>
      <c r="N208" s="6">
        <f>VLOOKUP(A208,'[1]俄罗斯交易系统市值加权指数历史数据 (1)'!$A:$B,2,)</f>
        <v>1390.61</v>
      </c>
      <c r="O208" s="3">
        <v>4129.37</v>
      </c>
      <c r="P208" s="1">
        <v>387.01</v>
      </c>
      <c r="Q208" s="3">
        <v>8066.07</v>
      </c>
      <c r="R208" s="1">
        <v>733.78</v>
      </c>
      <c r="S208" s="3">
        <v>9400.5</v>
      </c>
      <c r="T208" s="3">
        <v>6551.99</v>
      </c>
      <c r="U208" s="3">
        <v>2979.94</v>
      </c>
      <c r="V208" s="6">
        <f>VLOOKUP(A208,[2]韩国KOSPI指数历史数据!$A:$B,2,)</f>
        <v>1980.41</v>
      </c>
      <c r="W208" s="6">
        <f>VLOOKUP(A208,[3]日经225指数历史数据!$A:$B,2,)</f>
        <v>15299.86</v>
      </c>
      <c r="X208" s="3">
        <v>1368.3</v>
      </c>
      <c r="Y208" s="6">
        <f>VLOOKUP(A208,[4]上证指数历史数据!$A:$B,2,)</f>
        <v>2237.11</v>
      </c>
      <c r="Z208" s="6">
        <f>VLOOKUP(A208,[5]深证成份指数历史数据!$A:$B,2,)</f>
        <v>8526.68</v>
      </c>
      <c r="AA208" s="6">
        <f>VLOOKUP(A208,[6]台湾加权指数历史数据!$A:$B,2,)</f>
        <v>8367.7199999999993</v>
      </c>
      <c r="AB208" s="3">
        <v>23743.1</v>
      </c>
      <c r="AC208" s="3">
        <v>3114.17</v>
      </c>
      <c r="AD208">
        <v>6259.9</v>
      </c>
      <c r="AE208" s="5">
        <f>VLOOKUP(A208,[7]越南VN30指数历史数据!$A:$B,2,)</f>
        <v>570.11</v>
      </c>
      <c r="AF208">
        <v>39905.22</v>
      </c>
      <c r="AG208" s="9">
        <v>9124.36</v>
      </c>
      <c r="AH208">
        <v>9240.41</v>
      </c>
      <c r="AI208">
        <v>1787.74</v>
      </c>
      <c r="AJ208">
        <v>1863.34</v>
      </c>
    </row>
    <row r="209" spans="1:36" x14ac:dyDescent="0.3">
      <c r="A209" s="2">
        <v>41616</v>
      </c>
      <c r="B209" s="3">
        <v>5258.27</v>
      </c>
      <c r="C209" s="4">
        <v>50051</v>
      </c>
      <c r="D209" s="3">
        <v>5098.3999999999996</v>
      </c>
      <c r="E209" s="3">
        <v>15755.36</v>
      </c>
      <c r="F209" s="3">
        <v>13125.7</v>
      </c>
      <c r="G209" s="3">
        <v>1107.05</v>
      </c>
      <c r="H209" s="3">
        <v>1775.32</v>
      </c>
      <c r="I209" s="3">
        <v>4000.97</v>
      </c>
      <c r="J209" s="3">
        <v>41884.83</v>
      </c>
      <c r="K209" s="3">
        <v>18071.650000000001</v>
      </c>
      <c r="L209" s="3">
        <v>2429.67</v>
      </c>
      <c r="M209" s="3">
        <v>9006.4599999999991</v>
      </c>
      <c r="N209" s="6">
        <f>VLOOKUP(A209,'[1]俄罗斯交易系统市值加权指数历史数据 (1)'!$A:$B,2,)</f>
        <v>1391.85</v>
      </c>
      <c r="O209" s="3">
        <v>4059.71</v>
      </c>
      <c r="P209" s="1">
        <v>376.86</v>
      </c>
      <c r="Q209" s="3">
        <v>7828.91</v>
      </c>
      <c r="R209" s="1">
        <v>740.65</v>
      </c>
      <c r="S209" s="3">
        <v>9272.7000000000007</v>
      </c>
      <c r="T209" s="3">
        <v>6439.96</v>
      </c>
      <c r="U209" s="3">
        <v>2921.92</v>
      </c>
      <c r="V209" s="6">
        <f>VLOOKUP(A209,[2]韩国KOSPI指数历史数据!$A:$B,2,)</f>
        <v>1962.91</v>
      </c>
      <c r="W209" s="6">
        <f>VLOOKUP(A209,[3]日经225指数历史数据!$A:$B,2,)</f>
        <v>15403.11</v>
      </c>
      <c r="X209" s="3">
        <v>1326.92</v>
      </c>
      <c r="Y209" s="6">
        <f>VLOOKUP(A209,[4]上证指数历史数据!$A:$B,2,)</f>
        <v>2196.0700000000002</v>
      </c>
      <c r="Z209" s="6">
        <f>VLOOKUP(A209,[5]深证成份指数历史数据!$A:$B,2,)</f>
        <v>8429.82</v>
      </c>
      <c r="AA209" s="6">
        <f>VLOOKUP(A209,[6]台湾加权指数历史数据!$A:$B,2,)</f>
        <v>8376.94</v>
      </c>
      <c r="AB209" s="3">
        <v>23245.96</v>
      </c>
      <c r="AC209" s="3">
        <v>3066.02</v>
      </c>
      <c r="AD209">
        <v>6168.4</v>
      </c>
      <c r="AE209" s="5">
        <f>VLOOKUP(A209,[7]越南VN30指数历史数据!$A:$B,2,)</f>
        <v>566.47</v>
      </c>
      <c r="AF209">
        <v>38537.550000000003</v>
      </c>
      <c r="AG209" s="9">
        <v>9508.98</v>
      </c>
      <c r="AH209">
        <v>9315.57</v>
      </c>
      <c r="AI209">
        <v>1789.33</v>
      </c>
      <c r="AJ209">
        <v>1839.27</v>
      </c>
    </row>
    <row r="210" spans="1:36" x14ac:dyDescent="0.3">
      <c r="A210" s="2">
        <v>41623</v>
      </c>
      <c r="B210" s="3">
        <v>5264.78</v>
      </c>
      <c r="C210" s="4">
        <v>51186</v>
      </c>
      <c r="D210" s="3">
        <v>5265.2</v>
      </c>
      <c r="E210" s="3">
        <v>16221.14</v>
      </c>
      <c r="F210" s="3">
        <v>13399.6</v>
      </c>
      <c r="G210" s="3">
        <v>1146.47</v>
      </c>
      <c r="H210" s="3">
        <v>1818.32</v>
      </c>
      <c r="I210" s="3">
        <v>4104.74</v>
      </c>
      <c r="J210" s="3">
        <v>42183.77</v>
      </c>
      <c r="K210" s="3">
        <v>18198.87</v>
      </c>
      <c r="L210" s="3">
        <v>2408.84</v>
      </c>
      <c r="M210" s="3">
        <v>9400.18</v>
      </c>
      <c r="N210" s="6">
        <f>VLOOKUP(A210,'[1]俄罗斯交易系统市值加权指数历史数据 (1)'!$A:$B,2,)</f>
        <v>1429.91</v>
      </c>
      <c r="O210" s="3">
        <v>4193.7700000000004</v>
      </c>
      <c r="P210" s="1">
        <v>391.56</v>
      </c>
      <c r="Q210" s="3">
        <v>8081.35</v>
      </c>
      <c r="R210" s="1">
        <v>695.73</v>
      </c>
      <c r="S210" s="3">
        <v>9689.9</v>
      </c>
      <c r="T210" s="3">
        <v>6606.58</v>
      </c>
      <c r="U210" s="3">
        <v>3049.35</v>
      </c>
      <c r="V210" s="6">
        <f>VLOOKUP(A210,[2]韩国KOSPI指数历史数据!$A:$B,2,)</f>
        <v>1983.35</v>
      </c>
      <c r="W210" s="6">
        <f>VLOOKUP(A210,[3]日经225指数历史数据!$A:$B,2,)</f>
        <v>15870.42</v>
      </c>
      <c r="X210" s="3">
        <v>1323.04</v>
      </c>
      <c r="Y210" s="6">
        <f>VLOOKUP(A210,[4]上证指数历史数据!$A:$B,2,)</f>
        <v>2084.79</v>
      </c>
      <c r="Z210" s="6">
        <f>VLOOKUP(A210,[5]深证成份指数历史数据!$A:$B,2,)</f>
        <v>7966.72</v>
      </c>
      <c r="AA210" s="6">
        <f>VLOOKUP(A210,[6]台湾加权指数历史数据!$A:$B,2,)</f>
        <v>8408.5300000000007</v>
      </c>
      <c r="AB210" s="3">
        <v>22812.18</v>
      </c>
      <c r="AC210" s="3">
        <v>3094.48</v>
      </c>
      <c r="AD210">
        <v>6274.25</v>
      </c>
      <c r="AE210" s="5">
        <f>VLOOKUP(A210,[7]越南VN30指数历史数据!$A:$B,2,)</f>
        <v>560.67999999999995</v>
      </c>
      <c r="AF210">
        <v>39833.69</v>
      </c>
      <c r="AG210" s="9">
        <v>9736.7999999999993</v>
      </c>
      <c r="AH210">
        <v>9279.48</v>
      </c>
      <c r="AI210">
        <v>1814.93</v>
      </c>
      <c r="AJ210">
        <v>1835.17</v>
      </c>
    </row>
    <row r="211" spans="1:36" x14ac:dyDescent="0.3">
      <c r="A211" s="2">
        <v>41630</v>
      </c>
      <c r="B211" s="3">
        <v>5400.16</v>
      </c>
      <c r="C211" s="4">
        <v>51267</v>
      </c>
      <c r="D211" s="3">
        <v>5324.1</v>
      </c>
      <c r="E211" s="3">
        <v>16478.41</v>
      </c>
      <c r="F211" s="3">
        <v>13587.98</v>
      </c>
      <c r="G211" s="3">
        <v>1161.0899999999999</v>
      </c>
      <c r="H211" s="3">
        <v>1841.4</v>
      </c>
      <c r="I211" s="3">
        <v>4156.59</v>
      </c>
      <c r="J211" s="3">
        <v>42753.22</v>
      </c>
      <c r="K211" s="3">
        <v>18205.990000000002</v>
      </c>
      <c r="L211" s="3">
        <v>2404.35</v>
      </c>
      <c r="M211" s="3">
        <v>9589.39</v>
      </c>
      <c r="N211" s="6">
        <f>VLOOKUP(A211,'[1]俄罗斯交易系统市值加权指数历史数据 (1)'!$A:$B,2,)</f>
        <v>1445.39</v>
      </c>
      <c r="O211" s="3">
        <v>4277.6499999999996</v>
      </c>
      <c r="P211" s="1">
        <v>400.99</v>
      </c>
      <c r="Q211" s="3">
        <v>8221.9</v>
      </c>
      <c r="R211" s="1">
        <v>638.85</v>
      </c>
      <c r="S211" s="3">
        <v>9900.1</v>
      </c>
      <c r="T211" s="3">
        <v>6750.87</v>
      </c>
      <c r="U211" s="3">
        <v>3111.37</v>
      </c>
      <c r="V211" s="6">
        <f>VLOOKUP(A211,[2]韩国KOSPI指数历史数据!$A:$B,2,)</f>
        <v>2002.28</v>
      </c>
      <c r="W211" s="6">
        <f>VLOOKUP(A211,[3]日经225指数历史数据!$A:$B,2,)</f>
        <v>16178.94</v>
      </c>
      <c r="X211" s="3">
        <v>1333.42</v>
      </c>
      <c r="Y211" s="6">
        <f>VLOOKUP(A211,[4]上证指数历史数据!$A:$B,2,)</f>
        <v>2101.25</v>
      </c>
      <c r="Z211" s="6">
        <f>VLOOKUP(A211,[5]深证成份指数历史数据!$A:$B,2,)</f>
        <v>8048.85</v>
      </c>
      <c r="AA211" s="6">
        <f>VLOOKUP(A211,[6]台湾加权指数历史数据!$A:$B,2,)</f>
        <v>8535.0400000000009</v>
      </c>
      <c r="AB211" s="3">
        <v>23243.24</v>
      </c>
      <c r="AC211" s="3">
        <v>3149.76</v>
      </c>
      <c r="AD211">
        <v>6313.8</v>
      </c>
      <c r="AE211" s="5">
        <f>VLOOKUP(A211,[7]越南VN30指数历史数据!$A:$B,2,)</f>
        <v>562.28</v>
      </c>
      <c r="AF211">
        <v>40974.730000000003</v>
      </c>
      <c r="AG211" s="9">
        <v>9827.32</v>
      </c>
      <c r="AH211">
        <v>9209.7999999999993</v>
      </c>
      <c r="AI211">
        <v>1848.46</v>
      </c>
      <c r="AJ211">
        <v>1847.02</v>
      </c>
    </row>
    <row r="212" spans="1:36" x14ac:dyDescent="0.3">
      <c r="A212" s="2">
        <v>41637</v>
      </c>
      <c r="B212" s="3">
        <v>5382.05</v>
      </c>
      <c r="C212" s="4">
        <v>50981</v>
      </c>
      <c r="D212" s="3">
        <v>5350.1</v>
      </c>
      <c r="E212" s="3">
        <v>16469.990000000002</v>
      </c>
      <c r="F212" s="3">
        <v>13548.86</v>
      </c>
      <c r="G212" s="3">
        <v>1156.0899999999999</v>
      </c>
      <c r="H212" s="3">
        <v>1831.37</v>
      </c>
      <c r="I212" s="3">
        <v>4131.91</v>
      </c>
      <c r="J212" s="3">
        <v>42064.97</v>
      </c>
      <c r="K212" s="3">
        <v>18233.22</v>
      </c>
      <c r="L212" s="3">
        <v>2405.2199999999998</v>
      </c>
      <c r="M212" s="3">
        <v>9435.15</v>
      </c>
      <c r="N212" s="6">
        <f>VLOOKUP(A212,'[1]俄罗斯交易系统市值加权指数历史数据 (1)'!$A:$B,2,)</f>
        <v>1442.73</v>
      </c>
      <c r="O212" s="3">
        <v>4247.6499999999996</v>
      </c>
      <c r="P212" s="1">
        <v>401.97</v>
      </c>
      <c r="Q212" s="3">
        <v>8270.4599999999991</v>
      </c>
      <c r="R212" s="1">
        <v>659.67</v>
      </c>
      <c r="S212" s="3">
        <v>9798</v>
      </c>
      <c r="T212" s="3">
        <v>6730.67</v>
      </c>
      <c r="U212" s="3">
        <v>3074.43</v>
      </c>
      <c r="V212" s="6">
        <f>VLOOKUP(A212,[2]韩国KOSPI指数历史数据!$A:$B,2,)</f>
        <v>1946.14</v>
      </c>
      <c r="W212" s="6">
        <f>VLOOKUP(A212,[3]日经225指数历史数据!$A:$B,2,)</f>
        <v>16291.31</v>
      </c>
      <c r="X212" s="3">
        <v>1322.52</v>
      </c>
      <c r="Y212" s="6">
        <f>VLOOKUP(A212,[4]上证指数历史数据!$A:$B,2,)</f>
        <v>2083.14</v>
      </c>
      <c r="Z212" s="6">
        <f>VLOOKUP(A212,[5]深证成份指数历史数据!$A:$B,2,)</f>
        <v>8028.33</v>
      </c>
      <c r="AA212" s="6">
        <f>VLOOKUP(A212,[6]台湾加权指数历史数据!$A:$B,2,)</f>
        <v>8546.5400000000009</v>
      </c>
      <c r="AB212" s="3">
        <v>22817.279999999999</v>
      </c>
      <c r="AC212" s="3">
        <v>3131.47</v>
      </c>
      <c r="AD212">
        <v>6211.15</v>
      </c>
      <c r="AE212" s="5">
        <f>VLOOKUP(A212,[7]越南VN30指数历史数据!$A:$B,2,)</f>
        <v>562.79999999999995</v>
      </c>
      <c r="AF212">
        <v>41418.25</v>
      </c>
      <c r="AG212" s="9">
        <v>9837.25</v>
      </c>
      <c r="AH212">
        <v>9154.17</v>
      </c>
      <c r="AI212">
        <v>1911.15</v>
      </c>
      <c r="AJ212">
        <v>1876.07</v>
      </c>
    </row>
    <row r="213" spans="1:36" x14ac:dyDescent="0.3">
      <c r="A213" s="2">
        <v>41644</v>
      </c>
      <c r="B213" s="3">
        <v>5490.88</v>
      </c>
      <c r="C213" s="4">
        <v>49696</v>
      </c>
      <c r="D213" s="3">
        <v>5312.4</v>
      </c>
      <c r="E213" s="3">
        <v>16437.05</v>
      </c>
      <c r="F213" s="3">
        <v>13747.52</v>
      </c>
      <c r="G213" s="3">
        <v>1164.53</v>
      </c>
      <c r="H213" s="3">
        <v>1842.37</v>
      </c>
      <c r="I213" s="3">
        <v>4174.66</v>
      </c>
      <c r="J213" s="3">
        <v>42458.51</v>
      </c>
      <c r="K213" s="3">
        <v>17926.38</v>
      </c>
      <c r="L213" s="3">
        <v>2327.89</v>
      </c>
      <c r="M213" s="3">
        <v>9473.24</v>
      </c>
      <c r="N213" s="6">
        <f>VLOOKUP(A213,'[1]俄罗斯交易系统市值加权指数历史数据 (1)'!$A:$B,2,)</f>
        <v>1395.91</v>
      </c>
      <c r="O213" s="3">
        <v>4250.6000000000004</v>
      </c>
      <c r="P213" s="1">
        <v>403.95</v>
      </c>
      <c r="Q213" s="3">
        <v>8365.1200000000008</v>
      </c>
      <c r="R213" s="1">
        <v>679.12</v>
      </c>
      <c r="S213" s="3">
        <v>10290.6</v>
      </c>
      <c r="T213" s="3">
        <v>6739.94</v>
      </c>
      <c r="U213" s="3">
        <v>3104.15</v>
      </c>
      <c r="V213" s="6">
        <f>VLOOKUP(A213,[2]韩国KOSPI指数历史数据!$A:$B,2,)</f>
        <v>1938.54</v>
      </c>
      <c r="W213" s="6">
        <f>VLOOKUP(A213,[3]日经225指数历史数据!$A:$B,2,)</f>
        <v>15912.06</v>
      </c>
      <c r="X213" s="3">
        <v>1324.17</v>
      </c>
      <c r="Y213" s="6">
        <f>VLOOKUP(A213,[4]上证指数历史数据!$A:$B,2,)</f>
        <v>2013.3</v>
      </c>
      <c r="Z213" s="6">
        <f>VLOOKUP(A213,[5]深证成份指数历史数据!$A:$B,2,)</f>
        <v>7648.04</v>
      </c>
      <c r="AA213" s="6">
        <f>VLOOKUP(A213,[6]台湾加权指数历史数据!$A:$B,2,)</f>
        <v>8529.35</v>
      </c>
      <c r="AB213" s="3">
        <v>22846.25</v>
      </c>
      <c r="AC213" s="3">
        <v>3143.87</v>
      </c>
      <c r="AD213">
        <v>6171.45</v>
      </c>
      <c r="AE213" s="5">
        <f>VLOOKUP(A213,[7]越南VN30指数历史数据!$A:$B,2,)</f>
        <v>576.16</v>
      </c>
      <c r="AF213">
        <v>40834.33</v>
      </c>
      <c r="AG213" s="9">
        <v>10091.290000000001</v>
      </c>
      <c r="AH213">
        <v>9079.1</v>
      </c>
      <c r="AI213">
        <v>1900.45</v>
      </c>
      <c r="AJ213">
        <v>1916.67</v>
      </c>
    </row>
    <row r="214" spans="1:36" x14ac:dyDescent="0.3">
      <c r="A214" s="2">
        <v>41651</v>
      </c>
      <c r="B214" s="3">
        <v>5858.77</v>
      </c>
      <c r="C214" s="4">
        <v>49182</v>
      </c>
      <c r="D214" s="3">
        <v>5305.9</v>
      </c>
      <c r="E214" s="3">
        <v>16458.560000000001</v>
      </c>
      <c r="F214" s="3">
        <v>13888.21</v>
      </c>
      <c r="G214" s="3">
        <v>1168.43</v>
      </c>
      <c r="H214" s="3">
        <v>1838.7</v>
      </c>
      <c r="I214" s="3">
        <v>4197.58</v>
      </c>
      <c r="J214" s="3">
        <v>41911.31</v>
      </c>
      <c r="K214" s="3">
        <v>18266.88</v>
      </c>
      <c r="L214" s="3">
        <v>2376.2800000000002</v>
      </c>
      <c r="M214" s="3">
        <v>9742.9599999999991</v>
      </c>
      <c r="N214" s="6">
        <f>VLOOKUP(A214,'[1]俄罗斯交易系统市值加权指数历史数据 (1)'!$A:$B,2,)</f>
        <v>1395.79</v>
      </c>
      <c r="O214" s="3">
        <v>4327.5</v>
      </c>
      <c r="P214" s="1">
        <v>408.26</v>
      </c>
      <c r="Q214" s="3">
        <v>8478.89</v>
      </c>
      <c r="R214" s="1">
        <v>656.35</v>
      </c>
      <c r="S214" s="3">
        <v>10465.700000000001</v>
      </c>
      <c r="T214" s="3">
        <v>6829.3</v>
      </c>
      <c r="U214" s="3">
        <v>3154.1</v>
      </c>
      <c r="V214" s="6">
        <f>VLOOKUP(A214,[2]韩国KOSPI指数历史数据!$A:$B,2,)</f>
        <v>1944.48</v>
      </c>
      <c r="W214" s="6">
        <f>VLOOKUP(A214,[3]日经225指数历史数据!$A:$B,2,)</f>
        <v>15734.46</v>
      </c>
      <c r="X214" s="3">
        <v>1348.95</v>
      </c>
      <c r="Y214" s="6">
        <f>VLOOKUP(A214,[4]上证指数历史数据!$A:$B,2,)</f>
        <v>2004.95</v>
      </c>
      <c r="Z214" s="6">
        <f>VLOOKUP(A214,[5]深证成份指数历史数据!$A:$B,2,)</f>
        <v>7544.56</v>
      </c>
      <c r="AA214" s="6">
        <f>VLOOKUP(A214,[6]台湾加权指数历史数据!$A:$B,2,)</f>
        <v>8596</v>
      </c>
      <c r="AB214" s="3">
        <v>23133.35</v>
      </c>
      <c r="AC214" s="3">
        <v>3147.33</v>
      </c>
      <c r="AD214">
        <v>6261.65</v>
      </c>
      <c r="AE214" s="5">
        <f>VLOOKUP(A214,[7]越南VN30指数历史数据!$A:$B,2,)</f>
        <v>605.5</v>
      </c>
      <c r="AF214">
        <v>41976.36</v>
      </c>
      <c r="AG214" s="9">
        <v>10360.9</v>
      </c>
      <c r="AH214">
        <v>9190.08</v>
      </c>
      <c r="AI214">
        <v>1915.62</v>
      </c>
      <c r="AJ214">
        <v>1903.34</v>
      </c>
    </row>
    <row r="215" spans="1:36" x14ac:dyDescent="0.3">
      <c r="A215" s="2">
        <v>41658</v>
      </c>
      <c r="B215" s="3">
        <v>5545.21</v>
      </c>
      <c r="C215" s="4">
        <v>47787</v>
      </c>
      <c r="D215" s="3">
        <v>5240.8999999999996</v>
      </c>
      <c r="E215" s="3">
        <v>15879.11</v>
      </c>
      <c r="F215" s="3">
        <v>13717.76</v>
      </c>
      <c r="G215" s="3">
        <v>1144.1300000000001</v>
      </c>
      <c r="H215" s="3">
        <v>1790.29</v>
      </c>
      <c r="I215" s="3">
        <v>4128.17</v>
      </c>
      <c r="J215" s="3">
        <v>40979.800000000003</v>
      </c>
      <c r="K215" s="3">
        <v>17815.169999999998</v>
      </c>
      <c r="L215" s="3">
        <v>2347.44</v>
      </c>
      <c r="M215" s="3">
        <v>9392.02</v>
      </c>
      <c r="N215" s="6">
        <f>VLOOKUP(A215,'[1]俄罗斯交易系统市值加权指数历史数据 (1)'!$A:$B,2,)</f>
        <v>1364.11</v>
      </c>
      <c r="O215" s="3">
        <v>4161.47</v>
      </c>
      <c r="P215" s="1">
        <v>393.85</v>
      </c>
      <c r="Q215" s="3">
        <v>8201.5</v>
      </c>
      <c r="R215" s="1">
        <v>644.28</v>
      </c>
      <c r="S215" s="3">
        <v>9868.9</v>
      </c>
      <c r="T215" s="3">
        <v>6663.74</v>
      </c>
      <c r="U215" s="3">
        <v>3028.2</v>
      </c>
      <c r="V215" s="6">
        <f>VLOOKUP(A215,[2]韩国KOSPI指数历史数据!$A:$B,2,)</f>
        <v>1940.56</v>
      </c>
      <c r="W215" s="6">
        <f>VLOOKUP(A215,[3]日经225指数历史数据!$A:$B,2,)</f>
        <v>15391.56</v>
      </c>
      <c r="X215" s="3">
        <v>1322.02</v>
      </c>
      <c r="Y215" s="6">
        <f>VLOOKUP(A215,[4]上证指数历史数据!$A:$B,2,)</f>
        <v>2054.39</v>
      </c>
      <c r="Z215" s="6">
        <f>VLOOKUP(A215,[5]深证成份指数历史数据!$A:$B,2,)</f>
        <v>7855.14</v>
      </c>
      <c r="AA215" s="6">
        <f>VLOOKUP(A215,[6]台湾加权指数历史数据!$A:$B,2,)</f>
        <v>8598.31</v>
      </c>
      <c r="AB215" s="3">
        <v>22450.06</v>
      </c>
      <c r="AC215" s="3">
        <v>3075.99</v>
      </c>
      <c r="AD215">
        <v>6266.75</v>
      </c>
      <c r="AE215" s="5">
        <f>VLOOKUP(A215,[7]越南VN30指数历史数据!$A:$B,2,)</f>
        <v>627.91</v>
      </c>
      <c r="AF215">
        <v>41739.019999999997</v>
      </c>
      <c r="AG215" s="9">
        <v>10515.62</v>
      </c>
      <c r="AH215">
        <v>9120.19</v>
      </c>
      <c r="AI215">
        <v>1920.28</v>
      </c>
      <c r="AJ215">
        <v>1949.14</v>
      </c>
    </row>
    <row r="216" spans="1:36" x14ac:dyDescent="0.3">
      <c r="A216" s="2">
        <v>41665</v>
      </c>
      <c r="B216" s="3">
        <v>6018.65</v>
      </c>
      <c r="C216" s="4">
        <v>47639</v>
      </c>
      <c r="D216" s="3">
        <v>5190</v>
      </c>
      <c r="E216" s="3">
        <v>15698.85</v>
      </c>
      <c r="F216" s="3">
        <v>13694.94</v>
      </c>
      <c r="G216" s="3">
        <v>1130.8800000000001</v>
      </c>
      <c r="H216" s="3">
        <v>1782.59</v>
      </c>
      <c r="I216" s="3">
        <v>4103.88</v>
      </c>
      <c r="J216" s="3">
        <v>40879.75</v>
      </c>
      <c r="K216" s="3">
        <v>17123.060000000001</v>
      </c>
      <c r="L216" s="3">
        <v>2355.89</v>
      </c>
      <c r="M216" s="3">
        <v>9306.48</v>
      </c>
      <c r="N216" s="6">
        <f>VLOOKUP(A216,'[1]俄罗斯交易系统市值加权指数历史数据 (1)'!$A:$B,2,)</f>
        <v>1301.02</v>
      </c>
      <c r="O216" s="3">
        <v>4165.72</v>
      </c>
      <c r="P216" s="1">
        <v>386.85</v>
      </c>
      <c r="Q216" s="3">
        <v>8191.33</v>
      </c>
      <c r="R216" s="1">
        <v>618.58000000000004</v>
      </c>
      <c r="S216" s="3">
        <v>9920.2000000000007</v>
      </c>
      <c r="T216" s="3">
        <v>6510.44</v>
      </c>
      <c r="U216" s="3">
        <v>3013.96</v>
      </c>
      <c r="V216" s="6">
        <f>VLOOKUP(A216,[2]韩国KOSPI指数历史数据!$A:$B,2,)</f>
        <v>1941.15</v>
      </c>
      <c r="W216" s="6">
        <f>VLOOKUP(A216,[3]日经225指数历史数据!$A:$B,2,)</f>
        <v>14914.53</v>
      </c>
      <c r="X216" s="3">
        <v>1299.54</v>
      </c>
      <c r="Y216" s="6">
        <f>VLOOKUP(A216,[4]上证指数历史数据!$A:$B,2,)</f>
        <v>2033.08</v>
      </c>
      <c r="Z216" s="6">
        <f>VLOOKUP(A216,[5]深证成份指数历史数据!$A:$B,2,)</f>
        <v>7572.63</v>
      </c>
      <c r="AA216" s="6">
        <f>VLOOKUP(A216,[6]台湾加权指数历史数据!$A:$B,2,)</f>
        <v>8462.57</v>
      </c>
      <c r="AB216" s="3">
        <v>22035.42</v>
      </c>
      <c r="AC216" s="3">
        <v>3027.22</v>
      </c>
      <c r="AD216">
        <v>6089.5</v>
      </c>
      <c r="AE216" s="5">
        <f>VLOOKUP(A216,[7]越南VN30指数历史数据!$A:$B,2,)</f>
        <v>624.70000000000005</v>
      </c>
      <c r="AF216">
        <v>40586.730000000003</v>
      </c>
      <c r="AG216" s="9">
        <v>10771.83</v>
      </c>
      <c r="AH216">
        <v>9121.2800000000007</v>
      </c>
      <c r="AI216">
        <v>1845.56</v>
      </c>
      <c r="AJ216">
        <v>1923.57</v>
      </c>
    </row>
    <row r="217" spans="1:36" x14ac:dyDescent="0.3">
      <c r="A217" s="2">
        <v>41672</v>
      </c>
      <c r="B217" s="3">
        <v>5585</v>
      </c>
      <c r="C217" s="4">
        <v>48074</v>
      </c>
      <c r="D217" s="3">
        <v>5166.5</v>
      </c>
      <c r="E217" s="3">
        <v>15794.08</v>
      </c>
      <c r="F217" s="3">
        <v>13786.5</v>
      </c>
      <c r="G217" s="3">
        <v>1116.55</v>
      </c>
      <c r="H217" s="3">
        <v>1797.02</v>
      </c>
      <c r="I217" s="3">
        <v>4125.8599999999997</v>
      </c>
      <c r="J217" s="3">
        <v>40525.74</v>
      </c>
      <c r="K217" s="3">
        <v>17349.84</v>
      </c>
      <c r="L217" s="3">
        <v>2420.94</v>
      </c>
      <c r="M217" s="3">
        <v>9301.92</v>
      </c>
      <c r="N217" s="6">
        <f>VLOOKUP(A217,'[1]俄罗斯交易系统市值加权指数历史数据 (1)'!$A:$B,2,)</f>
        <v>1341.49</v>
      </c>
      <c r="O217" s="3">
        <v>4228.18</v>
      </c>
      <c r="P217" s="1">
        <v>389.54</v>
      </c>
      <c r="Q217" s="3">
        <v>8318.6</v>
      </c>
      <c r="R217" s="1">
        <v>646.14</v>
      </c>
      <c r="S217" s="3">
        <v>10072.4</v>
      </c>
      <c r="T217" s="3">
        <v>6571.68</v>
      </c>
      <c r="U217" s="3">
        <v>3038.49</v>
      </c>
      <c r="V217" s="6">
        <f>VLOOKUP(A217,[2]韩国KOSPI指数历史数据!$A:$B,2,)</f>
        <v>1922.5</v>
      </c>
      <c r="W217" s="6">
        <f>VLOOKUP(A217,[3]日经225指数历史数据!$A:$B,2,)</f>
        <v>14462.41</v>
      </c>
      <c r="X217" s="3">
        <v>1307.98</v>
      </c>
      <c r="Y217" s="6">
        <f>VLOOKUP(A217,[4]上证指数历史数据!$A:$B,2,)</f>
        <v>2044.5</v>
      </c>
      <c r="Z217" s="6">
        <f>VLOOKUP(A217,[5]深证成份指数历史数据!$A:$B,2,)</f>
        <v>7616.57</v>
      </c>
      <c r="AA217" s="6">
        <f>VLOOKUP(A217,[6]台湾加权指数历史数据!$A:$B,2,)</f>
        <v>8387.35</v>
      </c>
      <c r="AB217" s="3">
        <v>21636.85</v>
      </c>
      <c r="AC217" s="3">
        <v>3013.14</v>
      </c>
      <c r="AD217">
        <v>6063.2</v>
      </c>
      <c r="AE217" s="5">
        <f>VLOOKUP(A217,[7]越南VN30指数历史数据!$A:$B,2,)</f>
        <v>622.82000000000005</v>
      </c>
      <c r="AF217">
        <v>40777.599999999999</v>
      </c>
      <c r="AG217" s="9">
        <v>10837.28</v>
      </c>
      <c r="AH217">
        <v>9148.89</v>
      </c>
      <c r="AI217">
        <v>1846.15</v>
      </c>
      <c r="AJ217">
        <v>1881.24</v>
      </c>
    </row>
    <row r="218" spans="1:36" x14ac:dyDescent="0.3">
      <c r="A218" s="2">
        <v>41679</v>
      </c>
      <c r="B218" s="3">
        <v>6070.6</v>
      </c>
      <c r="C218" s="4">
        <v>48201</v>
      </c>
      <c r="D218" s="3">
        <v>5356.3</v>
      </c>
      <c r="E218" s="3">
        <v>16154.39</v>
      </c>
      <c r="F218" s="3">
        <v>14054.76</v>
      </c>
      <c r="G218" s="3">
        <v>1149.21</v>
      </c>
      <c r="H218" s="3">
        <v>1838.63</v>
      </c>
      <c r="I218" s="3">
        <v>4244.0200000000004</v>
      </c>
      <c r="J218" s="3">
        <v>40710.89</v>
      </c>
      <c r="K218" s="3">
        <v>18102.400000000001</v>
      </c>
      <c r="L218" s="3">
        <v>2482.75</v>
      </c>
      <c r="M218" s="3">
        <v>9662.4</v>
      </c>
      <c r="N218" s="6">
        <f>VLOOKUP(A218,'[1]俄罗斯交易系统市值加权指数历史数据 (1)'!$A:$B,2,)</f>
        <v>1343.2</v>
      </c>
      <c r="O218" s="3">
        <v>4340.1400000000003</v>
      </c>
      <c r="P218" s="1">
        <v>398.95</v>
      </c>
      <c r="Q218" s="3">
        <v>8417.58</v>
      </c>
      <c r="R218" s="1">
        <v>648.83000000000004</v>
      </c>
      <c r="S218" s="3">
        <v>10132.799999999999</v>
      </c>
      <c r="T218" s="3">
        <v>6663.62</v>
      </c>
      <c r="U218" s="3">
        <v>3119.06</v>
      </c>
      <c r="V218" s="6">
        <f>VLOOKUP(A218,[2]韩国KOSPI指数历史数据!$A:$B,2,)</f>
        <v>1940.28</v>
      </c>
      <c r="W218" s="6">
        <f>VLOOKUP(A218,[3]日经225指数历史数据!$A:$B,2,)</f>
        <v>14313.03</v>
      </c>
      <c r="X218" s="3">
        <v>1309.0899999999999</v>
      </c>
      <c r="Y218" s="6">
        <f>VLOOKUP(A218,[4]上证指数历史数据!$A:$B,2,)</f>
        <v>2115.85</v>
      </c>
      <c r="Z218" s="6">
        <f>VLOOKUP(A218,[5]深证成份指数历史数据!$A:$B,2,)</f>
        <v>7883.75</v>
      </c>
      <c r="AA218" s="6">
        <f>VLOOKUP(A218,[6]台湾加权指数历史数据!$A:$B,2,)</f>
        <v>8513.68</v>
      </c>
      <c r="AB218" s="3">
        <v>22298.41</v>
      </c>
      <c r="AC218" s="3">
        <v>3038.71</v>
      </c>
      <c r="AD218">
        <v>6048.35</v>
      </c>
      <c r="AE218" s="5">
        <f>VLOOKUP(A218,[7]越南VN30指数历史数据!$A:$B,2,)</f>
        <v>641.41</v>
      </c>
      <c r="AF218">
        <v>42093.15</v>
      </c>
      <c r="AG218" s="9">
        <v>11063.12</v>
      </c>
      <c r="AH218">
        <v>9205.7800000000007</v>
      </c>
      <c r="AI218">
        <v>1741.97</v>
      </c>
      <c r="AJ218">
        <v>1938.39</v>
      </c>
    </row>
    <row r="219" spans="1:36" x14ac:dyDescent="0.3">
      <c r="A219" s="2">
        <v>41686</v>
      </c>
      <c r="B219" s="3">
        <v>5914.82</v>
      </c>
      <c r="C219" s="4">
        <v>47380</v>
      </c>
      <c r="D219" s="3">
        <v>5438.7</v>
      </c>
      <c r="E219" s="3">
        <v>16103.3</v>
      </c>
      <c r="F219" s="3">
        <v>14205.72</v>
      </c>
      <c r="G219" s="3">
        <v>1164.6300000000001</v>
      </c>
      <c r="H219" s="3">
        <v>1836.25</v>
      </c>
      <c r="I219" s="3">
        <v>4263.41</v>
      </c>
      <c r="J219" s="3">
        <v>39724.58</v>
      </c>
      <c r="K219" s="3">
        <v>17937.650000000001</v>
      </c>
      <c r="L219" s="3">
        <v>2487.7199999999998</v>
      </c>
      <c r="M219" s="3">
        <v>9656.9500000000007</v>
      </c>
      <c r="N219" s="6">
        <f>VLOOKUP(A219,'[1]俄罗斯交易系统市值加权指数历史数据 (1)'!$A:$B,2,)</f>
        <v>1315.54</v>
      </c>
      <c r="O219" s="3">
        <v>4381.0600000000004</v>
      </c>
      <c r="P219" s="1">
        <v>400.36</v>
      </c>
      <c r="Q219" s="3">
        <v>8431.7800000000007</v>
      </c>
      <c r="R219" s="1">
        <v>638.86</v>
      </c>
      <c r="S219" s="3">
        <v>10071</v>
      </c>
      <c r="T219" s="3">
        <v>6838.06</v>
      </c>
      <c r="U219" s="3">
        <v>3131.67</v>
      </c>
      <c r="V219" s="6">
        <f>VLOOKUP(A219,[2]韩国KOSPI指数历史数据!$A:$B,2,)</f>
        <v>1957.83</v>
      </c>
      <c r="W219" s="6">
        <f>VLOOKUP(A219,[3]日经225指数历史数据!$A:$B,2,)</f>
        <v>14865.67</v>
      </c>
      <c r="X219" s="3">
        <v>1323.69</v>
      </c>
      <c r="Y219" s="6">
        <f>VLOOKUP(A219,[4]上证指数历史数据!$A:$B,2,)</f>
        <v>2113.69</v>
      </c>
      <c r="Z219" s="6">
        <f>VLOOKUP(A219,[5]深证成份指数历史数据!$A:$B,2,)</f>
        <v>7750.56</v>
      </c>
      <c r="AA219" s="6">
        <f>VLOOKUP(A219,[6]台湾加权指数历史数据!$A:$B,2,)</f>
        <v>8601.86</v>
      </c>
      <c r="AB219" s="3">
        <v>22568.240000000002</v>
      </c>
      <c r="AC219" s="3">
        <v>3099.93</v>
      </c>
      <c r="AD219">
        <v>6155.45</v>
      </c>
      <c r="AE219" s="5">
        <f>VLOOKUP(A219,[7]越南VN30指数历史数据!$A:$B,2,)</f>
        <v>639.37</v>
      </c>
      <c r="AF219">
        <v>42952.99</v>
      </c>
      <c r="AG219" s="9">
        <v>11497.83</v>
      </c>
      <c r="AH219">
        <v>9258.73</v>
      </c>
      <c r="AI219">
        <v>1715.95</v>
      </c>
      <c r="AJ219">
        <v>1901.44</v>
      </c>
    </row>
    <row r="220" spans="1:36" x14ac:dyDescent="0.3">
      <c r="A220" s="2">
        <v>41693</v>
      </c>
      <c r="B220" s="3">
        <v>5784.39</v>
      </c>
      <c r="C220" s="4">
        <v>47094</v>
      </c>
      <c r="D220" s="3">
        <v>5404.8</v>
      </c>
      <c r="E220" s="3">
        <v>16321.71</v>
      </c>
      <c r="F220" s="3">
        <v>14209.59</v>
      </c>
      <c r="G220" s="3">
        <v>1183.03</v>
      </c>
      <c r="H220" s="3">
        <v>1859.45</v>
      </c>
      <c r="I220" s="3">
        <v>4308.12</v>
      </c>
      <c r="J220" s="3">
        <v>38782.89</v>
      </c>
      <c r="K220" s="3">
        <v>18342.810000000001</v>
      </c>
      <c r="L220" s="3">
        <v>2518.5300000000002</v>
      </c>
      <c r="M220" s="3">
        <v>9692.08</v>
      </c>
      <c r="N220" s="6">
        <f>VLOOKUP(A220,'[1]俄罗斯交易系统市值加权指数历史数据 (1)'!$A:$B,2,)</f>
        <v>1267.27</v>
      </c>
      <c r="O220" s="3">
        <v>4408.08</v>
      </c>
      <c r="P220" s="1">
        <v>398.54</v>
      </c>
      <c r="Q220" s="3">
        <v>8475.33</v>
      </c>
      <c r="R220" s="1">
        <v>625.53</v>
      </c>
      <c r="S220" s="3">
        <v>10114.200000000001</v>
      </c>
      <c r="T220" s="3">
        <v>6809.7</v>
      </c>
      <c r="U220" s="3">
        <v>3149.23</v>
      </c>
      <c r="V220" s="6">
        <f>VLOOKUP(A220,[2]韩国KOSPI指数历史数据!$A:$B,2,)</f>
        <v>1979.99</v>
      </c>
      <c r="W220" s="6">
        <f>VLOOKUP(A220,[3]日经225指数历史数据!$A:$B,2,)</f>
        <v>14841.07</v>
      </c>
      <c r="X220" s="3">
        <v>1350.65</v>
      </c>
      <c r="Y220" s="6">
        <f>VLOOKUP(A220,[4]上证指数历史数据!$A:$B,2,)</f>
        <v>2056.3000000000002</v>
      </c>
      <c r="Z220" s="6">
        <f>VLOOKUP(A220,[5]深证成份指数历史数据!$A:$B,2,)</f>
        <v>7365.93</v>
      </c>
      <c r="AA220" s="6">
        <f>VLOOKUP(A220,[6]台湾加权指数历史数据!$A:$B,2,)</f>
        <v>8639.58</v>
      </c>
      <c r="AB220" s="3">
        <v>22836.959999999999</v>
      </c>
      <c r="AC220" s="3">
        <v>3110.78</v>
      </c>
      <c r="AD220">
        <v>6276.95</v>
      </c>
      <c r="AE220" s="5">
        <f>VLOOKUP(A220,[7]越南VN30指数历史数据!$A:$B,2,)</f>
        <v>663.81</v>
      </c>
      <c r="AF220">
        <v>42771.61</v>
      </c>
      <c r="AG220" s="9">
        <v>11887.36</v>
      </c>
      <c r="AH220">
        <v>9442.36</v>
      </c>
      <c r="AI220">
        <v>1777.82</v>
      </c>
      <c r="AJ220">
        <v>1995.32</v>
      </c>
    </row>
    <row r="221" spans="1:36" x14ac:dyDescent="0.3">
      <c r="A221" s="2">
        <v>41700</v>
      </c>
      <c r="B221" s="3">
        <v>5880.84</v>
      </c>
      <c r="C221" s="4">
        <v>46244</v>
      </c>
      <c r="D221" s="3">
        <v>5462.3</v>
      </c>
      <c r="E221" s="3">
        <v>16452.72</v>
      </c>
      <c r="F221" s="3">
        <v>14299.08</v>
      </c>
      <c r="G221" s="3">
        <v>1203.32</v>
      </c>
      <c r="H221" s="3">
        <v>1878.04</v>
      </c>
      <c r="I221" s="3">
        <v>4336.22</v>
      </c>
      <c r="J221" s="3">
        <v>38913.040000000001</v>
      </c>
      <c r="K221" s="3">
        <v>18258.48</v>
      </c>
      <c r="L221" s="3">
        <v>2435.15</v>
      </c>
      <c r="M221" s="3">
        <v>9350.75</v>
      </c>
      <c r="N221" s="6">
        <f>VLOOKUP(A221,'[1]俄罗斯交易系统市值加权指数历史数据 (1)'!$A:$B,2,)</f>
        <v>1158.8699999999999</v>
      </c>
      <c r="O221" s="3">
        <v>4366.42</v>
      </c>
      <c r="P221" s="1">
        <v>396.28</v>
      </c>
      <c r="Q221" s="3">
        <v>8378.58</v>
      </c>
      <c r="R221" s="1">
        <v>630.96</v>
      </c>
      <c r="S221" s="3">
        <v>10164.200000000001</v>
      </c>
      <c r="T221" s="3">
        <v>6712.67</v>
      </c>
      <c r="U221" s="3">
        <v>3095.31</v>
      </c>
      <c r="V221" s="6">
        <f>VLOOKUP(A221,[2]韩国KOSPI指数历史数据!$A:$B,2,)</f>
        <v>1974.68</v>
      </c>
      <c r="W221" s="6">
        <f>VLOOKUP(A221,[3]日经225指数历史数据!$A:$B,2,)</f>
        <v>15274.07</v>
      </c>
      <c r="X221" s="3">
        <v>1369.22</v>
      </c>
      <c r="Y221" s="6">
        <f>VLOOKUP(A221,[4]上证指数历史数据!$A:$B,2,)</f>
        <v>2057.91</v>
      </c>
      <c r="Z221" s="6">
        <f>VLOOKUP(A221,[5]深证成份指数历史数据!$A:$B,2,)</f>
        <v>7328.48</v>
      </c>
      <c r="AA221" s="6">
        <f>VLOOKUP(A221,[6]台湾加权指数历史数据!$A:$B,2,)</f>
        <v>8713.9599999999991</v>
      </c>
      <c r="AB221" s="3">
        <v>22660.49</v>
      </c>
      <c r="AC221" s="3">
        <v>3136.26</v>
      </c>
      <c r="AD221">
        <v>6526.65</v>
      </c>
      <c r="AE221" s="5">
        <f>VLOOKUP(A221,[7]越南VN30指数历史数据!$A:$B,2,)</f>
        <v>651.46</v>
      </c>
      <c r="AF221">
        <v>43206.26</v>
      </c>
      <c r="AG221" s="9">
        <v>11604.5</v>
      </c>
      <c r="AH221">
        <v>9544.1</v>
      </c>
      <c r="AI221">
        <v>1748.25</v>
      </c>
      <c r="AJ221">
        <v>2018.97</v>
      </c>
    </row>
    <row r="222" spans="1:36" x14ac:dyDescent="0.3">
      <c r="A222" s="2">
        <v>41707</v>
      </c>
      <c r="B222" s="3">
        <v>5747.12</v>
      </c>
      <c r="C222" s="4">
        <v>44966</v>
      </c>
      <c r="D222" s="3">
        <v>5329.4</v>
      </c>
      <c r="E222" s="3">
        <v>16065.67</v>
      </c>
      <c r="F222" s="3">
        <v>14227.66</v>
      </c>
      <c r="G222" s="3">
        <v>1181.4100000000001</v>
      </c>
      <c r="H222" s="3">
        <v>1841.13</v>
      </c>
      <c r="I222" s="3">
        <v>4245.3999999999996</v>
      </c>
      <c r="J222" s="3">
        <v>37950.97</v>
      </c>
      <c r="K222" s="3">
        <v>17891.009999999998</v>
      </c>
      <c r="L222" s="3">
        <v>2341.98</v>
      </c>
      <c r="M222" s="3">
        <v>9056.41</v>
      </c>
      <c r="N222" s="6">
        <f>VLOOKUP(A222,'[1]俄罗斯交易系统市值加权指数历史数据 (1)'!$A:$B,2,)</f>
        <v>1062.47</v>
      </c>
      <c r="O222" s="3">
        <v>4216.37</v>
      </c>
      <c r="P222" s="1">
        <v>382.65</v>
      </c>
      <c r="Q222" s="3">
        <v>8114.02</v>
      </c>
      <c r="R222" s="1">
        <v>632.79</v>
      </c>
      <c r="S222" s="3">
        <v>9812</v>
      </c>
      <c r="T222" s="3">
        <v>6527.89</v>
      </c>
      <c r="U222" s="3">
        <v>3004.64</v>
      </c>
      <c r="V222" s="6">
        <f>VLOOKUP(A222,[2]韩国KOSPI指数历史数据!$A:$B,2,)</f>
        <v>1919.9</v>
      </c>
      <c r="W222" s="6">
        <f>VLOOKUP(A222,[3]日经225指数历史数据!$A:$B,2,)</f>
        <v>14327.66</v>
      </c>
      <c r="X222" s="3">
        <v>1373.28</v>
      </c>
      <c r="Y222" s="6">
        <f>VLOOKUP(A222,[4]上证指数历史数据!$A:$B,2,)</f>
        <v>2004.34</v>
      </c>
      <c r="Z222" s="6">
        <f>VLOOKUP(A222,[5]深证成份指数历史数据!$A:$B,2,)</f>
        <v>7239.06</v>
      </c>
      <c r="AA222" s="6">
        <f>VLOOKUP(A222,[6]台湾加权指数历史数据!$A:$B,2,)</f>
        <v>8687.6299999999992</v>
      </c>
      <c r="AB222" s="3">
        <v>21539.49</v>
      </c>
      <c r="AC222" s="3">
        <v>3073.72</v>
      </c>
      <c r="AD222">
        <v>6504.2</v>
      </c>
      <c r="AE222" s="5">
        <f>VLOOKUP(A222,[7]越南VN30指数历史数据!$A:$B,2,)</f>
        <v>668.39</v>
      </c>
      <c r="AF222">
        <v>41761.01</v>
      </c>
      <c r="AG222" s="9">
        <v>11917.61</v>
      </c>
      <c r="AH222">
        <v>9571.64</v>
      </c>
      <c r="AI222">
        <v>1709.96</v>
      </c>
      <c r="AJ222">
        <v>1949.19</v>
      </c>
    </row>
    <row r="223" spans="1:36" x14ac:dyDescent="0.3">
      <c r="A223" s="2">
        <v>41714</v>
      </c>
      <c r="B223" s="3">
        <v>6086.82</v>
      </c>
      <c r="C223" s="4">
        <v>47381</v>
      </c>
      <c r="D223" s="3">
        <v>5338.1</v>
      </c>
      <c r="E223" s="3">
        <v>16302.77</v>
      </c>
      <c r="F223" s="3">
        <v>14335.76</v>
      </c>
      <c r="G223" s="3">
        <v>1193.73</v>
      </c>
      <c r="H223" s="3">
        <v>1866.52</v>
      </c>
      <c r="I223" s="3">
        <v>4276.79</v>
      </c>
      <c r="J223" s="3">
        <v>40021.730000000003</v>
      </c>
      <c r="K223" s="3">
        <v>18049.07</v>
      </c>
      <c r="L223" s="3">
        <v>2365.96</v>
      </c>
      <c r="M223" s="3">
        <v>9342.94</v>
      </c>
      <c r="N223" s="6">
        <f>VLOOKUP(A223,'[1]俄罗斯交易系统市值加权指数历史数据 (1)'!$A:$B,2,)</f>
        <v>1136.21</v>
      </c>
      <c r="O223" s="3">
        <v>4335.28</v>
      </c>
      <c r="P223" s="1">
        <v>391.36</v>
      </c>
      <c r="Q223" s="3">
        <v>8289.76</v>
      </c>
      <c r="R223" s="1">
        <v>645.79</v>
      </c>
      <c r="S223" s="3">
        <v>10053.1</v>
      </c>
      <c r="T223" s="3">
        <v>6557.17</v>
      </c>
      <c r="U223" s="3">
        <v>3096.49</v>
      </c>
      <c r="V223" s="6">
        <f>VLOOKUP(A223,[2]韩国KOSPI指数历史数据!$A:$B,2,)</f>
        <v>1934.94</v>
      </c>
      <c r="W223" s="6">
        <f>VLOOKUP(A223,[3]日经225指数历史数据!$A:$B,2,)</f>
        <v>14224.23</v>
      </c>
      <c r="X223" s="3">
        <v>1383.16</v>
      </c>
      <c r="Y223" s="6">
        <f>VLOOKUP(A223,[4]上证指数历史数据!$A:$B,2,)</f>
        <v>2047.62</v>
      </c>
      <c r="Z223" s="6">
        <f>VLOOKUP(A223,[5]深证成份指数历史数据!$A:$B,2,)</f>
        <v>7241.57</v>
      </c>
      <c r="AA223" s="6">
        <f>VLOOKUP(A223,[6]台湾加权指数历史数据!$A:$B,2,)</f>
        <v>8577.17</v>
      </c>
      <c r="AB223" s="3">
        <v>21436.7</v>
      </c>
      <c r="AC223" s="3">
        <v>3073.39</v>
      </c>
      <c r="AD223">
        <v>6493.2</v>
      </c>
      <c r="AE223" s="5">
        <f>VLOOKUP(A223,[7]越南VN30指数历史数据!$A:$B,2,)</f>
        <v>679.98</v>
      </c>
      <c r="AF223">
        <v>41885.370000000003</v>
      </c>
      <c r="AG223" s="9">
        <v>12382.59</v>
      </c>
      <c r="AH223">
        <v>9576.2999999999993</v>
      </c>
      <c r="AI223">
        <v>1702.97</v>
      </c>
      <c r="AJ223">
        <v>1962.54</v>
      </c>
    </row>
    <row r="224" spans="1:36" x14ac:dyDescent="0.3">
      <c r="A224" s="2">
        <v>41721</v>
      </c>
      <c r="B224" s="3">
        <v>6198.58</v>
      </c>
      <c r="C224" s="4">
        <v>49768</v>
      </c>
      <c r="D224" s="3">
        <v>5366.9</v>
      </c>
      <c r="E224" s="3">
        <v>16323.06</v>
      </c>
      <c r="F224" s="3">
        <v>14260.72</v>
      </c>
      <c r="G224" s="3">
        <v>1151.81</v>
      </c>
      <c r="H224" s="3">
        <v>1857.62</v>
      </c>
      <c r="I224" s="3">
        <v>4155.76</v>
      </c>
      <c r="J224" s="3">
        <v>40048.199999999997</v>
      </c>
      <c r="K224" s="3">
        <v>18496.740000000002</v>
      </c>
      <c r="L224" s="3">
        <v>2433.7399999999998</v>
      </c>
      <c r="M224" s="3">
        <v>9587.19</v>
      </c>
      <c r="N224" s="6">
        <f>VLOOKUP(A224,'[1]俄罗斯交易系统市值加权指数历史数据 (1)'!$A:$B,2,)</f>
        <v>1186.28</v>
      </c>
      <c r="O224" s="3">
        <v>4411.26</v>
      </c>
      <c r="P224" s="1">
        <v>401.79</v>
      </c>
      <c r="Q224" s="3">
        <v>8373.23</v>
      </c>
      <c r="R224" s="1">
        <v>691.17</v>
      </c>
      <c r="S224" s="3">
        <v>10328.9</v>
      </c>
      <c r="T224" s="3">
        <v>6615.58</v>
      </c>
      <c r="U224" s="3">
        <v>3172.43</v>
      </c>
      <c r="V224" s="6">
        <f>VLOOKUP(A224,[2]韩国KOSPI指数历史数据!$A:$B,2,)</f>
        <v>1981</v>
      </c>
      <c r="W224" s="6">
        <f>VLOOKUP(A224,[3]日经225指数历史数据!$A:$B,2,)</f>
        <v>14696.03</v>
      </c>
      <c r="X224" s="3">
        <v>1397.77</v>
      </c>
      <c r="Y224" s="6">
        <f>VLOOKUP(A224,[4]上证指数历史数据!$A:$B,2,)</f>
        <v>2041.71</v>
      </c>
      <c r="Z224" s="6">
        <f>VLOOKUP(A224,[5]深证成份指数历史数据!$A:$B,2,)</f>
        <v>7165.57</v>
      </c>
      <c r="AA224" s="6">
        <f>VLOOKUP(A224,[6]台湾加权指数历史数据!$A:$B,2,)</f>
        <v>8774.64</v>
      </c>
      <c r="AB224" s="3">
        <v>22065.53</v>
      </c>
      <c r="AC224" s="3">
        <v>3172.17</v>
      </c>
      <c r="AD224">
        <v>6695.9</v>
      </c>
      <c r="AE224" s="5">
        <f>VLOOKUP(A224,[7]越南VN30指数历史数据!$A:$B,2,)</f>
        <v>676.31</v>
      </c>
      <c r="AF224">
        <v>43167.6</v>
      </c>
      <c r="AG224" s="9">
        <v>12076.86</v>
      </c>
      <c r="AH224">
        <v>9587.0300000000007</v>
      </c>
      <c r="AI224">
        <v>1713.9</v>
      </c>
      <c r="AJ224">
        <v>1952.83</v>
      </c>
    </row>
    <row r="225" spans="1:36" x14ac:dyDescent="0.3">
      <c r="A225" s="2">
        <v>41728</v>
      </c>
      <c r="B225" s="3">
        <v>6386.85</v>
      </c>
      <c r="C225" s="4">
        <v>51082</v>
      </c>
      <c r="D225" s="3">
        <v>5422.8</v>
      </c>
      <c r="E225" s="3">
        <v>16412.71</v>
      </c>
      <c r="F225" s="3">
        <v>14393.1</v>
      </c>
      <c r="G225" s="3">
        <v>1153.3800000000001</v>
      </c>
      <c r="H225" s="3">
        <v>1865.09</v>
      </c>
      <c r="I225" s="3">
        <v>4127.7299999999996</v>
      </c>
      <c r="J225" s="3">
        <v>40598.339999999997</v>
      </c>
      <c r="K225" s="3">
        <v>18527.12</v>
      </c>
      <c r="L225" s="3">
        <v>2471.5</v>
      </c>
      <c r="M225" s="3">
        <v>9695.77</v>
      </c>
      <c r="N225" s="6">
        <f>VLOOKUP(A225,'[1]俄罗斯交易系统市值加权指数历史数据 (1)'!$A:$B,2,)</f>
        <v>1233.93</v>
      </c>
      <c r="O225" s="3">
        <v>4484.55</v>
      </c>
      <c r="P225" s="1">
        <v>407.46</v>
      </c>
      <c r="Q225" s="3">
        <v>8503</v>
      </c>
      <c r="R225" s="1">
        <v>725.83</v>
      </c>
      <c r="S225" s="3">
        <v>10677.2</v>
      </c>
      <c r="T225" s="3">
        <v>6695.55</v>
      </c>
      <c r="U225" s="3">
        <v>3230.33</v>
      </c>
      <c r="V225" s="6">
        <f>VLOOKUP(A225,[2]韩国KOSPI指数历史数据!$A:$B,2,)</f>
        <v>1988.09</v>
      </c>
      <c r="W225" s="6">
        <f>VLOOKUP(A225,[3]日经225指数历史数据!$A:$B,2,)</f>
        <v>15063.77</v>
      </c>
      <c r="X225" s="3">
        <v>1417.77</v>
      </c>
      <c r="Y225" s="6">
        <f>VLOOKUP(A225,[4]上证指数历史数据!$A:$B,2,)</f>
        <v>2058.83</v>
      </c>
      <c r="Z225" s="6">
        <f>VLOOKUP(A225,[5]深证成份指数历史数据!$A:$B,2,)</f>
        <v>7367.8</v>
      </c>
      <c r="AA225" s="6">
        <f>VLOOKUP(A225,[6]台湾加权指数历史数据!$A:$B,2,)</f>
        <v>8888.5400000000009</v>
      </c>
      <c r="AB225" s="3">
        <v>22510.080000000002</v>
      </c>
      <c r="AC225" s="3">
        <v>3212.72</v>
      </c>
      <c r="AD225">
        <v>6694.35</v>
      </c>
      <c r="AE225" s="5">
        <f>VLOOKUP(A225,[7]越南VN30指数历史数据!$A:$B,2,)</f>
        <v>667.33</v>
      </c>
      <c r="AF225">
        <v>43537.43</v>
      </c>
      <c r="AG225" s="9">
        <v>11218.43</v>
      </c>
      <c r="AH225">
        <v>9522.2099999999991</v>
      </c>
      <c r="AI225">
        <v>1742.82</v>
      </c>
      <c r="AJ225">
        <v>1977.61</v>
      </c>
    </row>
    <row r="226" spans="1:36" x14ac:dyDescent="0.3">
      <c r="A226" s="2">
        <v>41735</v>
      </c>
      <c r="B226" s="3">
        <v>6468.57</v>
      </c>
      <c r="C226" s="4">
        <v>51867</v>
      </c>
      <c r="D226" s="3">
        <v>5428.6</v>
      </c>
      <c r="E226" s="3">
        <v>16026.75</v>
      </c>
      <c r="F226" s="3">
        <v>14257.69</v>
      </c>
      <c r="G226" s="3">
        <v>1111.44</v>
      </c>
      <c r="H226" s="3">
        <v>1815.69</v>
      </c>
      <c r="I226" s="3">
        <v>3999.73</v>
      </c>
      <c r="J226" s="3">
        <v>40380.79</v>
      </c>
      <c r="K226" s="3">
        <v>18936.36</v>
      </c>
      <c r="L226" s="3">
        <v>2464.12</v>
      </c>
      <c r="M226" s="3">
        <v>9315.2900000000009</v>
      </c>
      <c r="N226" s="6">
        <f>VLOOKUP(A226,'[1]俄罗斯交易系统市值加权指数历史数据 (1)'!$A:$B,2,)</f>
        <v>1204.07</v>
      </c>
      <c r="O226" s="3">
        <v>4365.8599999999997</v>
      </c>
      <c r="P226" s="1">
        <v>395.64</v>
      </c>
      <c r="Q226" s="3">
        <v>8298.82</v>
      </c>
      <c r="R226" s="1">
        <v>727.36</v>
      </c>
      <c r="S226" s="3">
        <v>10205.4</v>
      </c>
      <c r="T226" s="3">
        <v>6561.7</v>
      </c>
      <c r="U226" s="3">
        <v>3116.54</v>
      </c>
      <c r="V226" s="6">
        <f>VLOOKUP(A226,[2]韩国KOSPI指数历史数据!$A:$B,2,)</f>
        <v>1997.44</v>
      </c>
      <c r="W226" s="6">
        <f>VLOOKUP(A226,[3]日经225指数历史数据!$A:$B,2,)</f>
        <v>13960.05</v>
      </c>
      <c r="X226" s="3">
        <v>1412.52</v>
      </c>
      <c r="Y226" s="6">
        <f>VLOOKUP(A226,[4]上证指数历史数据!$A:$B,2,)</f>
        <v>2130.54</v>
      </c>
      <c r="Z226" s="6">
        <f>VLOOKUP(A226,[5]深证成份指数历史数据!$A:$B,2,)</f>
        <v>7586.82</v>
      </c>
      <c r="AA226" s="6">
        <f>VLOOKUP(A226,[6]台湾加权指数历史数据!$A:$B,2,)</f>
        <v>8908.0499999999993</v>
      </c>
      <c r="AB226" s="3">
        <v>23003.64</v>
      </c>
      <c r="AC226" s="3">
        <v>3198.22</v>
      </c>
      <c r="AD226">
        <v>6776.3</v>
      </c>
      <c r="AE226" s="5">
        <f>VLOOKUP(A226,[7]越南VN30指数历史数据!$A:$B,2,)</f>
        <v>665.85</v>
      </c>
      <c r="AF226">
        <v>43116.91</v>
      </c>
      <c r="AG226" s="9">
        <v>11502.32</v>
      </c>
      <c r="AH226">
        <v>9600.2199999999993</v>
      </c>
      <c r="AI226">
        <v>1761.58</v>
      </c>
      <c r="AJ226">
        <v>1967.83</v>
      </c>
    </row>
    <row r="227" spans="1:36" x14ac:dyDescent="0.3">
      <c r="A227" s="2">
        <v>41742</v>
      </c>
      <c r="B227" s="3">
        <v>6449.87</v>
      </c>
      <c r="C227" s="4">
        <v>52112</v>
      </c>
      <c r="D227" s="3">
        <v>5454.2</v>
      </c>
      <c r="E227" s="3">
        <v>16408.54</v>
      </c>
      <c r="F227" s="3">
        <v>14500.39</v>
      </c>
      <c r="G227" s="3">
        <v>1137.9000000000001</v>
      </c>
      <c r="H227" s="3">
        <v>1864.85</v>
      </c>
      <c r="I227" s="3">
        <v>4095.52</v>
      </c>
      <c r="J227" s="3">
        <v>40890.53</v>
      </c>
      <c r="K227" s="3">
        <v>19101.009999999998</v>
      </c>
      <c r="L227" s="3">
        <v>2433.91</v>
      </c>
      <c r="M227" s="3">
        <v>9409.7099999999991</v>
      </c>
      <c r="N227" s="6">
        <f>VLOOKUP(A227,'[1]俄罗斯交易系统市值加权指数历史数据 (1)'!$A:$B,2,)</f>
        <v>1200.22</v>
      </c>
      <c r="O227" s="3">
        <v>4431.8100000000004</v>
      </c>
      <c r="P227" s="1">
        <v>396.76</v>
      </c>
      <c r="Q227" s="3">
        <v>8375.08</v>
      </c>
      <c r="R227" s="1">
        <v>734.76</v>
      </c>
      <c r="S227" s="3">
        <v>10292.4</v>
      </c>
      <c r="T227" s="3">
        <v>6625.25</v>
      </c>
      <c r="U227" s="3">
        <v>3155.81</v>
      </c>
      <c r="V227" s="6">
        <f>VLOOKUP(A227,[2]韩国KOSPI指数历史数据!$A:$B,2,)</f>
        <v>2004.28</v>
      </c>
      <c r="W227" s="6">
        <f>VLOOKUP(A227,[3]日经225指数历史数据!$A:$B,2,)</f>
        <v>14516.27</v>
      </c>
      <c r="X227" s="3">
        <v>1389.02</v>
      </c>
      <c r="Y227" s="6">
        <f>VLOOKUP(A227,[4]上证指数历史数据!$A:$B,2,)</f>
        <v>2097.75</v>
      </c>
      <c r="Z227" s="6">
        <f>VLOOKUP(A227,[5]深证成份指数历史数据!$A:$B,2,)</f>
        <v>7455.74</v>
      </c>
      <c r="AA227" s="6">
        <f>VLOOKUP(A227,[6]台湾加权指数历史数据!$A:$B,2,)</f>
        <v>8966.66</v>
      </c>
      <c r="AB227" s="3">
        <v>22760.240000000002</v>
      </c>
      <c r="AC227" s="3">
        <v>3253.8</v>
      </c>
      <c r="AD227">
        <v>6779.4</v>
      </c>
      <c r="AE227" s="5">
        <f>VLOOKUP(A227,[7]越南VN30指数历史数据!$A:$B,2,)</f>
        <v>621.13</v>
      </c>
      <c r="AF227">
        <v>43446.52</v>
      </c>
      <c r="AG227" s="9">
        <v>11840.07</v>
      </c>
      <c r="AH227">
        <v>9555.0499999999993</v>
      </c>
      <c r="AI227">
        <v>1768.39</v>
      </c>
      <c r="AJ227">
        <v>1998.03</v>
      </c>
    </row>
    <row r="228" spans="1:36" x14ac:dyDescent="0.3">
      <c r="A228" s="2">
        <v>41749</v>
      </c>
      <c r="B228" s="3">
        <v>6557.29</v>
      </c>
      <c r="C228" s="4">
        <v>51399</v>
      </c>
      <c r="D228" s="3">
        <v>5531</v>
      </c>
      <c r="E228" s="3">
        <v>16361.46</v>
      </c>
      <c r="F228" s="3">
        <v>14533.57</v>
      </c>
      <c r="G228" s="3">
        <v>1123.03</v>
      </c>
      <c r="H228" s="3">
        <v>1863.4</v>
      </c>
      <c r="I228" s="3">
        <v>4075.56</v>
      </c>
      <c r="J228" s="3">
        <v>40198.400000000001</v>
      </c>
      <c r="K228" s="3">
        <v>18840.91</v>
      </c>
      <c r="L228" s="3">
        <v>2429.8000000000002</v>
      </c>
      <c r="M228" s="3">
        <v>9401.5499999999993</v>
      </c>
      <c r="N228" s="6">
        <f>VLOOKUP(A228,'[1]俄罗斯交易系统市值加权指数历史数据 (1)'!$A:$B,2,)</f>
        <v>1119.3699999999999</v>
      </c>
      <c r="O228" s="3">
        <v>4443.63</v>
      </c>
      <c r="P228" s="1">
        <v>392.85</v>
      </c>
      <c r="Q228" s="3">
        <v>8374.4699999999993</v>
      </c>
      <c r="R228" s="1">
        <v>713.89</v>
      </c>
      <c r="S228" s="3">
        <v>10306.200000000001</v>
      </c>
      <c r="T228" s="3">
        <v>6685.69</v>
      </c>
      <c r="U228" s="3">
        <v>3147.4</v>
      </c>
      <c r="V228" s="6">
        <f>VLOOKUP(A228,[2]韩国KOSPI指数历史数据!$A:$B,2,)</f>
        <v>1971.66</v>
      </c>
      <c r="W228" s="6">
        <f>VLOOKUP(A228,[3]日经225指数历史数据!$A:$B,2,)</f>
        <v>14429.26</v>
      </c>
      <c r="X228" s="3">
        <v>1389.92</v>
      </c>
      <c r="Y228" s="6">
        <f>VLOOKUP(A228,[4]上证指数历史数据!$A:$B,2,)</f>
        <v>2036.52</v>
      </c>
      <c r="Z228" s="6">
        <f>VLOOKUP(A228,[5]深证成份指数历史数据!$A:$B,2,)</f>
        <v>7323.65</v>
      </c>
      <c r="AA228" s="6">
        <f>VLOOKUP(A228,[6]台湾加权指数历史数据!$A:$B,2,)</f>
        <v>8774.1200000000008</v>
      </c>
      <c r="AB228" s="3">
        <v>22223.53</v>
      </c>
      <c r="AC228" s="3">
        <v>3267.57</v>
      </c>
      <c r="AD228">
        <v>6782.75</v>
      </c>
      <c r="AE228" s="5">
        <f>VLOOKUP(A228,[7]越南VN30指数历史数据!$A:$B,2,)</f>
        <v>636.35</v>
      </c>
      <c r="AF228">
        <v>43851.17</v>
      </c>
      <c r="AG228" s="9">
        <v>12126.1</v>
      </c>
      <c r="AH228">
        <v>9515.48</v>
      </c>
      <c r="AI228">
        <v>1760.62</v>
      </c>
      <c r="AJ228">
        <v>2017.23</v>
      </c>
    </row>
    <row r="229" spans="1:36" x14ac:dyDescent="0.3">
      <c r="A229" s="2">
        <v>41756</v>
      </c>
      <c r="B229" s="3">
        <v>6782.01</v>
      </c>
      <c r="C229" s="4">
        <v>52980</v>
      </c>
      <c r="D229" s="3">
        <v>5458.1</v>
      </c>
      <c r="E229" s="3">
        <v>16512.89</v>
      </c>
      <c r="F229" s="3">
        <v>14765.15</v>
      </c>
      <c r="G229" s="3">
        <v>1128.8</v>
      </c>
      <c r="H229" s="3">
        <v>1881.14</v>
      </c>
      <c r="I229" s="3">
        <v>4123.8999999999996</v>
      </c>
      <c r="J229" s="3">
        <v>40967.949999999997</v>
      </c>
      <c r="K229" s="3">
        <v>19261.29</v>
      </c>
      <c r="L229" s="3">
        <v>2432.06</v>
      </c>
      <c r="M229" s="3">
        <v>9556.02</v>
      </c>
      <c r="N229" s="6">
        <f>VLOOKUP(A229,'[1]俄罗斯交易系统市值加权指数历史数据 (1)'!$A:$B,2,)</f>
        <v>1148.96</v>
      </c>
      <c r="O229" s="3">
        <v>4458.17</v>
      </c>
      <c r="P229" s="1">
        <v>399.23</v>
      </c>
      <c r="Q229" s="3">
        <v>8442.7099999999991</v>
      </c>
      <c r="R229" s="1">
        <v>751.59</v>
      </c>
      <c r="S229" s="3">
        <v>10474.5</v>
      </c>
      <c r="T229" s="3">
        <v>6822.42</v>
      </c>
      <c r="U229" s="3">
        <v>3177.89</v>
      </c>
      <c r="V229" s="6">
        <f>VLOOKUP(A229,[2]韩国KOSPI指数历史数据!$A:$B,2,)</f>
        <v>1959.44</v>
      </c>
      <c r="W229" s="6">
        <f>VLOOKUP(A229,[3]日经225指数历史数据!$A:$B,2,)</f>
        <v>14457.51</v>
      </c>
      <c r="X229" s="3">
        <v>1379.88</v>
      </c>
      <c r="Y229" s="6">
        <f>VLOOKUP(A229,[4]上证指数历史数据!$A:$B,2,)</f>
        <v>2026.36</v>
      </c>
      <c r="Z229" s="6">
        <f>VLOOKUP(A229,[5]深证成份指数历史数据!$A:$B,2,)</f>
        <v>7312.86</v>
      </c>
      <c r="AA229" s="6">
        <f>VLOOKUP(A229,[6]台湾加权指数历史数据!$A:$B,2,)</f>
        <v>8867.32</v>
      </c>
      <c r="AB229" s="3">
        <v>22260.67</v>
      </c>
      <c r="AC229" s="3">
        <v>3252.55</v>
      </c>
      <c r="AD229">
        <v>6694.8</v>
      </c>
      <c r="AE229" s="5">
        <f>VLOOKUP(A229,[7]越南VN30指数历史数据!$A:$B,2,)</f>
        <v>632.1</v>
      </c>
      <c r="AF229">
        <v>44015.07</v>
      </c>
      <c r="AG229" s="9">
        <v>12044.24</v>
      </c>
      <c r="AH229">
        <v>9484.14</v>
      </c>
      <c r="AI229">
        <v>1744.39</v>
      </c>
      <c r="AJ229">
        <v>2040.68</v>
      </c>
    </row>
    <row r="230" spans="1:36" x14ac:dyDescent="0.3">
      <c r="A230" s="2">
        <v>41763</v>
      </c>
      <c r="B230" s="3">
        <v>6846.69</v>
      </c>
      <c r="C230" s="4">
        <v>53100</v>
      </c>
      <c r="D230" s="3">
        <v>5460.8</v>
      </c>
      <c r="E230" s="3">
        <v>16583.34</v>
      </c>
      <c r="F230" s="3">
        <v>14534.06</v>
      </c>
      <c r="G230" s="3">
        <v>1107.22</v>
      </c>
      <c r="H230" s="3">
        <v>1878.48</v>
      </c>
      <c r="I230" s="3">
        <v>4071.87</v>
      </c>
      <c r="J230" s="3">
        <v>41641.11</v>
      </c>
      <c r="K230" s="3">
        <v>19151.740000000002</v>
      </c>
      <c r="L230" s="3">
        <v>2387.81</v>
      </c>
      <c r="M230" s="3">
        <v>9581.4500000000007</v>
      </c>
      <c r="N230" s="6">
        <f>VLOOKUP(A230,'[1]俄罗斯交易系统市值加权指数历史数据 (1)'!$A:$B,2,)</f>
        <v>1232.78</v>
      </c>
      <c r="O230" s="3">
        <v>4477.28</v>
      </c>
      <c r="P230" s="1">
        <v>401.93</v>
      </c>
      <c r="Q230" s="3">
        <v>8510.39</v>
      </c>
      <c r="R230" s="1">
        <v>755.63</v>
      </c>
      <c r="S230" s="3">
        <v>10487.2</v>
      </c>
      <c r="T230" s="3">
        <v>6814.57</v>
      </c>
      <c r="U230" s="3">
        <v>3184.09</v>
      </c>
      <c r="V230" s="6">
        <f>VLOOKUP(A230,[2]韩国KOSPI指数历史数据!$A:$B,2,)</f>
        <v>1956.55</v>
      </c>
      <c r="W230" s="6">
        <f>VLOOKUP(A230,[3]日经225指数历史数据!$A:$B,2,)</f>
        <v>14199.59</v>
      </c>
      <c r="X230" s="3">
        <v>1372.18</v>
      </c>
      <c r="Y230" s="6">
        <f>VLOOKUP(A230,[4]上证指数历史数据!$A:$B,2,)</f>
        <v>2011.13</v>
      </c>
      <c r="Z230" s="6">
        <f>VLOOKUP(A230,[5]深证成份指数历史数据!$A:$B,2,)</f>
        <v>7162.44</v>
      </c>
      <c r="AA230" s="6">
        <f>VLOOKUP(A230,[6]台湾加权指数历史数据!$A:$B,2,)</f>
        <v>8889.69</v>
      </c>
      <c r="AB230" s="3">
        <v>21862.99</v>
      </c>
      <c r="AC230" s="3">
        <v>3252.13</v>
      </c>
      <c r="AD230">
        <v>6858.8</v>
      </c>
      <c r="AE230" s="5">
        <f>VLOOKUP(A230,[7]越南VN30指数历史数据!$A:$B,2,)</f>
        <v>587.91</v>
      </c>
      <c r="AF230">
        <v>43741.1</v>
      </c>
      <c r="AG230" s="9">
        <v>11986.56</v>
      </c>
      <c r="AH230">
        <v>9455.1</v>
      </c>
      <c r="AI230">
        <v>1737.43</v>
      </c>
      <c r="AJ230">
        <v>2028.41</v>
      </c>
    </row>
    <row r="231" spans="1:36" x14ac:dyDescent="0.3">
      <c r="A231" s="2">
        <v>41770</v>
      </c>
      <c r="B231" s="3">
        <v>6878.73</v>
      </c>
      <c r="C231" s="4">
        <v>53976</v>
      </c>
      <c r="D231" s="3">
        <v>5479</v>
      </c>
      <c r="E231" s="3">
        <v>16491.310000000001</v>
      </c>
      <c r="F231" s="3">
        <v>14514.74</v>
      </c>
      <c r="G231" s="3">
        <v>1102.9100000000001</v>
      </c>
      <c r="H231" s="3">
        <v>1877.86</v>
      </c>
      <c r="I231" s="3">
        <v>4090.59</v>
      </c>
      <c r="J231" s="3">
        <v>41898.839999999997</v>
      </c>
      <c r="K231" s="3">
        <v>19381.990000000002</v>
      </c>
      <c r="L231" s="3">
        <v>2392.89</v>
      </c>
      <c r="M231" s="3">
        <v>9629.1</v>
      </c>
      <c r="N231" s="6">
        <f>VLOOKUP(A231,'[1]俄罗斯交易系统市值加权指数历史数据 (1)'!$A:$B,2,)</f>
        <v>1262.01</v>
      </c>
      <c r="O231" s="3">
        <v>4456.28</v>
      </c>
      <c r="P231" s="1">
        <v>399.56</v>
      </c>
      <c r="Q231" s="3">
        <v>8683.6200000000008</v>
      </c>
      <c r="R231" s="1">
        <v>750.09</v>
      </c>
      <c r="S231" s="3">
        <v>10478.700000000001</v>
      </c>
      <c r="T231" s="3">
        <v>6855.81</v>
      </c>
      <c r="U231" s="3">
        <v>3172.72</v>
      </c>
      <c r="V231" s="6">
        <f>VLOOKUP(A231,[2]韩国KOSPI指数历史数据!$A:$B,2,)</f>
        <v>2013.44</v>
      </c>
      <c r="W231" s="6">
        <f>VLOOKUP(A231,[3]日经225指数历史数据!$A:$B,2,)</f>
        <v>14096.59</v>
      </c>
      <c r="X231" s="3">
        <v>1378.27</v>
      </c>
      <c r="Y231" s="6">
        <f>VLOOKUP(A231,[4]上证指数历史数据!$A:$B,2,)</f>
        <v>2026.5</v>
      </c>
      <c r="Z231" s="6">
        <f>VLOOKUP(A231,[5]深证成份指数历史数据!$A:$B,2,)</f>
        <v>7242.17</v>
      </c>
      <c r="AA231" s="6">
        <f>VLOOKUP(A231,[6]台湾加权指数历史数据!$A:$B,2,)</f>
        <v>8888.4500000000007</v>
      </c>
      <c r="AB231" s="3">
        <v>22712.91</v>
      </c>
      <c r="AC231" s="3">
        <v>3262.59</v>
      </c>
      <c r="AD231">
        <v>7203</v>
      </c>
      <c r="AE231" s="5">
        <f>VLOOKUP(A231,[7]越南VN30指数历史数据!$A:$B,2,)</f>
        <v>581.92999999999995</v>
      </c>
      <c r="AF231">
        <v>44078.03</v>
      </c>
      <c r="AG231" s="9">
        <v>12501.89</v>
      </c>
      <c r="AH231">
        <v>9449.2999999999993</v>
      </c>
      <c r="AI231">
        <v>1772.75</v>
      </c>
      <c r="AJ231">
        <v>1955.91</v>
      </c>
    </row>
    <row r="232" spans="1:36" x14ac:dyDescent="0.3">
      <c r="A232" s="2">
        <v>41777</v>
      </c>
      <c r="B232" s="3">
        <v>7446.85</v>
      </c>
      <c r="C232" s="4">
        <v>52626</v>
      </c>
      <c r="D232" s="3">
        <v>5492.8</v>
      </c>
      <c r="E232" s="3">
        <v>16606.27</v>
      </c>
      <c r="F232" s="3">
        <v>14708.1</v>
      </c>
      <c r="G232" s="3">
        <v>1126.19</v>
      </c>
      <c r="H232" s="3">
        <v>1900.53</v>
      </c>
      <c r="I232" s="3">
        <v>4185.8100000000004</v>
      </c>
      <c r="J232" s="3">
        <v>41917.919999999998</v>
      </c>
      <c r="K232" s="3">
        <v>19336.89</v>
      </c>
      <c r="L232" s="3">
        <v>2465.52</v>
      </c>
      <c r="M232" s="3">
        <v>9768.01</v>
      </c>
      <c r="N232" s="6">
        <f>VLOOKUP(A232,'[1]俄罗斯交易系统市值加权指数历史数据 (1)'!$A:$B,2,)</f>
        <v>1326.58</v>
      </c>
      <c r="O232" s="3">
        <v>4493.1499999999996</v>
      </c>
      <c r="P232" s="1">
        <v>405.14</v>
      </c>
      <c r="Q232" s="3">
        <v>8703.84</v>
      </c>
      <c r="R232" s="1">
        <v>780.61</v>
      </c>
      <c r="S232" s="3">
        <v>10558.9</v>
      </c>
      <c r="T232" s="3">
        <v>6815.75</v>
      </c>
      <c r="U232" s="3">
        <v>3203.28</v>
      </c>
      <c r="V232" s="6">
        <f>VLOOKUP(A232,[2]韩国KOSPI指数历史数据!$A:$B,2,)</f>
        <v>2017.17</v>
      </c>
      <c r="W232" s="6">
        <f>VLOOKUP(A232,[3]日经225指数历史数据!$A:$B,2,)</f>
        <v>14462.17</v>
      </c>
      <c r="X232" s="3">
        <v>1389.31</v>
      </c>
      <c r="Y232" s="6">
        <f>VLOOKUP(A232,[4]上证指数历史数据!$A:$B,2,)</f>
        <v>2034.57</v>
      </c>
      <c r="Z232" s="6">
        <f>VLOOKUP(A232,[5]深证成份指数历史数据!$A:$B,2,)</f>
        <v>7240.92</v>
      </c>
      <c r="AA232" s="6">
        <f>VLOOKUP(A232,[6]台湾加权指数历史数据!$A:$B,2,)</f>
        <v>9008.2199999999993</v>
      </c>
      <c r="AB232" s="3">
        <v>22965.86</v>
      </c>
      <c r="AC232" s="3">
        <v>3278.02</v>
      </c>
      <c r="AD232">
        <v>7367.1</v>
      </c>
      <c r="AE232" s="5">
        <f>VLOOKUP(A232,[7]越南VN30指数历史数据!$A:$B,2,)</f>
        <v>594.35</v>
      </c>
      <c r="AF232">
        <v>44894.82</v>
      </c>
      <c r="AG232" s="9">
        <v>12754.3</v>
      </c>
      <c r="AH232">
        <v>9485.5499999999993</v>
      </c>
      <c r="AI232">
        <v>1817.61</v>
      </c>
      <c r="AJ232">
        <v>1989.4</v>
      </c>
    </row>
    <row r="233" spans="1:36" x14ac:dyDescent="0.3">
      <c r="A233" s="2">
        <v>41784</v>
      </c>
      <c r="B233" s="3">
        <v>7712.23</v>
      </c>
      <c r="C233" s="4">
        <v>51239</v>
      </c>
      <c r="D233" s="3">
        <v>5492.5</v>
      </c>
      <c r="E233" s="3">
        <v>16717.169999999998</v>
      </c>
      <c r="F233" s="3">
        <v>14604.16</v>
      </c>
      <c r="G233" s="3">
        <v>1134.5</v>
      </c>
      <c r="H233" s="3">
        <v>1923.57</v>
      </c>
      <c r="I233" s="3">
        <v>4242.62</v>
      </c>
      <c r="J233" s="3">
        <v>41362.51</v>
      </c>
      <c r="K233" s="3">
        <v>19103.009999999998</v>
      </c>
      <c r="L233" s="3">
        <v>2429.5100000000002</v>
      </c>
      <c r="M233" s="3">
        <v>9943.27</v>
      </c>
      <c r="N233" s="6">
        <f>VLOOKUP(A233,'[1]俄罗斯交易系统市值加权指数历史数据 (1)'!$A:$B,2,)</f>
        <v>1295.75</v>
      </c>
      <c r="O233" s="3">
        <v>4519.57</v>
      </c>
      <c r="P233" s="1">
        <v>407.21</v>
      </c>
      <c r="Q233" s="3">
        <v>8674.52</v>
      </c>
      <c r="R233" s="1">
        <v>792.9</v>
      </c>
      <c r="S233" s="3">
        <v>10798.7</v>
      </c>
      <c r="T233" s="3">
        <v>6844.51</v>
      </c>
      <c r="U233" s="3">
        <v>3244.6</v>
      </c>
      <c r="V233" s="6">
        <f>VLOOKUP(A233,[2]韩国KOSPI指数历史数据!$A:$B,2,)</f>
        <v>1994.96</v>
      </c>
      <c r="W233" s="6">
        <f>VLOOKUP(A233,[3]日经225指数历史数据!$A:$B,2,)</f>
        <v>14632.38</v>
      </c>
      <c r="X233" s="3">
        <v>1393.42</v>
      </c>
      <c r="Y233" s="6">
        <f>VLOOKUP(A233,[4]上证指数历史数据!$A:$B,2,)</f>
        <v>2039.21</v>
      </c>
      <c r="Z233" s="6">
        <f>VLOOKUP(A233,[5]深证成份指数历史数据!$A:$B,2,)</f>
        <v>7364.83</v>
      </c>
      <c r="AA233" s="6">
        <f>VLOOKUP(A233,[6]台湾加权指数历史数据!$A:$B,2,)</f>
        <v>9075.91</v>
      </c>
      <c r="AB233" s="3">
        <v>23081.65</v>
      </c>
      <c r="AC233" s="3">
        <v>3295.85</v>
      </c>
      <c r="AD233">
        <v>7229.95</v>
      </c>
      <c r="AE233" s="5">
        <f>VLOOKUP(A233,[7]越南VN30指数历史数据!$A:$B,2,)</f>
        <v>618</v>
      </c>
      <c r="AF233">
        <v>44641.55</v>
      </c>
      <c r="AG233" s="9">
        <v>12058.2</v>
      </c>
      <c r="AH233">
        <v>9494.7900000000009</v>
      </c>
      <c r="AI233">
        <v>1896.47</v>
      </c>
      <c r="AJ233">
        <v>2019.68</v>
      </c>
    </row>
    <row r="234" spans="1:36" x14ac:dyDescent="0.3">
      <c r="A234" s="2">
        <v>41791</v>
      </c>
      <c r="B234" s="3">
        <v>7913.87</v>
      </c>
      <c r="C234" s="4">
        <v>53129</v>
      </c>
      <c r="D234" s="3">
        <v>5464</v>
      </c>
      <c r="E234" s="3">
        <v>16924.28</v>
      </c>
      <c r="F234" s="3">
        <v>14838.9</v>
      </c>
      <c r="G234" s="3">
        <v>1165.21</v>
      </c>
      <c r="H234" s="3">
        <v>1949.44</v>
      </c>
      <c r="I234" s="3">
        <v>4321.3999999999996</v>
      </c>
      <c r="J234" s="3">
        <v>42778.26</v>
      </c>
      <c r="K234" s="3">
        <v>19200.27</v>
      </c>
      <c r="L234" s="3">
        <v>2498.6999999999998</v>
      </c>
      <c r="M234" s="3">
        <v>9987.19</v>
      </c>
      <c r="N234" s="6">
        <f>VLOOKUP(A234,'[1]俄罗斯交易系统市值加权指数历史数据 (1)'!$A:$B,2,)</f>
        <v>1359.1</v>
      </c>
      <c r="O234" s="3">
        <v>4581.12</v>
      </c>
      <c r="P234" s="1">
        <v>413.26</v>
      </c>
      <c r="Q234" s="3">
        <v>8659.69</v>
      </c>
      <c r="R234" s="1">
        <v>803.98</v>
      </c>
      <c r="S234" s="3">
        <v>11064.3</v>
      </c>
      <c r="T234" s="3">
        <v>6858.21</v>
      </c>
      <c r="U234" s="3">
        <v>3294.28</v>
      </c>
      <c r="V234" s="6">
        <f>VLOOKUP(A234,[2]韩国KOSPI指数历史数据!$A:$B,2,)</f>
        <v>1995.48</v>
      </c>
      <c r="W234" s="6">
        <f>VLOOKUP(A234,[3]日经225指数历史数据!$A:$B,2,)</f>
        <v>15077.24</v>
      </c>
      <c r="X234" s="3">
        <v>1400.42</v>
      </c>
      <c r="Y234" s="6">
        <f>VLOOKUP(A234,[4]上证指数历史数据!$A:$B,2,)</f>
        <v>2029.96</v>
      </c>
      <c r="Z234" s="6">
        <f>VLOOKUP(A234,[5]深证成份指数历史数据!$A:$B,2,)</f>
        <v>7235.39</v>
      </c>
      <c r="AA234" s="6">
        <f>VLOOKUP(A234,[6]台湾加权指数历史数据!$A:$B,2,)</f>
        <v>9134.4599999999991</v>
      </c>
      <c r="AB234" s="3">
        <v>22951</v>
      </c>
      <c r="AC234" s="3">
        <v>3299.43</v>
      </c>
      <c r="AD234">
        <v>7583.4</v>
      </c>
      <c r="AE234" s="5">
        <f>VLOOKUP(A234,[7]越南VN30指数历史数据!$A:$B,2,)</f>
        <v>608.48</v>
      </c>
      <c r="AF234">
        <v>44929.1</v>
      </c>
      <c r="AG234" s="9">
        <v>12451.85</v>
      </c>
      <c r="AH234">
        <v>9338.3799999999992</v>
      </c>
      <c r="AI234">
        <v>1898.07</v>
      </c>
      <c r="AJ234">
        <v>2026.61</v>
      </c>
    </row>
    <row r="235" spans="1:36" x14ac:dyDescent="0.3">
      <c r="A235" s="2">
        <v>41798</v>
      </c>
      <c r="B235" s="3">
        <v>8047.37</v>
      </c>
      <c r="C235" s="4">
        <v>54807</v>
      </c>
      <c r="D235" s="3">
        <v>5405.1</v>
      </c>
      <c r="E235" s="3">
        <v>16775.740000000002</v>
      </c>
      <c r="F235" s="3">
        <v>15001.61</v>
      </c>
      <c r="G235" s="3">
        <v>1162.68</v>
      </c>
      <c r="H235" s="3">
        <v>1936.16</v>
      </c>
      <c r="I235" s="3">
        <v>4310.6499999999996</v>
      </c>
      <c r="J235" s="3">
        <v>42485.66</v>
      </c>
      <c r="K235" s="3">
        <v>18886.37</v>
      </c>
      <c r="L235" s="3">
        <v>2471.8200000000002</v>
      </c>
      <c r="M235" s="3">
        <v>9912.8700000000008</v>
      </c>
      <c r="N235" s="6">
        <f>VLOOKUP(A235,'[1]俄罗斯交易系统市值加权指数历史数据 (1)'!$A:$B,2,)</f>
        <v>1374.94</v>
      </c>
      <c r="O235" s="3">
        <v>4543.28</v>
      </c>
      <c r="P235" s="1">
        <v>414.05</v>
      </c>
      <c r="Q235" s="3">
        <v>8653.76</v>
      </c>
      <c r="R235" s="1">
        <v>790.12</v>
      </c>
      <c r="S235" s="3">
        <v>11113.7</v>
      </c>
      <c r="T235" s="3">
        <v>6777.85</v>
      </c>
      <c r="U235" s="3">
        <v>3282.84</v>
      </c>
      <c r="V235" s="6">
        <f>VLOOKUP(A235,[2]韩国KOSPI指数历史数据!$A:$B,2,)</f>
        <v>1990.85</v>
      </c>
      <c r="W235" s="6">
        <f>VLOOKUP(A235,[3]日经225指数历史数据!$A:$B,2,)</f>
        <v>15097.84</v>
      </c>
      <c r="X235" s="3">
        <v>1397.39</v>
      </c>
      <c r="Y235" s="6">
        <f>VLOOKUP(A235,[4]上证指数历史数据!$A:$B,2,)</f>
        <v>2070.71</v>
      </c>
      <c r="Z235" s="6">
        <f>VLOOKUP(A235,[5]深证成份指数历史数据!$A:$B,2,)</f>
        <v>7401.35</v>
      </c>
      <c r="AA235" s="6">
        <f>VLOOKUP(A235,[6]台湾加权指数历史数据!$A:$B,2,)</f>
        <v>9196.39</v>
      </c>
      <c r="AB235" s="3">
        <v>23319.17</v>
      </c>
      <c r="AC235" s="3">
        <v>3293.25</v>
      </c>
      <c r="AD235">
        <v>7542.1</v>
      </c>
      <c r="AE235" s="5">
        <f>VLOOKUP(A235,[7]越南VN30指数历史数据!$A:$B,2,)</f>
        <v>617.73</v>
      </c>
      <c r="AF235">
        <v>45803.040000000001</v>
      </c>
      <c r="AG235" s="9">
        <v>12806.17</v>
      </c>
      <c r="AH235">
        <v>9398.85</v>
      </c>
      <c r="AI235">
        <v>1902.04</v>
      </c>
      <c r="AJ235">
        <v>2096.79</v>
      </c>
    </row>
    <row r="236" spans="1:36" x14ac:dyDescent="0.3">
      <c r="A236" s="2">
        <v>41805</v>
      </c>
      <c r="B236" s="3">
        <v>7347.64</v>
      </c>
      <c r="C236" s="4">
        <v>54638</v>
      </c>
      <c r="D236" s="3">
        <v>5419.5</v>
      </c>
      <c r="E236" s="3">
        <v>16947.080000000002</v>
      </c>
      <c r="F236" s="3">
        <v>15108.97</v>
      </c>
      <c r="G236" s="3">
        <v>1188.43</v>
      </c>
      <c r="H236" s="3">
        <v>1962.87</v>
      </c>
      <c r="I236" s="3">
        <v>4368.04</v>
      </c>
      <c r="J236" s="3">
        <v>42865.72</v>
      </c>
      <c r="K236" s="3">
        <v>18903.96</v>
      </c>
      <c r="L236" s="3">
        <v>2462.13</v>
      </c>
      <c r="M236" s="3">
        <v>9987.24</v>
      </c>
      <c r="N236" s="6">
        <f>VLOOKUP(A236,'[1]俄罗斯交易系统市值加权指数历史数据 (1)'!$A:$B,2,)</f>
        <v>1358.73</v>
      </c>
      <c r="O236" s="3">
        <v>4541.34</v>
      </c>
      <c r="P236" s="1">
        <v>417.9</v>
      </c>
      <c r="Q236" s="3">
        <v>8701.61</v>
      </c>
      <c r="R236" s="1">
        <v>784.01</v>
      </c>
      <c r="S236" s="3">
        <v>11155.1</v>
      </c>
      <c r="T236" s="3">
        <v>6825.2</v>
      </c>
      <c r="U236" s="3">
        <v>3302.36</v>
      </c>
      <c r="V236" s="6">
        <f>VLOOKUP(A236,[2]韩国KOSPI指数历史数据!$A:$B,2,)</f>
        <v>1968.07</v>
      </c>
      <c r="W236" s="6">
        <f>VLOOKUP(A236,[3]日经225指数历史数据!$A:$B,2,)</f>
        <v>15349.42</v>
      </c>
      <c r="X236" s="3">
        <v>1404.6</v>
      </c>
      <c r="Y236" s="6">
        <f>VLOOKUP(A236,[4]上证指数历史数据!$A:$B,2,)</f>
        <v>2026.67</v>
      </c>
      <c r="Z236" s="6">
        <f>VLOOKUP(A236,[5]深证成份指数历史数据!$A:$B,2,)</f>
        <v>7195.69</v>
      </c>
      <c r="AA236" s="6">
        <f>VLOOKUP(A236,[6]台湾加权指数历史数据!$A:$B,2,)</f>
        <v>9273.7900000000009</v>
      </c>
      <c r="AB236" s="3">
        <v>23194.06</v>
      </c>
      <c r="AC236" s="3">
        <v>3258.8</v>
      </c>
      <c r="AD236">
        <v>7511.45</v>
      </c>
      <c r="AE236" s="5">
        <f>VLOOKUP(A236,[7]越南VN30指数历史数据!$A:$B,2,)</f>
        <v>607.23</v>
      </c>
      <c r="AF236">
        <v>46336.08</v>
      </c>
      <c r="AG236" s="9">
        <v>12200.87</v>
      </c>
      <c r="AH236">
        <v>9271.94</v>
      </c>
      <c r="AI236">
        <v>1869.94</v>
      </c>
      <c r="AJ236">
        <v>2155.98</v>
      </c>
    </row>
    <row r="237" spans="1:36" x14ac:dyDescent="0.3">
      <c r="A237" s="2">
        <v>41812</v>
      </c>
      <c r="B237" s="3">
        <v>7905.1</v>
      </c>
      <c r="C237" s="4">
        <v>53157</v>
      </c>
      <c r="D237" s="3">
        <v>5445.1</v>
      </c>
      <c r="E237" s="3">
        <v>16851.84</v>
      </c>
      <c r="F237" s="3">
        <v>15094.25</v>
      </c>
      <c r="G237" s="3">
        <v>1189.5</v>
      </c>
      <c r="H237" s="3">
        <v>1960.96</v>
      </c>
      <c r="I237" s="3">
        <v>4397.93</v>
      </c>
      <c r="J237" s="3">
        <v>42493.86</v>
      </c>
      <c r="K237" s="3">
        <v>18899.53</v>
      </c>
      <c r="L237" s="3">
        <v>2399.63</v>
      </c>
      <c r="M237" s="3">
        <v>9815.17</v>
      </c>
      <c r="N237" s="6">
        <f>VLOOKUP(A237,'[1]俄罗斯交易系统市值加权指数历史数据 (1)'!$A:$B,2,)</f>
        <v>1379.75</v>
      </c>
      <c r="O237" s="3">
        <v>4436.99</v>
      </c>
      <c r="P237" s="1">
        <v>410.86</v>
      </c>
      <c r="Q237" s="3">
        <v>8562.11</v>
      </c>
      <c r="R237" s="1">
        <v>784.72</v>
      </c>
      <c r="S237" s="3">
        <v>10959.9</v>
      </c>
      <c r="T237" s="3">
        <v>6757.77</v>
      </c>
      <c r="U237" s="3">
        <v>3227.85</v>
      </c>
      <c r="V237" s="6">
        <f>VLOOKUP(A237,[2]韩国KOSPI指数历史数据!$A:$B,2,)</f>
        <v>1988.51</v>
      </c>
      <c r="W237" s="6">
        <f>VLOOKUP(A237,[3]日经225指数历史数据!$A:$B,2,)</f>
        <v>15095</v>
      </c>
      <c r="X237" s="3">
        <v>1384.36</v>
      </c>
      <c r="Y237" s="6">
        <f>VLOOKUP(A237,[4]上证指数历史数据!$A:$B,2,)</f>
        <v>2036.51</v>
      </c>
      <c r="Z237" s="6">
        <f>VLOOKUP(A237,[5]深证成份指数历史数据!$A:$B,2,)</f>
        <v>7312.62</v>
      </c>
      <c r="AA237" s="6">
        <f>VLOOKUP(A237,[6]台湾加权指数历史数据!$A:$B,2,)</f>
        <v>9306.83</v>
      </c>
      <c r="AB237" s="3">
        <v>23221.52</v>
      </c>
      <c r="AC237" s="3">
        <v>3271.05</v>
      </c>
      <c r="AD237">
        <v>7508.8</v>
      </c>
      <c r="AE237" s="5">
        <f>VLOOKUP(A237,[7]越南VN30指数历史数据!$A:$B,2,)</f>
        <v>616.85</v>
      </c>
      <c r="AF237">
        <v>45651.85</v>
      </c>
      <c r="AG237" s="9">
        <v>11849.52</v>
      </c>
      <c r="AH237">
        <v>9247.4500000000007</v>
      </c>
      <c r="AI237">
        <v>1918.6</v>
      </c>
      <c r="AJ237">
        <v>2173.73</v>
      </c>
    </row>
    <row r="238" spans="1:36" x14ac:dyDescent="0.3">
      <c r="A238" s="2">
        <v>41819</v>
      </c>
      <c r="B238" s="3">
        <v>8141.7</v>
      </c>
      <c r="C238" s="4">
        <v>54056</v>
      </c>
      <c r="D238" s="3">
        <v>5525</v>
      </c>
      <c r="E238" s="3">
        <v>17068.259999999998</v>
      </c>
      <c r="F238" s="3">
        <v>15214.96</v>
      </c>
      <c r="G238" s="3">
        <v>1208.1500000000001</v>
      </c>
      <c r="H238" s="3">
        <v>1985.44</v>
      </c>
      <c r="I238" s="3">
        <v>4485.93</v>
      </c>
      <c r="J238" s="3">
        <v>43518.06</v>
      </c>
      <c r="K238" s="3">
        <v>18925.47</v>
      </c>
      <c r="L238" s="3">
        <v>2363</v>
      </c>
      <c r="M238" s="3">
        <v>10009.08</v>
      </c>
      <c r="N238" s="6">
        <f>VLOOKUP(A238,'[1]俄罗斯交易系统市值加权指数历史数据 (1)'!$A:$B,2,)</f>
        <v>1360.48</v>
      </c>
      <c r="O238" s="3">
        <v>4468.9799999999996</v>
      </c>
      <c r="P238" s="1">
        <v>418.7</v>
      </c>
      <c r="Q238" s="3">
        <v>8678.2199999999993</v>
      </c>
      <c r="R238" s="1">
        <v>775.35</v>
      </c>
      <c r="S238" s="3">
        <v>11009.4</v>
      </c>
      <c r="T238" s="3">
        <v>6866.05</v>
      </c>
      <c r="U238" s="3">
        <v>3270.47</v>
      </c>
      <c r="V238" s="6">
        <f>VLOOKUP(A238,[2]韩国KOSPI指数历史数据!$A:$B,2,)</f>
        <v>2009.66</v>
      </c>
      <c r="W238" s="6">
        <f>VLOOKUP(A238,[3]日经225指数历史数据!$A:$B,2,)</f>
        <v>15437.13</v>
      </c>
      <c r="X238" s="3">
        <v>1391.87</v>
      </c>
      <c r="Y238" s="6">
        <f>VLOOKUP(A238,[4]上证指数历史数据!$A:$B,2,)</f>
        <v>2059.37</v>
      </c>
      <c r="Z238" s="6">
        <f>VLOOKUP(A238,[5]深证成份指数历史数据!$A:$B,2,)</f>
        <v>7333.91</v>
      </c>
      <c r="AA238" s="6">
        <f>VLOOKUP(A238,[6]台湾加权指数历史数据!$A:$B,2,)</f>
        <v>9510.0499999999993</v>
      </c>
      <c r="AB238" s="3">
        <v>23546.36</v>
      </c>
      <c r="AC238" s="3">
        <v>3272.25</v>
      </c>
      <c r="AD238">
        <v>7751.6</v>
      </c>
      <c r="AE238" s="5">
        <f>VLOOKUP(A238,[7]越南VN30指数历史数据!$A:$B,2,)</f>
        <v>631.02</v>
      </c>
      <c r="AF238">
        <v>47080.38</v>
      </c>
      <c r="AG238" s="9">
        <v>12110.41</v>
      </c>
      <c r="AH238">
        <v>9205.1200000000008</v>
      </c>
      <c r="AI238">
        <v>1945.15</v>
      </c>
      <c r="AJ238">
        <v>2238.31</v>
      </c>
    </row>
    <row r="239" spans="1:36" x14ac:dyDescent="0.3">
      <c r="A239" s="2">
        <v>41826</v>
      </c>
      <c r="B239" s="3">
        <v>8822.08</v>
      </c>
      <c r="C239" s="4">
        <v>54786</v>
      </c>
      <c r="D239" s="3">
        <v>5486.8</v>
      </c>
      <c r="E239" s="3">
        <v>16943.810000000001</v>
      </c>
      <c r="F239" s="3">
        <v>15125.5</v>
      </c>
      <c r="G239" s="3">
        <v>1159.93</v>
      </c>
      <c r="H239" s="3">
        <v>1967.57</v>
      </c>
      <c r="I239" s="3">
        <v>4415.49</v>
      </c>
      <c r="J239" s="3">
        <v>43481.83</v>
      </c>
      <c r="K239" s="3">
        <v>19317.54</v>
      </c>
      <c r="L239" s="3">
        <v>2372.0500000000002</v>
      </c>
      <c r="M239" s="3">
        <v>9666.34</v>
      </c>
      <c r="N239" s="6">
        <f>VLOOKUP(A239,'[1]俄罗斯交易系统市值加权指数历史数据 (1)'!$A:$B,2,)</f>
        <v>1383.18</v>
      </c>
      <c r="O239" s="3">
        <v>4316.5</v>
      </c>
      <c r="P239" s="1">
        <v>403.61</v>
      </c>
      <c r="Q239" s="3">
        <v>8468.52</v>
      </c>
      <c r="R239" s="1">
        <v>793.64</v>
      </c>
      <c r="S239" s="3">
        <v>10538.8</v>
      </c>
      <c r="T239" s="3">
        <v>6690.17</v>
      </c>
      <c r="U239" s="3">
        <v>3157.05</v>
      </c>
      <c r="V239" s="6">
        <f>VLOOKUP(A239,[2]韩国KOSPI指数历史数据!$A:$B,2,)</f>
        <v>1988.74</v>
      </c>
      <c r="W239" s="6">
        <f>VLOOKUP(A239,[3]日经225指数历史数据!$A:$B,2,)</f>
        <v>15164.04</v>
      </c>
      <c r="X239" s="3">
        <v>1371.61</v>
      </c>
      <c r="Y239" s="6">
        <f>VLOOKUP(A239,[4]上证指数历史数据!$A:$B,2,)</f>
        <v>2046.96</v>
      </c>
      <c r="Z239" s="6">
        <f>VLOOKUP(A239,[5]深证成份指数历史数据!$A:$B,2,)</f>
        <v>7206.97</v>
      </c>
      <c r="AA239" s="6">
        <f>VLOOKUP(A239,[6]台湾加权指数历史数据!$A:$B,2,)</f>
        <v>9495.84</v>
      </c>
      <c r="AB239" s="3">
        <v>23233.45</v>
      </c>
      <c r="AC239" s="3">
        <v>3293.73</v>
      </c>
      <c r="AD239">
        <v>7459.6</v>
      </c>
      <c r="AE239" s="5">
        <f>VLOOKUP(A239,[7]越南VN30指数历史数据!$A:$B,2,)</f>
        <v>627.1</v>
      </c>
      <c r="AF239">
        <v>46071.09</v>
      </c>
      <c r="AG239" s="9">
        <v>12362.39</v>
      </c>
      <c r="AH239">
        <v>9229.8700000000008</v>
      </c>
      <c r="AI239">
        <v>1945.69</v>
      </c>
      <c r="AJ239">
        <v>2242.9</v>
      </c>
    </row>
    <row r="240" spans="1:36" x14ac:dyDescent="0.3">
      <c r="A240" s="2">
        <v>41833</v>
      </c>
      <c r="B240" s="3">
        <v>8661.75</v>
      </c>
      <c r="C240" s="4">
        <v>57013</v>
      </c>
      <c r="D240" s="3">
        <v>5531.7</v>
      </c>
      <c r="E240" s="3">
        <v>17100.18</v>
      </c>
      <c r="F240" s="3">
        <v>15266.57</v>
      </c>
      <c r="G240" s="3">
        <v>1151.6099999999999</v>
      </c>
      <c r="H240" s="3">
        <v>1978.22</v>
      </c>
      <c r="I240" s="3">
        <v>4432.1499999999996</v>
      </c>
      <c r="J240" s="3">
        <v>44278.9</v>
      </c>
      <c r="K240" s="3">
        <v>19209.919999999998</v>
      </c>
      <c r="L240" s="3">
        <v>2393.9499999999998</v>
      </c>
      <c r="M240" s="3">
        <v>9720.02</v>
      </c>
      <c r="N240" s="6">
        <f>VLOOKUP(A240,'[1]俄罗斯交易系统市值加权指数历史数据 (1)'!$A:$B,2,)</f>
        <v>1276.28</v>
      </c>
      <c r="O240" s="3">
        <v>4335.3100000000004</v>
      </c>
      <c r="P240" s="1">
        <v>404.4</v>
      </c>
      <c r="Q240" s="3">
        <v>8511.43</v>
      </c>
      <c r="R240" s="1">
        <v>823.15</v>
      </c>
      <c r="S240" s="3">
        <v>10527</v>
      </c>
      <c r="T240" s="3">
        <v>6749.45</v>
      </c>
      <c r="U240" s="3">
        <v>3164.21</v>
      </c>
      <c r="V240" s="6">
        <f>VLOOKUP(A240,[2]韩国KOSPI指数历史数据!$A:$B,2,)</f>
        <v>2019.42</v>
      </c>
      <c r="W240" s="6">
        <f>VLOOKUP(A240,[3]日经225指数历史数据!$A:$B,2,)</f>
        <v>15215.71</v>
      </c>
      <c r="X240" s="3">
        <v>1401.26</v>
      </c>
      <c r="Y240" s="6">
        <f>VLOOKUP(A240,[4]上证指数历史数据!$A:$B,2,)</f>
        <v>2059.0700000000002</v>
      </c>
      <c r="Z240" s="6">
        <f>VLOOKUP(A240,[5]深证成份指数历史数据!$A:$B,2,)</f>
        <v>7259.45</v>
      </c>
      <c r="AA240" s="6">
        <f>VLOOKUP(A240,[6]台湾加权指数历史数据!$A:$B,2,)</f>
        <v>9400.9699999999993</v>
      </c>
      <c r="AB240" s="3">
        <v>23454.79</v>
      </c>
      <c r="AC240" s="3">
        <v>3310.53</v>
      </c>
      <c r="AD240">
        <v>7663.9</v>
      </c>
      <c r="AE240" s="5">
        <f>VLOOKUP(A240,[7]越南VN30指数历史数据!$A:$B,2,)</f>
        <v>645.52</v>
      </c>
      <c r="AF240">
        <v>46558.12</v>
      </c>
      <c r="AG240" s="9">
        <v>12619.25</v>
      </c>
      <c r="AH240">
        <v>9249.7800000000007</v>
      </c>
      <c r="AI240">
        <v>1948.74</v>
      </c>
      <c r="AJ240">
        <v>2284.1999999999998</v>
      </c>
    </row>
    <row r="241" spans="1:36" x14ac:dyDescent="0.3">
      <c r="A241" s="2">
        <v>41840</v>
      </c>
      <c r="B241" s="3">
        <v>7922.92</v>
      </c>
      <c r="C241" s="4">
        <v>57821</v>
      </c>
      <c r="D241" s="3">
        <v>5583.5</v>
      </c>
      <c r="E241" s="3">
        <v>16960.57</v>
      </c>
      <c r="F241" s="3">
        <v>15455.04</v>
      </c>
      <c r="G241" s="3">
        <v>1144.72</v>
      </c>
      <c r="H241" s="3">
        <v>1978.34</v>
      </c>
      <c r="I241" s="3">
        <v>4449.5600000000004</v>
      </c>
      <c r="J241" s="3">
        <v>44386.62</v>
      </c>
      <c r="K241" s="3">
        <v>19104.060000000001</v>
      </c>
      <c r="L241" s="3">
        <v>2406.3200000000002</v>
      </c>
      <c r="M241" s="3">
        <v>9644.01</v>
      </c>
      <c r="N241" s="6">
        <f>VLOOKUP(A241,'[1]俄罗斯交易系统市值加权指数历史数据 (1)'!$A:$B,2,)</f>
        <v>1246.25</v>
      </c>
      <c r="O241" s="3">
        <v>4330.55</v>
      </c>
      <c r="P241" s="1">
        <v>404.84</v>
      </c>
      <c r="Q241" s="3">
        <v>8571.48</v>
      </c>
      <c r="R241" s="1">
        <v>842.18</v>
      </c>
      <c r="S241" s="3">
        <v>10888.1</v>
      </c>
      <c r="T241" s="3">
        <v>6791.55</v>
      </c>
      <c r="U241" s="3">
        <v>3174.99</v>
      </c>
      <c r="V241" s="6">
        <f>VLOOKUP(A241,[2]韩国KOSPI指数历史数据!$A:$B,2,)</f>
        <v>2033.85</v>
      </c>
      <c r="W241" s="6">
        <f>VLOOKUP(A241,[3]日经225指数历史数据!$A:$B,2,)</f>
        <v>15457.87</v>
      </c>
      <c r="X241" s="3">
        <v>1398.24</v>
      </c>
      <c r="Y241" s="6">
        <f>VLOOKUP(A241,[4]上证指数历史数据!$A:$B,2,)</f>
        <v>2126.61</v>
      </c>
      <c r="Z241" s="6">
        <f>VLOOKUP(A241,[5]深证成份指数历史数据!$A:$B,2,)</f>
        <v>7578.12</v>
      </c>
      <c r="AA241" s="6">
        <f>VLOOKUP(A241,[6]台湾加权指数历史数据!$A:$B,2,)</f>
        <v>9439.2900000000009</v>
      </c>
      <c r="AB241" s="3">
        <v>24216.01</v>
      </c>
      <c r="AC241" s="3">
        <v>3350.17</v>
      </c>
      <c r="AD241">
        <v>7790.45</v>
      </c>
      <c r="AE241" s="5">
        <f>VLOOKUP(A241,[7]越南VN30指数历史数据!$A:$B,2,)</f>
        <v>641.96</v>
      </c>
      <c r="AF241">
        <v>46384.92</v>
      </c>
      <c r="AG241" s="9">
        <v>12701.96</v>
      </c>
      <c r="AH241">
        <v>9300.08</v>
      </c>
      <c r="AI241">
        <v>1933.21</v>
      </c>
      <c r="AJ241">
        <v>2342.62</v>
      </c>
    </row>
    <row r="242" spans="1:36" x14ac:dyDescent="0.3">
      <c r="A242" s="2">
        <v>41847</v>
      </c>
      <c r="B242" s="3">
        <v>8326.92</v>
      </c>
      <c r="C242" s="4">
        <v>55903</v>
      </c>
      <c r="D242" s="3">
        <v>5556.4</v>
      </c>
      <c r="E242" s="3">
        <v>16493.37</v>
      </c>
      <c r="F242" s="3">
        <v>15215.26</v>
      </c>
      <c r="G242" s="3">
        <v>1114.8599999999999</v>
      </c>
      <c r="H242" s="3">
        <v>1925.15</v>
      </c>
      <c r="I242" s="3">
        <v>4352.6400000000003</v>
      </c>
      <c r="J242" s="3">
        <v>43986.11</v>
      </c>
      <c r="K242" s="3">
        <v>19059.82</v>
      </c>
      <c r="L242" s="3">
        <v>2341.91</v>
      </c>
      <c r="M242" s="3">
        <v>9210.08</v>
      </c>
      <c r="N242" s="6">
        <f>VLOOKUP(A242,'[1]俄罗斯交易系统市值加权指数历史数据 (1)'!$A:$B,2,)</f>
        <v>1212.74</v>
      </c>
      <c r="O242" s="3">
        <v>4202.78</v>
      </c>
      <c r="P242" s="1">
        <v>398.56</v>
      </c>
      <c r="Q242" s="3">
        <v>8410.27</v>
      </c>
      <c r="R242" s="1">
        <v>820.94</v>
      </c>
      <c r="S242" s="3">
        <v>10514</v>
      </c>
      <c r="T242" s="3">
        <v>6679.18</v>
      </c>
      <c r="U242" s="3">
        <v>3072.57</v>
      </c>
      <c r="V242" s="6">
        <f>VLOOKUP(A242,[2]韩国KOSPI指数历史数据!$A:$B,2,)</f>
        <v>2073.1</v>
      </c>
      <c r="W242" s="6">
        <f>VLOOKUP(A242,[3]日经225指数历史数据!$A:$B,2,)</f>
        <v>15523.11</v>
      </c>
      <c r="X242" s="3">
        <v>1392.45</v>
      </c>
      <c r="Y242" s="6">
        <f>VLOOKUP(A242,[4]上证指数历史数据!$A:$B,2,)</f>
        <v>2185.3000000000002</v>
      </c>
      <c r="Z242" s="6">
        <f>VLOOKUP(A242,[5]深证成份指数历史数据!$A:$B,2,)</f>
        <v>7880.98</v>
      </c>
      <c r="AA242" s="6">
        <f>VLOOKUP(A242,[6]台湾加权指数历史数据!$A:$B,2,)</f>
        <v>9266.51</v>
      </c>
      <c r="AB242" s="3">
        <v>24532.43</v>
      </c>
      <c r="AC242" s="3">
        <v>3344.42</v>
      </c>
      <c r="AD242">
        <v>7602.6</v>
      </c>
      <c r="AE242" s="5">
        <f>VLOOKUP(A242,[7]越南VN30指数历史数据!$A:$B,2,)</f>
        <v>635.01</v>
      </c>
      <c r="AF242">
        <v>45733.69</v>
      </c>
      <c r="AG242" s="9">
        <v>12786.05</v>
      </c>
      <c r="AH242">
        <v>9325.0499999999993</v>
      </c>
      <c r="AI242">
        <v>1913.38</v>
      </c>
      <c r="AJ242">
        <v>2378.16</v>
      </c>
    </row>
    <row r="243" spans="1:36" x14ac:dyDescent="0.3">
      <c r="A243" s="2">
        <v>41854</v>
      </c>
      <c r="B243" s="3">
        <v>8227.8700000000008</v>
      </c>
      <c r="C243" s="4">
        <v>55573</v>
      </c>
      <c r="D243" s="3">
        <v>5435.3</v>
      </c>
      <c r="E243" s="3">
        <v>16553.93</v>
      </c>
      <c r="F243" s="3">
        <v>15196.31</v>
      </c>
      <c r="G243" s="3">
        <v>1131.3499999999999</v>
      </c>
      <c r="H243" s="3">
        <v>1931.59</v>
      </c>
      <c r="I243" s="3">
        <v>4370.8999999999996</v>
      </c>
      <c r="J243" s="3">
        <v>44105.95</v>
      </c>
      <c r="K243" s="3">
        <v>19009.78</v>
      </c>
      <c r="L243" s="3">
        <v>2315.65</v>
      </c>
      <c r="M243" s="3">
        <v>9009.32</v>
      </c>
      <c r="N243" s="6">
        <f>VLOOKUP(A243,'[1]俄罗斯交易系统市值加权指数历史数据 (1)'!$A:$B,2,)</f>
        <v>1170.5999999999999</v>
      </c>
      <c r="O243" s="3">
        <v>4147.8100000000004</v>
      </c>
      <c r="P243" s="1">
        <v>390.25</v>
      </c>
      <c r="Q243" s="3">
        <v>8274.65</v>
      </c>
      <c r="R243" s="1">
        <v>791.99</v>
      </c>
      <c r="S243" s="3">
        <v>10104.799999999999</v>
      </c>
      <c r="T243" s="3">
        <v>6567.36</v>
      </c>
      <c r="U243" s="3">
        <v>3006.83</v>
      </c>
      <c r="V243" s="6">
        <f>VLOOKUP(A243,[2]韩国KOSPI指数历史数据!$A:$B,2,)</f>
        <v>2031.1</v>
      </c>
      <c r="W243" s="6">
        <f>VLOOKUP(A243,[3]日经225指数历史数据!$A:$B,2,)</f>
        <v>14778.37</v>
      </c>
      <c r="X243" s="3">
        <v>1386.16</v>
      </c>
      <c r="Y243" s="6">
        <f>VLOOKUP(A243,[4]上证指数历史数据!$A:$B,2,)</f>
        <v>2194.42</v>
      </c>
      <c r="Z243" s="6">
        <f>VLOOKUP(A243,[5]深证成份指数历史数据!$A:$B,2,)</f>
        <v>7885.33</v>
      </c>
      <c r="AA243" s="6">
        <f>VLOOKUP(A243,[6]台湾加权指数历史数据!$A:$B,2,)</f>
        <v>9085.9599999999991</v>
      </c>
      <c r="AB243" s="3">
        <v>24331.41</v>
      </c>
      <c r="AC243" s="3">
        <v>3288.89</v>
      </c>
      <c r="AD243">
        <v>7568.55</v>
      </c>
      <c r="AE243" s="5">
        <f>VLOOKUP(A243,[7]越南VN30指数历史数据!$A:$B,2,)</f>
        <v>641.92999999999995</v>
      </c>
      <c r="AF243">
        <v>45560.82</v>
      </c>
      <c r="AG243" s="9">
        <v>13247.29</v>
      </c>
      <c r="AH243">
        <v>9426.32</v>
      </c>
      <c r="AI243">
        <v>1946.39</v>
      </c>
      <c r="AJ243">
        <v>2434.25</v>
      </c>
    </row>
    <row r="244" spans="1:36" x14ac:dyDescent="0.3">
      <c r="A244" s="2">
        <v>41861</v>
      </c>
      <c r="B244" s="3">
        <v>8670.14</v>
      </c>
      <c r="C244" s="4">
        <v>56964</v>
      </c>
      <c r="D244" s="3">
        <v>5566.5</v>
      </c>
      <c r="E244" s="3">
        <v>16662.91</v>
      </c>
      <c r="F244" s="3">
        <v>15304.24</v>
      </c>
      <c r="G244" s="3">
        <v>1141.6500000000001</v>
      </c>
      <c r="H244" s="3">
        <v>1955.06</v>
      </c>
      <c r="I244" s="3">
        <v>4464.93</v>
      </c>
      <c r="J244" s="3">
        <v>44629.33</v>
      </c>
      <c r="K244" s="3">
        <v>19242.79</v>
      </c>
      <c r="L244" s="3">
        <v>2415.7600000000002</v>
      </c>
      <c r="M244" s="3">
        <v>9092.6</v>
      </c>
      <c r="N244" s="6">
        <f>VLOOKUP(A244,'[1]俄罗斯交易系统市值加权指数历史数据 (1)'!$A:$B,2,)</f>
        <v>1232.3399999999999</v>
      </c>
      <c r="O244" s="3">
        <v>4174.3599999999997</v>
      </c>
      <c r="P244" s="1">
        <v>395.35</v>
      </c>
      <c r="Q244" s="3">
        <v>8366.73</v>
      </c>
      <c r="R244" s="1">
        <v>766.92</v>
      </c>
      <c r="S244" s="3">
        <v>10222.200000000001</v>
      </c>
      <c r="T244" s="3">
        <v>6689.08</v>
      </c>
      <c r="U244" s="3">
        <v>3033.52</v>
      </c>
      <c r="V244" s="6">
        <f>VLOOKUP(A244,[2]韩国KOSPI指数历史数据!$A:$B,2,)</f>
        <v>2063.2199999999998</v>
      </c>
      <c r="W244" s="6">
        <f>VLOOKUP(A244,[3]日经225指数历史数据!$A:$B,2,)</f>
        <v>15318.34</v>
      </c>
      <c r="X244" s="3">
        <v>1389.35</v>
      </c>
      <c r="Y244" s="6">
        <f>VLOOKUP(A244,[4]上证指数历史数据!$A:$B,2,)</f>
        <v>2226.73</v>
      </c>
      <c r="Z244" s="6">
        <f>VLOOKUP(A244,[5]深证成份指数历史数据!$A:$B,2,)</f>
        <v>7982.07</v>
      </c>
      <c r="AA244" s="6">
        <f>VLOOKUP(A244,[6]台湾加权指数历史数据!$A:$B,2,)</f>
        <v>9206.81</v>
      </c>
      <c r="AB244" s="3">
        <v>24954.94</v>
      </c>
      <c r="AC244" s="3">
        <v>3314.77</v>
      </c>
      <c r="AD244">
        <v>7791.7</v>
      </c>
      <c r="AE244" s="5">
        <f>VLOOKUP(A244,[7]越南VN30指数历史数据!$A:$B,2,)</f>
        <v>645.13</v>
      </c>
      <c r="AF244">
        <v>46112.03</v>
      </c>
      <c r="AG244" s="9">
        <v>13514.88</v>
      </c>
      <c r="AH244">
        <v>9414.02</v>
      </c>
      <c r="AI244">
        <v>1881.61</v>
      </c>
      <c r="AJ244">
        <v>2434.98</v>
      </c>
    </row>
    <row r="245" spans="1:36" x14ac:dyDescent="0.3">
      <c r="A245" s="2">
        <v>41868</v>
      </c>
      <c r="B245" s="3">
        <v>9171.1200000000008</v>
      </c>
      <c r="C245" s="4">
        <v>58407</v>
      </c>
      <c r="D245" s="3">
        <v>5645.6</v>
      </c>
      <c r="E245" s="3">
        <v>17001.22</v>
      </c>
      <c r="F245" s="3">
        <v>15535.55</v>
      </c>
      <c r="G245" s="3">
        <v>1160.3399999999999</v>
      </c>
      <c r="H245" s="3">
        <v>1988.4</v>
      </c>
      <c r="I245" s="3">
        <v>4538.55</v>
      </c>
      <c r="J245" s="3">
        <v>45374.99</v>
      </c>
      <c r="K245" s="3">
        <v>19234.939999999999</v>
      </c>
      <c r="L245" s="3">
        <v>2439.0300000000002</v>
      </c>
      <c r="M245" s="3">
        <v>9339.17</v>
      </c>
      <c r="N245" s="6">
        <f>VLOOKUP(A245,'[1]俄罗斯交易系统市值加权指数历史数据 (1)'!$A:$B,2,)</f>
        <v>1260.07</v>
      </c>
      <c r="O245" s="3">
        <v>4252.8</v>
      </c>
      <c r="P245" s="1">
        <v>404.48</v>
      </c>
      <c r="Q245" s="3">
        <v>8554.16</v>
      </c>
      <c r="R245" s="1">
        <v>789.3</v>
      </c>
      <c r="S245" s="3">
        <v>10500.2</v>
      </c>
      <c r="T245" s="3">
        <v>6775.25</v>
      </c>
      <c r="U245" s="3">
        <v>3098.5</v>
      </c>
      <c r="V245" s="6">
        <f>VLOOKUP(A245,[2]韩国KOSPI指数历史数据!$A:$B,2,)</f>
        <v>2056.6999999999998</v>
      </c>
      <c r="W245" s="6">
        <f>VLOOKUP(A245,[3]日经225指数历史数据!$A:$B,2,)</f>
        <v>15539.19</v>
      </c>
      <c r="X245" s="3">
        <v>1379.01</v>
      </c>
      <c r="Y245" s="6">
        <f>VLOOKUP(A245,[4]上证指数历史数据!$A:$B,2,)</f>
        <v>2240.81</v>
      </c>
      <c r="Z245" s="6">
        <f>VLOOKUP(A245,[5]深证成份指数历史数据!$A:$B,2,)</f>
        <v>8059.4</v>
      </c>
      <c r="AA245" s="6">
        <f>VLOOKUP(A245,[6]台湾加权指数历史数据!$A:$B,2,)</f>
        <v>9380.1</v>
      </c>
      <c r="AB245" s="3">
        <v>25112.23</v>
      </c>
      <c r="AC245" s="3">
        <v>3325.5</v>
      </c>
      <c r="AD245">
        <v>7913.2</v>
      </c>
      <c r="AE245" s="5">
        <f>VLOOKUP(A245,[7]越南VN30指数历史数据!$A:$B,2,)</f>
        <v>654.96</v>
      </c>
      <c r="AF245">
        <v>45982.92</v>
      </c>
      <c r="AG245" s="9">
        <v>13520.09</v>
      </c>
      <c r="AH245">
        <v>9429.39</v>
      </c>
      <c r="AI245">
        <v>1885.26</v>
      </c>
      <c r="AJ245">
        <v>2411.48</v>
      </c>
    </row>
    <row r="246" spans="1:36" x14ac:dyDescent="0.3">
      <c r="A246" s="2">
        <v>41875</v>
      </c>
      <c r="B246" s="3">
        <v>9817.2999999999993</v>
      </c>
      <c r="C246" s="4">
        <v>61288</v>
      </c>
      <c r="D246" s="3">
        <v>5625.9</v>
      </c>
      <c r="E246" s="3">
        <v>17098.45</v>
      </c>
      <c r="F246" s="3">
        <v>15625.73</v>
      </c>
      <c r="G246" s="3">
        <v>1174.3499999999999</v>
      </c>
      <c r="H246" s="3">
        <v>2003.37</v>
      </c>
      <c r="I246" s="3">
        <v>4580.2700000000004</v>
      </c>
      <c r="J246" s="3">
        <v>45628.09</v>
      </c>
      <c r="K246" s="3">
        <v>19422.77</v>
      </c>
      <c r="L246" s="3">
        <v>2416.9699999999998</v>
      </c>
      <c r="M246" s="3">
        <v>9470.17</v>
      </c>
      <c r="N246" s="6">
        <f>VLOOKUP(A246,'[1]俄罗斯交易系统市值加权指数历史数据 (1)'!$A:$B,2,)</f>
        <v>1190.23</v>
      </c>
      <c r="O246" s="3">
        <v>4381.04</v>
      </c>
      <c r="P246" s="1">
        <v>413.13</v>
      </c>
      <c r="Q246" s="3">
        <v>8658.9699999999993</v>
      </c>
      <c r="R246" s="1">
        <v>803.13</v>
      </c>
      <c r="S246" s="3">
        <v>10728.8</v>
      </c>
      <c r="T246" s="3">
        <v>6819.75</v>
      </c>
      <c r="U246" s="3">
        <v>3172.63</v>
      </c>
      <c r="V246" s="6">
        <f>VLOOKUP(A246,[2]韩国KOSPI指数历史数据!$A:$B,2,)</f>
        <v>2068.54</v>
      </c>
      <c r="W246" s="6">
        <f>VLOOKUP(A246,[3]日经225指数历史数据!$A:$B,2,)</f>
        <v>15424.59</v>
      </c>
      <c r="X246" s="3">
        <v>1404.41</v>
      </c>
      <c r="Y246" s="6">
        <f>VLOOKUP(A246,[4]上证指数历史数据!$A:$B,2,)</f>
        <v>2217.1999999999998</v>
      </c>
      <c r="Z246" s="6">
        <f>VLOOKUP(A246,[5]深证成份指数历史数据!$A:$B,2,)</f>
        <v>7841.7</v>
      </c>
      <c r="AA246" s="6">
        <f>VLOOKUP(A246,[6]台湾加权指数历史数据!$A:$B,2,)</f>
        <v>9436.27</v>
      </c>
      <c r="AB246" s="3">
        <v>24742.06</v>
      </c>
      <c r="AC246" s="3">
        <v>3327.09</v>
      </c>
      <c r="AD246">
        <v>7954.35</v>
      </c>
      <c r="AE246" s="5">
        <f>VLOOKUP(A246,[7]越南VN30指数历史数据!$A:$B,2,)</f>
        <v>676.82</v>
      </c>
      <c r="AF246">
        <v>45630.44</v>
      </c>
      <c r="AG246" s="9">
        <v>13612.13</v>
      </c>
      <c r="AH246">
        <v>9544.69</v>
      </c>
      <c r="AI246">
        <v>1890.5</v>
      </c>
      <c r="AJ246">
        <v>2417.52</v>
      </c>
    </row>
    <row r="247" spans="1:36" x14ac:dyDescent="0.3">
      <c r="A247" s="2">
        <v>41882</v>
      </c>
      <c r="B247" s="3">
        <v>10414.67</v>
      </c>
      <c r="C247" s="4">
        <v>60682</v>
      </c>
      <c r="D247" s="3">
        <v>5598.7</v>
      </c>
      <c r="E247" s="3">
        <v>17137.36</v>
      </c>
      <c r="F247" s="3">
        <v>15569.92</v>
      </c>
      <c r="G247" s="3">
        <v>1170.1300000000001</v>
      </c>
      <c r="H247" s="3">
        <v>2007.71</v>
      </c>
      <c r="I247" s="3">
        <v>4582.8999999999996</v>
      </c>
      <c r="J247" s="3">
        <v>46231.44</v>
      </c>
      <c r="K247" s="3">
        <v>19723.560000000001</v>
      </c>
      <c r="L247" s="3">
        <v>2541.42</v>
      </c>
      <c r="M247" s="3">
        <v>9747.02</v>
      </c>
      <c r="N247" s="6">
        <f>VLOOKUP(A247,'[1]俄罗斯交易系统市值加权指数历史数据 (1)'!$A:$B,2,)</f>
        <v>1257.26</v>
      </c>
      <c r="O247" s="3">
        <v>4486.49</v>
      </c>
      <c r="P247" s="1">
        <v>421.11</v>
      </c>
      <c r="Q247" s="3">
        <v>8788.77</v>
      </c>
      <c r="R247" s="1">
        <v>821.93</v>
      </c>
      <c r="S247" s="3">
        <v>11148.9</v>
      </c>
      <c r="T247" s="3">
        <v>6855.1</v>
      </c>
      <c r="U247" s="3">
        <v>3275.25</v>
      </c>
      <c r="V247" s="6">
        <f>VLOOKUP(A247,[2]韩国KOSPI指数历史数据!$A:$B,2,)</f>
        <v>2049.41</v>
      </c>
      <c r="W247" s="6">
        <f>VLOOKUP(A247,[3]日经225指数历史数据!$A:$B,2,)</f>
        <v>15668.68</v>
      </c>
      <c r="X247" s="3">
        <v>1424.32</v>
      </c>
      <c r="Y247" s="6">
        <f>VLOOKUP(A247,[4]上证指数历史数据!$A:$B,2,)</f>
        <v>2326.4299999999998</v>
      </c>
      <c r="Z247" s="6">
        <f>VLOOKUP(A247,[5]深证成份指数历史数据!$A:$B,2,)</f>
        <v>8214.5300000000007</v>
      </c>
      <c r="AA247" s="6">
        <f>VLOOKUP(A247,[6]台湾加权指数历史数据!$A:$B,2,)</f>
        <v>9407.94</v>
      </c>
      <c r="AB247" s="3">
        <v>25240.15</v>
      </c>
      <c r="AC247" s="3">
        <v>3341.73</v>
      </c>
      <c r="AD247">
        <v>8086.85</v>
      </c>
      <c r="AE247" s="5">
        <f>VLOOKUP(A247,[7]越南VN30指数历史数据!$A:$B,2,)</f>
        <v>677.62</v>
      </c>
      <c r="AF247">
        <v>46388.800000000003</v>
      </c>
      <c r="AG247" s="9">
        <v>13908.11</v>
      </c>
      <c r="AH247">
        <v>9635.68</v>
      </c>
      <c r="AI247">
        <v>1870.68</v>
      </c>
      <c r="AJ247">
        <v>2421.67</v>
      </c>
    </row>
    <row r="248" spans="1:36" x14ac:dyDescent="0.3">
      <c r="A248" s="2">
        <v>41889</v>
      </c>
      <c r="B248" s="3">
        <v>11054.09</v>
      </c>
      <c r="C248" s="4">
        <v>56928</v>
      </c>
      <c r="D248" s="3">
        <v>5531.1</v>
      </c>
      <c r="E248" s="3">
        <v>16987.509999999998</v>
      </c>
      <c r="F248" s="3">
        <v>15531.58</v>
      </c>
      <c r="G248" s="3">
        <v>1160.6099999999999</v>
      </c>
      <c r="H248" s="3">
        <v>1985.54</v>
      </c>
      <c r="I248" s="3">
        <v>4567.6000000000004</v>
      </c>
      <c r="J248" s="3">
        <v>45799.7</v>
      </c>
      <c r="K248" s="3">
        <v>19391.95</v>
      </c>
      <c r="L248" s="3">
        <v>2497.38</v>
      </c>
      <c r="M248" s="3">
        <v>9651.1299999999992</v>
      </c>
      <c r="N248" s="6">
        <f>VLOOKUP(A248,'[1]俄罗斯交易系统市值加权指数历史数据 (1)'!$A:$B,2,)</f>
        <v>1213.27</v>
      </c>
      <c r="O248" s="3">
        <v>4441.7</v>
      </c>
      <c r="P248" s="1">
        <v>417.8</v>
      </c>
      <c r="Q248" s="3">
        <v>8795.93</v>
      </c>
      <c r="R248" s="1">
        <v>778.21</v>
      </c>
      <c r="S248" s="3">
        <v>10888.9</v>
      </c>
      <c r="T248" s="3">
        <v>6806.96</v>
      </c>
      <c r="U248" s="3">
        <v>3235.07</v>
      </c>
      <c r="V248" s="6">
        <f>VLOOKUP(A248,[2]韩国KOSPI指数历史数据!$A:$B,2,)</f>
        <v>2041.86</v>
      </c>
      <c r="W248" s="6">
        <f>VLOOKUP(A248,[3]日经225指数历史数据!$A:$B,2,)</f>
        <v>15948.29</v>
      </c>
      <c r="X248" s="3">
        <v>1424.08</v>
      </c>
      <c r="Y248" s="6">
        <f>VLOOKUP(A248,[4]上证指数历史数据!$A:$B,2,)</f>
        <v>2331.9499999999998</v>
      </c>
      <c r="Z248" s="6">
        <f>VLOOKUP(A248,[5]深证成份指数历史数据!$A:$B,2,)</f>
        <v>8146.99</v>
      </c>
      <c r="AA248" s="6">
        <f>VLOOKUP(A248,[6]台湾加权指数历史数据!$A:$B,2,)</f>
        <v>9223.18</v>
      </c>
      <c r="AB248" s="3">
        <v>24595.32</v>
      </c>
      <c r="AC248" s="3">
        <v>3345.55</v>
      </c>
      <c r="AD248">
        <v>8105.5</v>
      </c>
      <c r="AE248" s="5">
        <f>VLOOKUP(A248,[7]越南VN30指数历史数据!$A:$B,2,)</f>
        <v>669.78</v>
      </c>
      <c r="AF248">
        <v>45865.2</v>
      </c>
      <c r="AG248" s="9">
        <v>13600.94</v>
      </c>
      <c r="AH248">
        <v>9830.89</v>
      </c>
      <c r="AI248">
        <v>1856.96</v>
      </c>
      <c r="AJ248">
        <v>2522.38</v>
      </c>
    </row>
    <row r="249" spans="1:36" x14ac:dyDescent="0.3">
      <c r="A249" s="2">
        <v>41896</v>
      </c>
      <c r="B249" s="3">
        <v>11580.91</v>
      </c>
      <c r="C249" s="4">
        <v>57789</v>
      </c>
      <c r="D249" s="3">
        <v>5433.1</v>
      </c>
      <c r="E249" s="3">
        <v>17279.740000000002</v>
      </c>
      <c r="F249" s="3">
        <v>15265.35</v>
      </c>
      <c r="G249" s="3">
        <v>1146.92</v>
      </c>
      <c r="H249" s="3">
        <v>2010.4</v>
      </c>
      <c r="I249" s="3">
        <v>4579.79</v>
      </c>
      <c r="J249" s="3">
        <v>45761.9</v>
      </c>
      <c r="K249" s="3">
        <v>19552.93</v>
      </c>
      <c r="L249" s="3">
        <v>2539.6</v>
      </c>
      <c r="M249" s="3">
        <v>9799.26</v>
      </c>
      <c r="N249" s="6">
        <f>VLOOKUP(A249,'[1]俄罗斯交易系统市值加权指数历史数据 (1)'!$A:$B,2,)</f>
        <v>1170.25</v>
      </c>
      <c r="O249" s="3">
        <v>4461.22</v>
      </c>
      <c r="P249" s="1">
        <v>425.74</v>
      </c>
      <c r="Q249" s="3">
        <v>8840.17</v>
      </c>
      <c r="R249" s="1">
        <v>769.22</v>
      </c>
      <c r="S249" s="3">
        <v>11001.9</v>
      </c>
      <c r="T249" s="3">
        <v>6837.92</v>
      </c>
      <c r="U249" s="3">
        <v>3273.25</v>
      </c>
      <c r="V249" s="6">
        <f>VLOOKUP(A249,[2]韩国KOSPI指数历史数据!$A:$B,2,)</f>
        <v>2053.8200000000002</v>
      </c>
      <c r="W249" s="6">
        <f>VLOOKUP(A249,[3]日经225指数历史数据!$A:$B,2,)</f>
        <v>16321.17</v>
      </c>
      <c r="X249" s="3">
        <v>1446.96</v>
      </c>
      <c r="Y249" s="6">
        <f>VLOOKUP(A249,[4]上证指数历史数据!$A:$B,2,)</f>
        <v>2329.4499999999998</v>
      </c>
      <c r="Z249" s="6">
        <f>VLOOKUP(A249,[5]深证成份指数历史数据!$A:$B,2,)</f>
        <v>8047.25</v>
      </c>
      <c r="AA249" s="6">
        <f>VLOOKUP(A249,[6]台湾加权指数历史数据!$A:$B,2,)</f>
        <v>9240.4500000000007</v>
      </c>
      <c r="AB249" s="3">
        <v>24306.16</v>
      </c>
      <c r="AC249" s="3">
        <v>3305.05</v>
      </c>
      <c r="AD249">
        <v>8121.45</v>
      </c>
      <c r="AE249" s="5">
        <f>VLOOKUP(A249,[7]越南VN30指数历史数据!$A:$B,2,)</f>
        <v>654.54</v>
      </c>
      <c r="AF249">
        <v>46162.81</v>
      </c>
      <c r="AG249" s="9">
        <v>13957.55</v>
      </c>
      <c r="AH249">
        <v>9966.65</v>
      </c>
      <c r="AI249">
        <v>1874.36</v>
      </c>
      <c r="AJ249">
        <v>2516.25</v>
      </c>
    </row>
    <row r="250" spans="1:36" x14ac:dyDescent="0.3">
      <c r="A250" s="2">
        <v>41903</v>
      </c>
      <c r="B250" s="3">
        <v>12535.53</v>
      </c>
      <c r="C250" s="4">
        <v>57212</v>
      </c>
      <c r="D250" s="3">
        <v>5313.4</v>
      </c>
      <c r="E250" s="3">
        <v>17113.150000000001</v>
      </c>
      <c r="F250" s="3">
        <v>15026.77</v>
      </c>
      <c r="G250" s="3">
        <v>1119.33</v>
      </c>
      <c r="H250" s="3">
        <v>1982.85</v>
      </c>
      <c r="I250" s="3">
        <v>4512.1899999999996</v>
      </c>
      <c r="J250" s="3">
        <v>44884.33</v>
      </c>
      <c r="K250" s="3">
        <v>19336.98</v>
      </c>
      <c r="L250" s="3">
        <v>2484.02</v>
      </c>
      <c r="M250" s="3">
        <v>9490.5499999999993</v>
      </c>
      <c r="N250" s="6">
        <f>VLOOKUP(A250,'[1]俄罗斯交易系统市值加权指数历史数据 (1)'!$A:$B,2,)</f>
        <v>1156.1500000000001</v>
      </c>
      <c r="O250" s="3">
        <v>4394.75</v>
      </c>
      <c r="P250" s="1">
        <v>418.49</v>
      </c>
      <c r="Q250" s="3">
        <v>8774.36</v>
      </c>
      <c r="R250" s="1">
        <v>746.32</v>
      </c>
      <c r="S250" s="3">
        <v>10851.4</v>
      </c>
      <c r="T250" s="3">
        <v>6649.39</v>
      </c>
      <c r="U250" s="3">
        <v>3219.58</v>
      </c>
      <c r="V250" s="6">
        <f>VLOOKUP(A250,[2]韩国KOSPI指数历史数据!$A:$B,2,)</f>
        <v>2031.64</v>
      </c>
      <c r="W250" s="6">
        <f>VLOOKUP(A250,[3]日经225指数历史数据!$A:$B,2,)</f>
        <v>16229.86</v>
      </c>
      <c r="X250" s="3">
        <v>1456.28</v>
      </c>
      <c r="Y250" s="6">
        <f>VLOOKUP(A250,[4]上证指数历史数据!$A:$B,2,)</f>
        <v>2347.7199999999998</v>
      </c>
      <c r="Z250" s="6">
        <f>VLOOKUP(A250,[5]深证成份指数历史数据!$A:$B,2,)</f>
        <v>8072.88</v>
      </c>
      <c r="AA250" s="6">
        <f>VLOOKUP(A250,[6]台湾加权指数历史数据!$A:$B,2,)</f>
        <v>8989.82</v>
      </c>
      <c r="AB250" s="3">
        <v>23678.41</v>
      </c>
      <c r="AC250" s="3">
        <v>3292.21</v>
      </c>
      <c r="AD250">
        <v>7968.85</v>
      </c>
      <c r="AE250" s="5">
        <f>VLOOKUP(A250,[7]越南VN30指数历史数据!$A:$B,2,)</f>
        <v>649.63</v>
      </c>
      <c r="AF250">
        <v>44507.63</v>
      </c>
      <c r="AG250" s="9">
        <v>13888.68</v>
      </c>
      <c r="AH250">
        <v>9991.4699999999993</v>
      </c>
      <c r="AI250">
        <v>1861.61</v>
      </c>
      <c r="AJ250">
        <v>2506.9299999999998</v>
      </c>
    </row>
    <row r="251" spans="1:36" x14ac:dyDescent="0.3">
      <c r="A251" s="2">
        <v>41910</v>
      </c>
      <c r="B251" s="3">
        <v>11419.41</v>
      </c>
      <c r="C251" s="4">
        <v>54540</v>
      </c>
      <c r="D251" s="3">
        <v>5318.2</v>
      </c>
      <c r="E251" s="3">
        <v>17009.689999999999</v>
      </c>
      <c r="F251" s="3">
        <v>14789.78</v>
      </c>
      <c r="G251" s="3">
        <v>1104.74</v>
      </c>
      <c r="H251" s="3">
        <v>1967.9</v>
      </c>
      <c r="I251" s="3">
        <v>4475.62</v>
      </c>
      <c r="J251" s="3">
        <v>44678.14</v>
      </c>
      <c r="K251" s="3">
        <v>19168.919999999998</v>
      </c>
      <c r="L251" s="3">
        <v>2444.06</v>
      </c>
      <c r="M251" s="3">
        <v>9195.68</v>
      </c>
      <c r="N251" s="6">
        <f>VLOOKUP(A251,'[1]俄罗斯交易系统市值加权指数历史数据 (1)'!$A:$B,2,)</f>
        <v>1092.1199999999999</v>
      </c>
      <c r="O251" s="3">
        <v>4281.74</v>
      </c>
      <c r="P251" s="1">
        <v>411.19</v>
      </c>
      <c r="Q251" s="3">
        <v>8683.5300000000007</v>
      </c>
      <c r="R251" s="1">
        <v>743.84</v>
      </c>
      <c r="S251" s="3">
        <v>10567.6</v>
      </c>
      <c r="T251" s="3">
        <v>6527.91</v>
      </c>
      <c r="U251" s="3">
        <v>3133.37</v>
      </c>
      <c r="V251" s="6">
        <f>VLOOKUP(A251,[2]韩国KOSPI指数历史数据!$A:$B,2,)</f>
        <v>1976.16</v>
      </c>
      <c r="W251" s="6">
        <f>VLOOKUP(A251,[3]日经225指数历史数据!$A:$B,2,)</f>
        <v>15708.65</v>
      </c>
      <c r="X251" s="3">
        <v>1451.33</v>
      </c>
      <c r="Y251" s="6">
        <f>VLOOKUP(A251,[4]上证指数历史数据!$A:$B,2,)</f>
        <v>2363.87</v>
      </c>
      <c r="Z251" s="6">
        <f>VLOOKUP(A251,[5]深证成份指数历史数据!$A:$B,2,)</f>
        <v>8080.35</v>
      </c>
      <c r="AA251" s="6">
        <f>VLOOKUP(A251,[6]台湾加权指数历史数据!$A:$B,2,)</f>
        <v>9106.2800000000007</v>
      </c>
      <c r="AB251" s="3">
        <v>23064.560000000001</v>
      </c>
      <c r="AC251" s="3">
        <v>3253.24</v>
      </c>
      <c r="AD251">
        <v>7945.55</v>
      </c>
      <c r="AE251" s="5">
        <f>VLOOKUP(A251,[7]越南VN30指数历史数据!$A:$B,2,)</f>
        <v>659.25</v>
      </c>
      <c r="AF251">
        <v>43383.519999999997</v>
      </c>
      <c r="AG251" s="9">
        <v>13938.78</v>
      </c>
      <c r="AH251">
        <v>10071.85</v>
      </c>
      <c r="AI251">
        <v>1875.63</v>
      </c>
      <c r="AJ251">
        <v>2651.22</v>
      </c>
    </row>
    <row r="252" spans="1:36" x14ac:dyDescent="0.3">
      <c r="A252" s="2">
        <v>41917</v>
      </c>
      <c r="B252" s="3">
        <v>10040.24</v>
      </c>
      <c r="C252" s="4">
        <v>55312</v>
      </c>
      <c r="D252" s="3">
        <v>5188.3</v>
      </c>
      <c r="E252" s="3">
        <v>16544.099999999999</v>
      </c>
      <c r="F252" s="3">
        <v>14227.36</v>
      </c>
      <c r="G252" s="3">
        <v>1053.32</v>
      </c>
      <c r="H252" s="3">
        <v>1906.13</v>
      </c>
      <c r="I252" s="3">
        <v>4276.24</v>
      </c>
      <c r="J252" s="3">
        <v>43435.73</v>
      </c>
      <c r="K252" s="3">
        <v>18811.48</v>
      </c>
      <c r="L252" s="3">
        <v>2392.62</v>
      </c>
      <c r="M252" s="3">
        <v>8788.81</v>
      </c>
      <c r="N252" s="6">
        <f>VLOOKUP(A252,'[1]俄罗斯交易系统市值加权指数历史数据 (1)'!$A:$B,2,)</f>
        <v>1064.29</v>
      </c>
      <c r="O252" s="3">
        <v>4073.71</v>
      </c>
      <c r="P252" s="1">
        <v>395.68</v>
      </c>
      <c r="Q252" s="3">
        <v>8374.59</v>
      </c>
      <c r="R252" s="1">
        <v>734.94</v>
      </c>
      <c r="S252" s="3">
        <v>10150.5</v>
      </c>
      <c r="T252" s="3">
        <v>6339.97</v>
      </c>
      <c r="U252" s="3">
        <v>2991.5</v>
      </c>
      <c r="V252" s="6">
        <f>VLOOKUP(A252,[2]韩国KOSPI指数历史数据!$A:$B,2,)</f>
        <v>1940.92</v>
      </c>
      <c r="W252" s="6">
        <f>VLOOKUP(A252,[3]日经225指数历史数据!$A:$B,2,)</f>
        <v>15300.55</v>
      </c>
      <c r="X252" s="3">
        <v>1462.97</v>
      </c>
      <c r="Y252" s="6">
        <f>VLOOKUP(A252,[4]上证指数历史数据!$A:$B,2,)</f>
        <v>2374.54</v>
      </c>
      <c r="Z252" s="6">
        <f>VLOOKUP(A252,[5]深证成份指数历史数据!$A:$B,2,)</f>
        <v>8211.5400000000009</v>
      </c>
      <c r="AA252" s="6">
        <f>VLOOKUP(A252,[6]台湾加权指数历史数据!$A:$B,2,)</f>
        <v>8966.44</v>
      </c>
      <c r="AB252" s="3">
        <v>23088.54</v>
      </c>
      <c r="AC252" s="3">
        <v>3223.87</v>
      </c>
      <c r="AD252">
        <v>7859.95</v>
      </c>
      <c r="AE252" s="5">
        <f>VLOOKUP(A252,[7]越南VN30指数历史数据!$A:$B,2,)</f>
        <v>651.72</v>
      </c>
      <c r="AF252">
        <v>41911.800000000003</v>
      </c>
      <c r="AG252" s="9">
        <v>13715.52</v>
      </c>
      <c r="AH252">
        <v>9991.14</v>
      </c>
      <c r="AI252">
        <v>1844.59</v>
      </c>
      <c r="AJ252">
        <v>2681.09</v>
      </c>
    </row>
    <row r="253" spans="1:36" x14ac:dyDescent="0.3">
      <c r="A253" s="2">
        <v>41924</v>
      </c>
      <c r="B253" s="3">
        <v>10542.6</v>
      </c>
      <c r="C253" s="4">
        <v>55724</v>
      </c>
      <c r="D253" s="3">
        <v>5271.7</v>
      </c>
      <c r="E253" s="3">
        <v>16380.41</v>
      </c>
      <c r="F253" s="3">
        <v>14227.68</v>
      </c>
      <c r="G253" s="3">
        <v>1082.33</v>
      </c>
      <c r="H253" s="3">
        <v>1886.76</v>
      </c>
      <c r="I253" s="3">
        <v>4258.4399999999996</v>
      </c>
      <c r="J253" s="3">
        <v>43273.5</v>
      </c>
      <c r="K253" s="3">
        <v>18510.78</v>
      </c>
      <c r="L253" s="3">
        <v>2401.13</v>
      </c>
      <c r="M253" s="3">
        <v>8850.27</v>
      </c>
      <c r="N253" s="6">
        <f>VLOOKUP(A253,'[1]俄罗斯交易系统市值加权指数历史数据 (1)'!$A:$B,2,)</f>
        <v>1072.94</v>
      </c>
      <c r="O253" s="3">
        <v>4033.18</v>
      </c>
      <c r="P253" s="1">
        <v>387.06</v>
      </c>
      <c r="Q253" s="3">
        <v>8250.1</v>
      </c>
      <c r="R253" s="1">
        <v>755.33</v>
      </c>
      <c r="S253" s="3">
        <v>9956.7999999999993</v>
      </c>
      <c r="T253" s="3">
        <v>6310.29</v>
      </c>
      <c r="U253" s="3">
        <v>2962.24</v>
      </c>
      <c r="V253" s="6">
        <f>VLOOKUP(A253,[2]韩国KOSPI指数历史数据!$A:$B,2,)</f>
        <v>1900.66</v>
      </c>
      <c r="W253" s="6">
        <f>VLOOKUP(A253,[3]日经225指数历史数据!$A:$B,2,)</f>
        <v>14532.51</v>
      </c>
      <c r="X253" s="3">
        <v>1433.24</v>
      </c>
      <c r="Y253" s="6">
        <f>VLOOKUP(A253,[4]上证指数历史数据!$A:$B,2,)</f>
        <v>2341.1799999999998</v>
      </c>
      <c r="Z253" s="6">
        <f>VLOOKUP(A253,[5]深证成份指数历史数据!$A:$B,2,)</f>
        <v>8151.52</v>
      </c>
      <c r="AA253" s="6">
        <f>VLOOKUP(A253,[6]台湾加权指数历史数据!$A:$B,2,)</f>
        <v>8512.8799999999992</v>
      </c>
      <c r="AB253" s="3">
        <v>23023.21</v>
      </c>
      <c r="AC253" s="3">
        <v>3167.73</v>
      </c>
      <c r="AD253">
        <v>7779.7</v>
      </c>
      <c r="AE253" s="5">
        <f>VLOOKUP(A253,[7]越南VN30指数历史数据!$A:$B,2,)</f>
        <v>624.77</v>
      </c>
      <c r="AF253">
        <v>42735.98</v>
      </c>
      <c r="AG253" s="9">
        <v>12242.78</v>
      </c>
      <c r="AH253">
        <v>10099.34</v>
      </c>
      <c r="AI253">
        <v>1728.41</v>
      </c>
      <c r="AJ253">
        <v>2701.82</v>
      </c>
    </row>
    <row r="254" spans="1:36" x14ac:dyDescent="0.3">
      <c r="A254" s="2">
        <v>41931</v>
      </c>
      <c r="B254" s="3">
        <v>10555.87</v>
      </c>
      <c r="C254" s="4">
        <v>51941</v>
      </c>
      <c r="D254" s="3">
        <v>5412.2</v>
      </c>
      <c r="E254" s="3">
        <v>16805.41</v>
      </c>
      <c r="F254" s="3">
        <v>14543.82</v>
      </c>
      <c r="G254" s="3">
        <v>1118.82</v>
      </c>
      <c r="H254" s="3">
        <v>1964.58</v>
      </c>
      <c r="I254" s="3">
        <v>4483.72</v>
      </c>
      <c r="J254" s="3">
        <v>43665.54</v>
      </c>
      <c r="K254" s="3">
        <v>18763.560000000001</v>
      </c>
      <c r="L254" s="3">
        <v>2426.1999999999998</v>
      </c>
      <c r="M254" s="3">
        <v>8987.7999999999993</v>
      </c>
      <c r="N254" s="6">
        <f>VLOOKUP(A254,'[1]俄罗斯交易系统市值加权指数历史数据 (1)'!$A:$B,2,)</f>
        <v>1036.68</v>
      </c>
      <c r="O254" s="3">
        <v>4128.8999999999996</v>
      </c>
      <c r="P254" s="1">
        <v>396.12</v>
      </c>
      <c r="Q254" s="3">
        <v>8532.09</v>
      </c>
      <c r="R254" s="1">
        <v>794.17</v>
      </c>
      <c r="S254" s="3">
        <v>10339.299999999999</v>
      </c>
      <c r="T254" s="3">
        <v>6388.73</v>
      </c>
      <c r="U254" s="3">
        <v>3030.37</v>
      </c>
      <c r="V254" s="6">
        <f>VLOOKUP(A254,[2]韩国KOSPI指数历史数据!$A:$B,2,)</f>
        <v>1925.69</v>
      </c>
      <c r="W254" s="6">
        <f>VLOOKUP(A254,[3]日经225指数历史数据!$A:$B,2,)</f>
        <v>15291.64</v>
      </c>
      <c r="X254" s="3">
        <v>1445.83</v>
      </c>
      <c r="Y254" s="6">
        <f>VLOOKUP(A254,[4]上证指数历史数据!$A:$B,2,)</f>
        <v>2302.2800000000002</v>
      </c>
      <c r="Z254" s="6">
        <f>VLOOKUP(A254,[5]深证成份指数历史数据!$A:$B,2,)</f>
        <v>7921.13</v>
      </c>
      <c r="AA254" s="6">
        <f>VLOOKUP(A254,[6]台湾加权指数历史数据!$A:$B,2,)</f>
        <v>8646.01</v>
      </c>
      <c r="AB254" s="3">
        <v>23302.2</v>
      </c>
      <c r="AC254" s="3">
        <v>3222.55</v>
      </c>
      <c r="AD254">
        <v>8014.55</v>
      </c>
      <c r="AE254" s="5">
        <f>VLOOKUP(A254,[7]越南VN30指数历史数据!$A:$B,2,)</f>
        <v>629.52</v>
      </c>
      <c r="AF254">
        <v>42676.13</v>
      </c>
      <c r="AG254" s="9">
        <v>12524.37</v>
      </c>
      <c r="AH254">
        <v>10221.379999999999</v>
      </c>
      <c r="AI254">
        <v>1762.57</v>
      </c>
      <c r="AJ254">
        <v>2668.18</v>
      </c>
    </row>
    <row r="255" spans="1:36" x14ac:dyDescent="0.3">
      <c r="A255" s="2">
        <v>41938</v>
      </c>
      <c r="B255" s="3">
        <v>11019.43</v>
      </c>
      <c r="C255" s="4">
        <v>54629</v>
      </c>
      <c r="D255" s="3">
        <v>5526.6</v>
      </c>
      <c r="E255" s="3">
        <v>17390.52</v>
      </c>
      <c r="F255" s="3">
        <v>14613.32</v>
      </c>
      <c r="G255" s="3">
        <v>1173.51</v>
      </c>
      <c r="H255" s="3">
        <v>2018.05</v>
      </c>
      <c r="I255" s="3">
        <v>4630.74</v>
      </c>
      <c r="J255" s="3">
        <v>45027.519999999997</v>
      </c>
      <c r="K255" s="3">
        <v>18842.72</v>
      </c>
      <c r="L255" s="3">
        <v>2463.6799999999998</v>
      </c>
      <c r="M255" s="3">
        <v>9326.8700000000008</v>
      </c>
      <c r="N255" s="6">
        <f>VLOOKUP(A255,'[1]俄罗斯交易系统市值加权指数历史数据 (1)'!$A:$B,2,)</f>
        <v>1091.44</v>
      </c>
      <c r="O255" s="3">
        <v>4233.09</v>
      </c>
      <c r="P255" s="1">
        <v>411.32</v>
      </c>
      <c r="Q255" s="3">
        <v>8837.7800000000007</v>
      </c>
      <c r="R255" s="1">
        <v>805.8</v>
      </c>
      <c r="S255" s="3">
        <v>10477.799999999999</v>
      </c>
      <c r="T255" s="3">
        <v>6546.47</v>
      </c>
      <c r="U255" s="3">
        <v>3113.32</v>
      </c>
      <c r="V255" s="6">
        <f>VLOOKUP(A255,[2]韩国KOSPI指数历史数据!$A:$B,2,)</f>
        <v>1964.43</v>
      </c>
      <c r="W255" s="6">
        <f>VLOOKUP(A255,[3]日经225指数历史数据!$A:$B,2,)</f>
        <v>16413.759999999998</v>
      </c>
      <c r="X255" s="3">
        <v>1424.37</v>
      </c>
      <c r="Y255" s="6">
        <f>VLOOKUP(A255,[4]上证指数历史数据!$A:$B,2,)</f>
        <v>2420.1799999999998</v>
      </c>
      <c r="Z255" s="6">
        <f>VLOOKUP(A255,[5]深证成份指数历史数据!$A:$B,2,)</f>
        <v>8225.61</v>
      </c>
      <c r="AA255" s="6">
        <f>VLOOKUP(A255,[6]台湾加权指数历史数据!$A:$B,2,)</f>
        <v>8974.76</v>
      </c>
      <c r="AB255" s="3">
        <v>23998.06</v>
      </c>
      <c r="AC255" s="3">
        <v>3274.25</v>
      </c>
      <c r="AD255">
        <v>8322.2000000000007</v>
      </c>
      <c r="AE255" s="5">
        <f>VLOOKUP(A255,[7]越南VN30指数历史数据!$A:$B,2,)</f>
        <v>638.78</v>
      </c>
      <c r="AF255">
        <v>44384.99</v>
      </c>
      <c r="AG255" s="9">
        <v>12986.85</v>
      </c>
      <c r="AH255">
        <v>10352.049999999999</v>
      </c>
      <c r="AI255">
        <v>1683.72</v>
      </c>
      <c r="AJ255">
        <v>2632.05</v>
      </c>
    </row>
    <row r="256" spans="1:36" x14ac:dyDescent="0.3">
      <c r="A256" s="2">
        <v>41945</v>
      </c>
      <c r="B256" s="3">
        <v>10588.61</v>
      </c>
      <c r="C256" s="4">
        <v>53223</v>
      </c>
      <c r="D256" s="3">
        <v>5549.1</v>
      </c>
      <c r="E256" s="3">
        <v>17573.93</v>
      </c>
      <c r="F256" s="3">
        <v>14690.83</v>
      </c>
      <c r="G256" s="3">
        <v>1173.32</v>
      </c>
      <c r="H256" s="3">
        <v>2031.92</v>
      </c>
      <c r="I256" s="3">
        <v>4632.53</v>
      </c>
      <c r="J256" s="3">
        <v>44614.66</v>
      </c>
      <c r="K256" s="3">
        <v>18986.400000000001</v>
      </c>
      <c r="L256" s="3">
        <v>2417.4499999999998</v>
      </c>
      <c r="M256" s="3">
        <v>9291.83</v>
      </c>
      <c r="N256" s="6">
        <f>VLOOKUP(A256,'[1]俄罗斯交易系统市值加权指数历史数据 (1)'!$A:$B,2,)</f>
        <v>1007.68</v>
      </c>
      <c r="O256" s="3">
        <v>4189.8900000000003</v>
      </c>
      <c r="P256" s="1">
        <v>411.43</v>
      </c>
      <c r="Q256" s="3">
        <v>8816.92</v>
      </c>
      <c r="R256" s="1">
        <v>779.58</v>
      </c>
      <c r="S256" s="3">
        <v>10126.299999999999</v>
      </c>
      <c r="T256" s="3">
        <v>6567.24</v>
      </c>
      <c r="U256" s="3">
        <v>3064.92</v>
      </c>
      <c r="V256" s="6">
        <f>VLOOKUP(A256,[2]韩国KOSPI指数历史数据!$A:$B,2,)</f>
        <v>1939.87</v>
      </c>
      <c r="W256" s="6">
        <f>VLOOKUP(A256,[3]日经225指数历史数据!$A:$B,2,)</f>
        <v>16880.38</v>
      </c>
      <c r="X256" s="3">
        <v>1451.11</v>
      </c>
      <c r="Y256" s="6">
        <f>VLOOKUP(A256,[4]上证指数历史数据!$A:$B,2,)</f>
        <v>2418.17</v>
      </c>
      <c r="Z256" s="6">
        <f>VLOOKUP(A256,[5]深证成份指数历史数据!$A:$B,2,)</f>
        <v>8234.8700000000008</v>
      </c>
      <c r="AA256" s="6">
        <f>VLOOKUP(A256,[6]台湾加权指数历史数据!$A:$B,2,)</f>
        <v>8912.6200000000008</v>
      </c>
      <c r="AB256" s="3">
        <v>23550.240000000002</v>
      </c>
      <c r="AC256" s="3">
        <v>3286.39</v>
      </c>
      <c r="AD256">
        <v>8337</v>
      </c>
      <c r="AE256" s="5">
        <f>VLOOKUP(A256,[7]越南VN30指数历史数据!$A:$B,2,)</f>
        <v>642.77</v>
      </c>
      <c r="AF256">
        <v>44814.63</v>
      </c>
      <c r="AG256" s="9">
        <v>13396.87</v>
      </c>
      <c r="AH256">
        <v>10258.92</v>
      </c>
      <c r="AI256">
        <v>1480.33</v>
      </c>
      <c r="AJ256">
        <v>2596.17</v>
      </c>
    </row>
    <row r="257" spans="1:36" x14ac:dyDescent="0.3">
      <c r="A257" s="2">
        <v>41952</v>
      </c>
      <c r="B257" s="3">
        <v>9749.7000000000007</v>
      </c>
      <c r="C257" s="4">
        <v>51772</v>
      </c>
      <c r="D257" s="3">
        <v>5454.3</v>
      </c>
      <c r="E257" s="3">
        <v>17634.740000000002</v>
      </c>
      <c r="F257" s="3">
        <v>14843.1</v>
      </c>
      <c r="G257" s="3">
        <v>1173.81</v>
      </c>
      <c r="H257" s="3">
        <v>2039.82</v>
      </c>
      <c r="I257" s="3">
        <v>4688.54</v>
      </c>
      <c r="J257" s="3">
        <v>43372.01</v>
      </c>
      <c r="K257" s="3">
        <v>19109.2</v>
      </c>
      <c r="L257" s="3">
        <v>2418.4</v>
      </c>
      <c r="M257" s="3">
        <v>9252.94</v>
      </c>
      <c r="N257" s="6">
        <f>VLOOKUP(A257,'[1]俄罗斯交易系统市值加权指数历史数据 (1)'!$A:$B,2,)</f>
        <v>1000.42</v>
      </c>
      <c r="O257" s="3">
        <v>4202.46</v>
      </c>
      <c r="P257" s="1">
        <v>411.97</v>
      </c>
      <c r="Q257" s="3">
        <v>8915.31</v>
      </c>
      <c r="R257" s="1">
        <v>812.12</v>
      </c>
      <c r="S257" s="3">
        <v>10148</v>
      </c>
      <c r="T257" s="3">
        <v>6654.37</v>
      </c>
      <c r="U257" s="3">
        <v>3059.99</v>
      </c>
      <c r="V257" s="6">
        <f>VLOOKUP(A257,[2]韩国KOSPI指数历史数据!$A:$B,2,)</f>
        <v>1945.14</v>
      </c>
      <c r="W257" s="6">
        <f>VLOOKUP(A257,[3]日经225指数历史数据!$A:$B,2,)</f>
        <v>17490.830000000002</v>
      </c>
      <c r="X257" s="3">
        <v>1445.78</v>
      </c>
      <c r="Y257" s="6">
        <f>VLOOKUP(A257,[4]上证指数历史数据!$A:$B,2,)</f>
        <v>2478.8200000000002</v>
      </c>
      <c r="Z257" s="6">
        <f>VLOOKUP(A257,[5]深证成份指数历史数据!$A:$B,2,)</f>
        <v>8326.9</v>
      </c>
      <c r="AA257" s="6">
        <f>VLOOKUP(A257,[6]台湾加权指数历史数据!$A:$B,2,)</f>
        <v>8982.8799999999992</v>
      </c>
      <c r="AB257" s="3">
        <v>24087.38</v>
      </c>
      <c r="AC257" s="3">
        <v>3315.67</v>
      </c>
      <c r="AD257">
        <v>8389.9</v>
      </c>
      <c r="AE257" s="5">
        <f>VLOOKUP(A257,[7]越南VN30指数历史数据!$A:$B,2,)</f>
        <v>637.9</v>
      </c>
      <c r="AF257">
        <v>45134.15</v>
      </c>
      <c r="AG257" s="9">
        <v>13166.89</v>
      </c>
      <c r="AH257">
        <v>10127.049999999999</v>
      </c>
      <c r="AI257">
        <v>1584.58</v>
      </c>
      <c r="AJ257">
        <v>2586.3200000000002</v>
      </c>
    </row>
    <row r="258" spans="1:36" x14ac:dyDescent="0.3">
      <c r="A258" s="2">
        <v>41959</v>
      </c>
      <c r="B258" s="3">
        <v>9976.67</v>
      </c>
      <c r="C258" s="4">
        <v>56084</v>
      </c>
      <c r="D258" s="3">
        <v>5304.3</v>
      </c>
      <c r="E258" s="3">
        <v>17810.060000000001</v>
      </c>
      <c r="F258" s="3">
        <v>15111.13</v>
      </c>
      <c r="G258" s="3">
        <v>1172.42</v>
      </c>
      <c r="H258" s="3">
        <v>2063.5</v>
      </c>
      <c r="I258" s="3">
        <v>4712.97</v>
      </c>
      <c r="J258" s="3">
        <v>44633.279999999999</v>
      </c>
      <c r="K258" s="3">
        <v>19422.439999999999</v>
      </c>
      <c r="L258" s="3">
        <v>2418.2600000000002</v>
      </c>
      <c r="M258" s="3">
        <v>9732.5499999999993</v>
      </c>
      <c r="N258" s="6">
        <f>VLOOKUP(A258,'[1]俄罗斯交易系统市值加权指数历史数据 (1)'!$A:$B,2,)</f>
        <v>1058.8</v>
      </c>
      <c r="O258" s="3">
        <v>4347.2299999999996</v>
      </c>
      <c r="P258" s="1">
        <v>423.46</v>
      </c>
      <c r="Q258" s="3">
        <v>9080.5499999999993</v>
      </c>
      <c r="R258" s="1">
        <v>832.82</v>
      </c>
      <c r="S258" s="3">
        <v>10520.8</v>
      </c>
      <c r="T258" s="3">
        <v>6750.76</v>
      </c>
      <c r="U258" s="3">
        <v>3194.22</v>
      </c>
      <c r="V258" s="6">
        <f>VLOOKUP(A258,[2]韩国KOSPI指数历史数据!$A:$B,2,)</f>
        <v>1964.84</v>
      </c>
      <c r="W258" s="6">
        <f>VLOOKUP(A258,[3]日经225指数历史数据!$A:$B,2,)</f>
        <v>17357.509999999998</v>
      </c>
      <c r="X258" s="3">
        <v>1453.26</v>
      </c>
      <c r="Y258" s="6">
        <f>VLOOKUP(A258,[4]上证指数历史数据!$A:$B,2,)</f>
        <v>2486.79</v>
      </c>
      <c r="Z258" s="6">
        <f>VLOOKUP(A258,[5]深证成份指数历史数据!$A:$B,2,)</f>
        <v>8332.2999999999993</v>
      </c>
      <c r="AA258" s="6">
        <f>VLOOKUP(A258,[6]台湾加权指数历史数据!$A:$B,2,)</f>
        <v>9091.5300000000007</v>
      </c>
      <c r="AB258" s="3">
        <v>23437.119999999999</v>
      </c>
      <c r="AC258" s="3">
        <v>3345.32</v>
      </c>
      <c r="AD258">
        <v>8477.35</v>
      </c>
      <c r="AE258" s="5">
        <f>VLOOKUP(A258,[7]越南VN30指数历史数据!$A:$B,2,)</f>
        <v>623.74</v>
      </c>
      <c r="AF258">
        <v>45250.63</v>
      </c>
      <c r="AG258" s="9">
        <v>13155.41</v>
      </c>
      <c r="AH258">
        <v>10131.790000000001</v>
      </c>
      <c r="AI258">
        <v>1527.82</v>
      </c>
      <c r="AJ258">
        <v>2591</v>
      </c>
    </row>
    <row r="259" spans="1:36" x14ac:dyDescent="0.3">
      <c r="A259" s="2">
        <v>41966</v>
      </c>
      <c r="B259" s="3">
        <v>9808.6</v>
      </c>
      <c r="C259" s="4">
        <v>54724</v>
      </c>
      <c r="D259" s="3">
        <v>5313</v>
      </c>
      <c r="E259" s="3">
        <v>17828.240000000002</v>
      </c>
      <c r="F259" s="3">
        <v>14744.7</v>
      </c>
      <c r="G259" s="3">
        <v>1173.23</v>
      </c>
      <c r="H259" s="3">
        <v>2067.56</v>
      </c>
      <c r="I259" s="3">
        <v>4791.63</v>
      </c>
      <c r="J259" s="3">
        <v>44190.47</v>
      </c>
      <c r="K259" s="3">
        <v>19457.82</v>
      </c>
      <c r="L259" s="3">
        <v>2416.9299999999998</v>
      </c>
      <c r="M259" s="3">
        <v>9980.85</v>
      </c>
      <c r="N259" s="6">
        <f>VLOOKUP(A259,'[1]俄罗斯交易系统市值加权指数历史数据 (1)'!$A:$B,2,)</f>
        <v>974.27</v>
      </c>
      <c r="O259" s="3">
        <v>4390.18</v>
      </c>
      <c r="P259" s="1">
        <v>425.86</v>
      </c>
      <c r="Q259" s="3">
        <v>9150.4599999999991</v>
      </c>
      <c r="R259" s="1">
        <v>861.69</v>
      </c>
      <c r="S259" s="3">
        <v>10770.7</v>
      </c>
      <c r="T259" s="3">
        <v>6722.62</v>
      </c>
      <c r="U259" s="3">
        <v>3250.93</v>
      </c>
      <c r="V259" s="6">
        <f>VLOOKUP(A259,[2]韩国KOSPI指数历史数据!$A:$B,2,)</f>
        <v>1980.78</v>
      </c>
      <c r="W259" s="6">
        <f>VLOOKUP(A259,[3]日经225指数历史数据!$A:$B,2,)</f>
        <v>17459.849999999999</v>
      </c>
      <c r="X259" s="3">
        <v>1477.59</v>
      </c>
      <c r="Y259" s="6">
        <f>VLOOKUP(A259,[4]上证指数历史数据!$A:$B,2,)</f>
        <v>2682.83</v>
      </c>
      <c r="Z259" s="6">
        <f>VLOOKUP(A259,[5]深证成份指数历史数据!$A:$B,2,)</f>
        <v>9002.23</v>
      </c>
      <c r="AA259" s="6">
        <f>VLOOKUP(A259,[6]台湾加权指数历史数据!$A:$B,2,)</f>
        <v>9187.15</v>
      </c>
      <c r="AB259" s="3">
        <v>23987.45</v>
      </c>
      <c r="AC259" s="3">
        <v>3350.5</v>
      </c>
      <c r="AD259">
        <v>8588.25</v>
      </c>
      <c r="AE259" s="5">
        <f>VLOOKUP(A259,[7]越南VN30指数历史数据!$A:$B,2,)</f>
        <v>611.15</v>
      </c>
      <c r="AF259">
        <v>44205.760000000002</v>
      </c>
      <c r="AG259" s="9">
        <v>13277.28</v>
      </c>
      <c r="AH259">
        <v>9975.7099999999991</v>
      </c>
      <c r="AI259">
        <v>1575.87</v>
      </c>
      <c r="AJ259">
        <v>2606.7199999999998</v>
      </c>
    </row>
    <row r="260" spans="1:36" x14ac:dyDescent="0.3">
      <c r="A260" s="2">
        <v>41973</v>
      </c>
      <c r="B260" s="3">
        <v>9580.5499999999993</v>
      </c>
      <c r="C260" s="4">
        <v>51993</v>
      </c>
      <c r="D260" s="3">
        <v>5335.3</v>
      </c>
      <c r="E260" s="3">
        <v>17958.79</v>
      </c>
      <c r="F260" s="3">
        <v>14473.7</v>
      </c>
      <c r="G260" s="3">
        <v>1182.43</v>
      </c>
      <c r="H260" s="3">
        <v>2075.37</v>
      </c>
      <c r="I260" s="3">
        <v>4780.76</v>
      </c>
      <c r="J260" s="3">
        <v>43230.34</v>
      </c>
      <c r="K260" s="3">
        <v>19357.98</v>
      </c>
      <c r="L260" s="3">
        <v>2438.42</v>
      </c>
      <c r="M260" s="3">
        <v>10087.120000000001</v>
      </c>
      <c r="N260" s="6">
        <f>VLOOKUP(A260,'[1]俄罗斯交易系统市值加权指数历史数据 (1)'!$A:$B,2,)</f>
        <v>908.75</v>
      </c>
      <c r="O260" s="3">
        <v>4419.4799999999996</v>
      </c>
      <c r="P260" s="1">
        <v>431.06</v>
      </c>
      <c r="Q260" s="3">
        <v>9212.85</v>
      </c>
      <c r="R260" s="1">
        <v>852.4</v>
      </c>
      <c r="S260" s="3">
        <v>10900.7</v>
      </c>
      <c r="T260" s="3">
        <v>6742.84</v>
      </c>
      <c r="U260" s="3">
        <v>3277.38</v>
      </c>
      <c r="V260" s="6">
        <f>VLOOKUP(A260,[2]韩国KOSPI指数历史数据!$A:$B,2,)</f>
        <v>1986.62</v>
      </c>
      <c r="W260" s="6">
        <f>VLOOKUP(A260,[3]日经225指数历史数据!$A:$B,2,)</f>
        <v>17920.45</v>
      </c>
      <c r="X260" s="3">
        <v>1485.23</v>
      </c>
      <c r="Y260" s="6">
        <f>VLOOKUP(A260,[4]上证指数历史数据!$A:$B,2,)</f>
        <v>2937.65</v>
      </c>
      <c r="Z260" s="6">
        <f>VLOOKUP(A260,[5]深证成份指数历史数据!$A:$B,2,)</f>
        <v>10067.280000000001</v>
      </c>
      <c r="AA260" s="6">
        <f>VLOOKUP(A260,[6]台湾加权指数历史数据!$A:$B,2,)</f>
        <v>9206.57</v>
      </c>
      <c r="AB260" s="3">
        <v>24002.639999999999</v>
      </c>
      <c r="AC260" s="3">
        <v>3324.39</v>
      </c>
      <c r="AD260">
        <v>8538.2999999999993</v>
      </c>
      <c r="AE260" s="5">
        <f>VLOOKUP(A260,[7]越南VN30指数历史数据!$A:$B,2,)</f>
        <v>624.66999999999996</v>
      </c>
      <c r="AF260">
        <v>43876.25</v>
      </c>
      <c r="AG260" s="9">
        <v>13432.31</v>
      </c>
      <c r="AH260">
        <v>9861.34</v>
      </c>
      <c r="AI260">
        <v>1516.67</v>
      </c>
      <c r="AJ260">
        <v>2614.02</v>
      </c>
    </row>
    <row r="261" spans="1:36" x14ac:dyDescent="0.3">
      <c r="A261" s="2">
        <v>41980</v>
      </c>
      <c r="B261" s="3">
        <v>8266.8799999999992</v>
      </c>
      <c r="C261" s="4">
        <v>48002</v>
      </c>
      <c r="D261" s="3">
        <v>5219.6000000000004</v>
      </c>
      <c r="E261" s="3">
        <v>17280.830000000002</v>
      </c>
      <c r="F261" s="3">
        <v>13731.05</v>
      </c>
      <c r="G261" s="3">
        <v>1152.45</v>
      </c>
      <c r="H261" s="3">
        <v>2002.33</v>
      </c>
      <c r="I261" s="3">
        <v>4653.6000000000004</v>
      </c>
      <c r="J261" s="3">
        <v>41714.57</v>
      </c>
      <c r="K261" s="3">
        <v>18674.66</v>
      </c>
      <c r="L261" s="3">
        <v>2360</v>
      </c>
      <c r="M261" s="3">
        <v>9594.73</v>
      </c>
      <c r="N261" s="6">
        <f>VLOOKUP(A261,'[1]俄罗斯交易系统市值加权指数历史数据 (1)'!$A:$B,2,)</f>
        <v>799.18</v>
      </c>
      <c r="O261" s="3">
        <v>4108.93</v>
      </c>
      <c r="P261" s="1">
        <v>406.17</v>
      </c>
      <c r="Q261" s="3">
        <v>8895.35</v>
      </c>
      <c r="R261" s="1">
        <v>832.26</v>
      </c>
      <c r="S261" s="3">
        <v>10145</v>
      </c>
      <c r="T261" s="3">
        <v>6300.63</v>
      </c>
      <c r="U261" s="3">
        <v>3067.32</v>
      </c>
      <c r="V261" s="6">
        <f>VLOOKUP(A261,[2]韩国KOSPI指数历史数据!$A:$B,2,)</f>
        <v>1921.71</v>
      </c>
      <c r="W261" s="6">
        <f>VLOOKUP(A261,[3]日经225指数历史数据!$A:$B,2,)</f>
        <v>17371.580000000002</v>
      </c>
      <c r="X261" s="3">
        <v>1487.81</v>
      </c>
      <c r="Y261" s="6">
        <f>VLOOKUP(A261,[4]上证指数历史数据!$A:$B,2,)</f>
        <v>2938.17</v>
      </c>
      <c r="Z261" s="6">
        <f>VLOOKUP(A261,[5]深证成份指数历史数据!$A:$B,2,)</f>
        <v>10462.31</v>
      </c>
      <c r="AA261" s="6">
        <f>VLOOKUP(A261,[6]台湾加权指数历史数据!$A:$B,2,)</f>
        <v>9027.33</v>
      </c>
      <c r="AB261" s="3">
        <v>23249.200000000001</v>
      </c>
      <c r="AC261" s="3">
        <v>3324.13</v>
      </c>
      <c r="AD261">
        <v>8224.1</v>
      </c>
      <c r="AE261" s="5">
        <f>VLOOKUP(A261,[7]越南VN30指数历史数据!$A:$B,2,)</f>
        <v>609.33000000000004</v>
      </c>
      <c r="AF261">
        <v>42400</v>
      </c>
      <c r="AG261" s="9">
        <v>13077.91</v>
      </c>
      <c r="AH261">
        <v>9747.7999999999993</v>
      </c>
      <c r="AI261">
        <v>1397.45</v>
      </c>
      <c r="AJ261">
        <v>2562.9299999999998</v>
      </c>
    </row>
    <row r="262" spans="1:36" x14ac:dyDescent="0.3">
      <c r="A262" s="2">
        <v>41987</v>
      </c>
      <c r="B262" s="3">
        <v>8022.15</v>
      </c>
      <c r="C262" s="4">
        <v>49651</v>
      </c>
      <c r="D262" s="3">
        <v>5338.6</v>
      </c>
      <c r="E262" s="3">
        <v>17804.8</v>
      </c>
      <c r="F262" s="3">
        <v>14468.26</v>
      </c>
      <c r="G262" s="3">
        <v>1195.94</v>
      </c>
      <c r="H262" s="3">
        <v>2070.65</v>
      </c>
      <c r="I262" s="3">
        <v>4765.38</v>
      </c>
      <c r="J262" s="3">
        <v>42529.89</v>
      </c>
      <c r="K262" s="3">
        <v>18692.54</v>
      </c>
      <c r="L262" s="3">
        <v>2310.88</v>
      </c>
      <c r="M262" s="3">
        <v>9786.9599999999991</v>
      </c>
      <c r="N262" s="6">
        <f>VLOOKUP(A262,'[1]俄罗斯交易系统市值加权指数历史数据 (1)'!$A:$B,2,)</f>
        <v>768.06</v>
      </c>
      <c r="O262" s="3">
        <v>4241.6499999999996</v>
      </c>
      <c r="P262" s="1">
        <v>418.37</v>
      </c>
      <c r="Q262" s="3">
        <v>8976.24</v>
      </c>
      <c r="R262" s="1">
        <v>835.74</v>
      </c>
      <c r="S262" s="3">
        <v>10363.6</v>
      </c>
      <c r="T262" s="3">
        <v>6545.27</v>
      </c>
      <c r="U262" s="3">
        <v>3141.28</v>
      </c>
      <c r="V262" s="6">
        <f>VLOOKUP(A262,[2]韩国KOSPI指数历史数据!$A:$B,2,)</f>
        <v>1929.98</v>
      </c>
      <c r="W262" s="6">
        <f>VLOOKUP(A262,[3]日经225指数历史数据!$A:$B,2,)</f>
        <v>17621.400000000001</v>
      </c>
      <c r="X262" s="3">
        <v>1481.88</v>
      </c>
      <c r="Y262" s="6">
        <f>VLOOKUP(A262,[4]上证指数历史数据!$A:$B,2,)</f>
        <v>3108.6</v>
      </c>
      <c r="Z262" s="6">
        <f>VLOOKUP(A262,[5]深证成份指数历史数据!$A:$B,2,)</f>
        <v>10627.11</v>
      </c>
      <c r="AA262" s="6">
        <f>VLOOKUP(A262,[6]台湾加权指数历史数据!$A:$B,2,)</f>
        <v>8999.52</v>
      </c>
      <c r="AB262" s="3">
        <v>23116.63</v>
      </c>
      <c r="AC262" s="3">
        <v>3279.53</v>
      </c>
      <c r="AD262">
        <v>8225.2000000000007</v>
      </c>
      <c r="AE262" s="5">
        <f>VLOOKUP(A262,[7]越南VN30指数历史数据!$A:$B,2,)</f>
        <v>570.61</v>
      </c>
      <c r="AF262">
        <v>43655.86</v>
      </c>
      <c r="AG262" s="9">
        <v>11857.44</v>
      </c>
      <c r="AH262">
        <v>9617.48</v>
      </c>
      <c r="AI262">
        <v>1378.87</v>
      </c>
      <c r="AJ262">
        <v>2406.71</v>
      </c>
    </row>
    <row r="263" spans="1:36" x14ac:dyDescent="0.3">
      <c r="A263" s="2">
        <v>41994</v>
      </c>
      <c r="B263" s="3">
        <v>8373.74</v>
      </c>
      <c r="C263" s="4">
        <v>50145</v>
      </c>
      <c r="D263" s="3">
        <v>5394.5</v>
      </c>
      <c r="E263" s="3">
        <v>18053.71</v>
      </c>
      <c r="F263" s="3">
        <v>14609.25</v>
      </c>
      <c r="G263" s="3">
        <v>1215.21</v>
      </c>
      <c r="H263" s="3">
        <v>2088.77</v>
      </c>
      <c r="I263" s="3">
        <v>4806.8599999999997</v>
      </c>
      <c r="J263" s="3">
        <v>43002.17</v>
      </c>
      <c r="K263" s="3">
        <v>18727.919999999998</v>
      </c>
      <c r="L263" s="3">
        <v>2323.04</v>
      </c>
      <c r="M263" s="3">
        <v>9922.11</v>
      </c>
      <c r="N263" s="6">
        <f>VLOOKUP(A263,'[1]俄罗斯交易系统市值加权指数历史数据 (1)'!$A:$B,2,)</f>
        <v>828.57</v>
      </c>
      <c r="O263" s="3">
        <v>4295.8500000000004</v>
      </c>
      <c r="P263" s="1">
        <v>425.57</v>
      </c>
      <c r="Q263" s="3">
        <v>9021.67</v>
      </c>
      <c r="R263" s="1">
        <v>849.47</v>
      </c>
      <c r="S263" s="3">
        <v>10481.799999999999</v>
      </c>
      <c r="T263" s="3">
        <v>6609.93</v>
      </c>
      <c r="U263" s="3">
        <v>3184.66</v>
      </c>
      <c r="V263" s="6">
        <f>VLOOKUP(A263,[2]韩国KOSPI指数历史数据!$A:$B,2,)</f>
        <v>1948.16</v>
      </c>
      <c r="W263" s="6">
        <f>VLOOKUP(A263,[3]日经225指数历史数据!$A:$B,2,)</f>
        <v>17818.96</v>
      </c>
      <c r="X263" s="3">
        <v>1464.59</v>
      </c>
      <c r="Y263" s="6">
        <f>VLOOKUP(A263,[4]上证指数历史数据!$A:$B,2,)</f>
        <v>3157.6</v>
      </c>
      <c r="Z263" s="6">
        <f>VLOOKUP(A263,[5]深证成份指数历史数据!$A:$B,2,)</f>
        <v>10802.64</v>
      </c>
      <c r="AA263" s="6">
        <f>VLOOKUP(A263,[6]台湾加权指数历史数据!$A:$B,2,)</f>
        <v>9218.5</v>
      </c>
      <c r="AB263" s="3">
        <v>23349.34</v>
      </c>
      <c r="AC263" s="3">
        <v>3353.68</v>
      </c>
      <c r="AD263">
        <v>8200.7000000000007</v>
      </c>
      <c r="AE263" s="5">
        <f>VLOOKUP(A263,[7]越南VN30指数历史数据!$A:$B,2,)</f>
        <v>582.45000000000005</v>
      </c>
      <c r="AF263">
        <v>43746.86</v>
      </c>
      <c r="AG263" s="9">
        <v>12371.48</v>
      </c>
      <c r="AH263">
        <v>9650.2099999999991</v>
      </c>
      <c r="AI263">
        <v>1555.2</v>
      </c>
      <c r="AJ263">
        <v>2457.4</v>
      </c>
    </row>
    <row r="264" spans="1:36" x14ac:dyDescent="0.3">
      <c r="A264" s="2">
        <v>42001</v>
      </c>
      <c r="B264" s="3">
        <v>8666.4500000000007</v>
      </c>
      <c r="C264" s="4">
        <v>48512</v>
      </c>
      <c r="D264" s="3">
        <v>5435.9</v>
      </c>
      <c r="E264" s="3">
        <v>17832.990000000002</v>
      </c>
      <c r="F264" s="3">
        <v>14753.65</v>
      </c>
      <c r="G264" s="3">
        <v>1198.8</v>
      </c>
      <c r="H264" s="3">
        <v>2058.1999999999998</v>
      </c>
      <c r="I264" s="3">
        <v>4726.8100000000004</v>
      </c>
      <c r="J264" s="3">
        <v>42115.47</v>
      </c>
      <c r="K264" s="3">
        <v>18870.2</v>
      </c>
      <c r="L264" s="3">
        <v>2309.39</v>
      </c>
      <c r="M264" s="3">
        <v>9764.73</v>
      </c>
      <c r="N264" s="6">
        <f>VLOOKUP(A264,'[1]俄罗斯交易系统市值加权指数历史数据 (1)'!$A:$B,2,)</f>
        <v>790.71</v>
      </c>
      <c r="O264" s="3">
        <v>4252.29</v>
      </c>
      <c r="P264" s="1">
        <v>422.28</v>
      </c>
      <c r="Q264" s="3">
        <v>8983.3700000000008</v>
      </c>
      <c r="R264" s="1">
        <v>854.59</v>
      </c>
      <c r="S264" s="3">
        <v>10350.799999999999</v>
      </c>
      <c r="T264" s="3">
        <v>6547.8</v>
      </c>
      <c r="U264" s="3">
        <v>3139.44</v>
      </c>
      <c r="V264" s="6">
        <f>VLOOKUP(A264,[2]韩国KOSPI指数历史数据!$A:$B,2,)</f>
        <v>1926.44</v>
      </c>
      <c r="W264" s="6">
        <f>VLOOKUP(A264,[3]日经225指数历史数据!$A:$B,2,)</f>
        <v>17450.77</v>
      </c>
      <c r="X264" s="3">
        <v>1461.97</v>
      </c>
      <c r="Y264" s="6">
        <f>VLOOKUP(A264,[4]上证指数历史数据!$A:$B,2,)</f>
        <v>3234.68</v>
      </c>
      <c r="Z264" s="6">
        <f>VLOOKUP(A264,[5]深证成份指数历史数据!$A:$B,2,)</f>
        <v>11014.62</v>
      </c>
      <c r="AA264" s="6">
        <f>VLOOKUP(A264,[6]台湾加权指数历史数据!$A:$B,2,)</f>
        <v>9307.26</v>
      </c>
      <c r="AB264" s="3">
        <v>23857.82</v>
      </c>
      <c r="AC264" s="3">
        <v>3370.59</v>
      </c>
      <c r="AD264">
        <v>8395.4500000000007</v>
      </c>
      <c r="AE264" s="5">
        <f>VLOOKUP(A264,[7]越南VN30指数历史数据!$A:$B,2,)</f>
        <v>601.66</v>
      </c>
      <c r="AF264">
        <v>43696.74</v>
      </c>
      <c r="AG264" s="9">
        <v>12614.09</v>
      </c>
      <c r="AH264">
        <v>9643.19</v>
      </c>
      <c r="AI264">
        <v>1563.22</v>
      </c>
      <c r="AJ264">
        <v>2548.9</v>
      </c>
    </row>
    <row r="265" spans="1:36" x14ac:dyDescent="0.3">
      <c r="A265" s="2">
        <v>42008</v>
      </c>
      <c r="B265" s="3">
        <v>8459.65</v>
      </c>
      <c r="C265" s="4">
        <v>48840</v>
      </c>
      <c r="D265" s="3">
        <v>5465.6</v>
      </c>
      <c r="E265" s="3">
        <v>17737.37</v>
      </c>
      <c r="F265" s="3">
        <v>14384.92</v>
      </c>
      <c r="G265" s="3">
        <v>1185.68</v>
      </c>
      <c r="H265" s="3">
        <v>2044.81</v>
      </c>
      <c r="I265" s="3">
        <v>4704.07</v>
      </c>
      <c r="J265" s="3">
        <v>42382.41</v>
      </c>
      <c r="K265" s="3">
        <v>18608.54</v>
      </c>
      <c r="L265" s="3">
        <v>2337.21</v>
      </c>
      <c r="M265" s="3">
        <v>9648.5</v>
      </c>
      <c r="N265" s="6">
        <f>VLOOKUP(A265,'[1]俄罗斯交易系统市值加权指数历史数据 (1)'!$A:$B,2,)</f>
        <v>782.62</v>
      </c>
      <c r="O265" s="3">
        <v>4179.07</v>
      </c>
      <c r="P265" s="1">
        <v>415.59</v>
      </c>
      <c r="Q265" s="3">
        <v>9105.7000000000007</v>
      </c>
      <c r="R265" s="1">
        <v>876.48</v>
      </c>
      <c r="S265" s="3">
        <v>9719</v>
      </c>
      <c r="T265" s="3">
        <v>6501.14</v>
      </c>
      <c r="U265" s="3">
        <v>3042.9</v>
      </c>
      <c r="V265" s="6">
        <f>VLOOKUP(A265,[2]韩国KOSPI指数历史数据!$A:$B,2,)</f>
        <v>1924.7</v>
      </c>
      <c r="W265" s="6">
        <f>VLOOKUP(A265,[3]日经225指数历史数据!$A:$B,2,)</f>
        <v>17197.73</v>
      </c>
      <c r="X265" s="3">
        <v>1469.58</v>
      </c>
      <c r="Y265" s="6">
        <f>VLOOKUP(A265,[4]上证指数历史数据!$A:$B,2,)</f>
        <v>3285.41</v>
      </c>
      <c r="Z265" s="6">
        <f>VLOOKUP(A265,[5]深证成份指数历史数据!$A:$B,2,)</f>
        <v>11324.76</v>
      </c>
      <c r="AA265" s="6">
        <f>VLOOKUP(A265,[6]台湾加权指数历史数据!$A:$B,2,)</f>
        <v>9215.58</v>
      </c>
      <c r="AB265" s="3">
        <v>23919.95</v>
      </c>
      <c r="AC265" s="3">
        <v>3338.44</v>
      </c>
      <c r="AD265">
        <v>8284.5</v>
      </c>
      <c r="AE265" s="5">
        <f>VLOOKUP(A265,[7]越南VN30指数历史数据!$A:$B,2,)</f>
        <v>618.41</v>
      </c>
      <c r="AF265">
        <v>42994.58</v>
      </c>
      <c r="AG265" s="9">
        <v>12625.97</v>
      </c>
      <c r="AH265">
        <v>9993.19</v>
      </c>
      <c r="AI265">
        <v>1360.44</v>
      </c>
      <c r="AJ265">
        <v>2568.71</v>
      </c>
    </row>
    <row r="266" spans="1:36" x14ac:dyDescent="0.3">
      <c r="A266" s="2">
        <v>42015</v>
      </c>
      <c r="B266" s="3">
        <v>8658.9599999999991</v>
      </c>
      <c r="C266" s="4">
        <v>49017</v>
      </c>
      <c r="D266" s="3">
        <v>5299.2</v>
      </c>
      <c r="E266" s="3">
        <v>17511.57</v>
      </c>
      <c r="F266" s="3">
        <v>14309.41</v>
      </c>
      <c r="G266" s="3">
        <v>1176.6500000000001</v>
      </c>
      <c r="H266" s="3">
        <v>2019.42</v>
      </c>
      <c r="I266" s="3">
        <v>4634.38</v>
      </c>
      <c r="J266" s="3">
        <v>41402.01</v>
      </c>
      <c r="K266" s="3">
        <v>18378.88</v>
      </c>
      <c r="L266" s="3">
        <v>2252.33</v>
      </c>
      <c r="M266" s="3">
        <v>10167.77</v>
      </c>
      <c r="N266" s="6">
        <f>VLOOKUP(A266,'[1]俄罗斯交易系统市值加权指数历史数据 (1)'!$A:$B,2,)</f>
        <v>769.8</v>
      </c>
      <c r="O266" s="3">
        <v>4379.62</v>
      </c>
      <c r="P266" s="1">
        <v>432.98</v>
      </c>
      <c r="Q266" s="3">
        <v>7899.59</v>
      </c>
      <c r="R266" s="1">
        <v>874.16</v>
      </c>
      <c r="S266" s="3">
        <v>10038.9</v>
      </c>
      <c r="T266" s="3">
        <v>6550.27</v>
      </c>
      <c r="U266" s="3">
        <v>3202.24</v>
      </c>
      <c r="V266" s="6">
        <f>VLOOKUP(A266,[2]韩国KOSPI指数历史数据!$A:$B,2,)</f>
        <v>1888.13</v>
      </c>
      <c r="W266" s="6">
        <f>VLOOKUP(A266,[3]日经225指数历史数据!$A:$B,2,)</f>
        <v>16864.16</v>
      </c>
      <c r="X266" s="3">
        <v>1463.33</v>
      </c>
      <c r="Y266" s="6">
        <f>VLOOKUP(A266,[4]上证指数历史数据!$A:$B,2,)</f>
        <v>3376.49</v>
      </c>
      <c r="Z266" s="6">
        <f>VLOOKUP(A266,[5]深证成份指数历史数据!$A:$B,2,)</f>
        <v>11532.8</v>
      </c>
      <c r="AA266" s="6">
        <f>VLOOKUP(A266,[6]台湾加权指数历史数据!$A:$B,2,)</f>
        <v>9138.2900000000009</v>
      </c>
      <c r="AB266" s="3">
        <v>24103.52</v>
      </c>
      <c r="AC266" s="3">
        <v>3300.68</v>
      </c>
      <c r="AD266">
        <v>8513.7999999999993</v>
      </c>
      <c r="AE266" s="5">
        <f>VLOOKUP(A266,[7]越南VN30指数历史数据!$A:$B,2,)</f>
        <v>614.72</v>
      </c>
      <c r="AF266">
        <v>42455.42</v>
      </c>
      <c r="AG266" s="9">
        <v>13513.47</v>
      </c>
      <c r="AH266">
        <v>10334.719999999999</v>
      </c>
      <c r="AI266">
        <v>1305.07</v>
      </c>
      <c r="AJ266">
        <v>2640.91</v>
      </c>
    </row>
    <row r="267" spans="1:36" x14ac:dyDescent="0.3">
      <c r="A267" s="2">
        <v>42022</v>
      </c>
      <c r="B267" s="3">
        <v>8737.59</v>
      </c>
      <c r="C267" s="4">
        <v>48775</v>
      </c>
      <c r="D267" s="3">
        <v>5501.8</v>
      </c>
      <c r="E267" s="3">
        <v>17672.599999999999</v>
      </c>
      <c r="F267" s="3">
        <v>14779.35</v>
      </c>
      <c r="G267" s="3">
        <v>1188.93</v>
      </c>
      <c r="H267" s="3">
        <v>2051.8200000000002</v>
      </c>
      <c r="I267" s="3">
        <v>4757.88</v>
      </c>
      <c r="J267" s="3">
        <v>42649.72</v>
      </c>
      <c r="K267" s="3">
        <v>18893.45</v>
      </c>
      <c r="L267" s="3">
        <v>2319.59</v>
      </c>
      <c r="M267" s="3">
        <v>10649.58</v>
      </c>
      <c r="N267" s="6">
        <f>VLOOKUP(A267,'[1]俄罗斯交易系统市值加权指数历史数据 (1)'!$A:$B,2,)</f>
        <v>820.99</v>
      </c>
      <c r="O267" s="3">
        <v>4640.6899999999996</v>
      </c>
      <c r="P267" s="1">
        <v>454.56</v>
      </c>
      <c r="Q267" s="3">
        <v>8161.16</v>
      </c>
      <c r="R267" s="1">
        <v>907.36</v>
      </c>
      <c r="S267" s="3">
        <v>10581.5</v>
      </c>
      <c r="T267" s="3">
        <v>6832.83</v>
      </c>
      <c r="U267" s="3">
        <v>3382.55</v>
      </c>
      <c r="V267" s="6">
        <f>VLOOKUP(A267,[2]韩国KOSPI指数历史数据!$A:$B,2,)</f>
        <v>1936.09</v>
      </c>
      <c r="W267" s="6">
        <f>VLOOKUP(A267,[3]日经225指数历史数据!$A:$B,2,)</f>
        <v>17511.75</v>
      </c>
      <c r="X267" s="3">
        <v>1455.66</v>
      </c>
      <c r="Y267" s="6">
        <f>VLOOKUP(A267,[4]上证指数历史数据!$A:$B,2,)</f>
        <v>3351.76</v>
      </c>
      <c r="Z267" s="6">
        <f>VLOOKUP(A267,[5]深证成份指数历史数据!$A:$B,2,)</f>
        <v>11436.29</v>
      </c>
      <c r="AA267" s="6">
        <f>VLOOKUP(A267,[6]台湾加权指数历史数据!$A:$B,2,)</f>
        <v>9470.94</v>
      </c>
      <c r="AB267" s="3">
        <v>24850.45</v>
      </c>
      <c r="AC267" s="3">
        <v>3411.5</v>
      </c>
      <c r="AD267">
        <v>8835.6</v>
      </c>
      <c r="AE267" s="5">
        <f>VLOOKUP(A267,[7]越南VN30指数历史数据!$A:$B,2,)</f>
        <v>615.16</v>
      </c>
      <c r="AF267">
        <v>43647.44</v>
      </c>
      <c r="AG267" s="9">
        <v>13965.79</v>
      </c>
      <c r="AH267">
        <v>10178.700000000001</v>
      </c>
      <c r="AI267">
        <v>1347.79</v>
      </c>
      <c r="AJ267">
        <v>2699.61</v>
      </c>
    </row>
    <row r="268" spans="1:36" x14ac:dyDescent="0.3">
      <c r="A268" s="2">
        <v>42029</v>
      </c>
      <c r="B268" s="3">
        <v>8490.4599999999991</v>
      </c>
      <c r="C268" s="4">
        <v>46908</v>
      </c>
      <c r="D268" s="3">
        <v>5588.3</v>
      </c>
      <c r="E268" s="3">
        <v>17164.95</v>
      </c>
      <c r="F268" s="3">
        <v>14673.48</v>
      </c>
      <c r="G268" s="3">
        <v>1165.3900000000001</v>
      </c>
      <c r="H268" s="3">
        <v>1994.99</v>
      </c>
      <c r="I268" s="3">
        <v>4635.24</v>
      </c>
      <c r="J268" s="3">
        <v>40950.58</v>
      </c>
      <c r="K268" s="3">
        <v>18761.3</v>
      </c>
      <c r="L268" s="3">
        <v>2341</v>
      </c>
      <c r="M268" s="3">
        <v>10694.32</v>
      </c>
      <c r="N268" s="6">
        <f>VLOOKUP(A268,'[1]俄罗斯交易系统市值加权指数历史数据 (1)'!$A:$B,2,)</f>
        <v>737.35</v>
      </c>
      <c r="O268" s="3">
        <v>4604.25</v>
      </c>
      <c r="P268" s="1">
        <v>450.39</v>
      </c>
      <c r="Q268" s="3">
        <v>8385.1299999999992</v>
      </c>
      <c r="R268" s="1">
        <v>889.46</v>
      </c>
      <c r="S268" s="3">
        <v>10403.299999999999</v>
      </c>
      <c r="T268" s="3">
        <v>6749.4</v>
      </c>
      <c r="U268" s="3">
        <v>3351.44</v>
      </c>
      <c r="V268" s="6">
        <f>VLOOKUP(A268,[2]韩国KOSPI指数历史数据!$A:$B,2,)</f>
        <v>1949.26</v>
      </c>
      <c r="W268" s="6">
        <f>VLOOKUP(A268,[3]日经225指数历史数据!$A:$B,2,)</f>
        <v>17674.39</v>
      </c>
      <c r="X268" s="3">
        <v>1447.85</v>
      </c>
      <c r="Y268" s="6">
        <f>VLOOKUP(A268,[4]上证指数历史数据!$A:$B,2,)</f>
        <v>3210.36</v>
      </c>
      <c r="Z268" s="6">
        <f>VLOOKUP(A268,[5]深证成份指数历史数据!$A:$B,2,)</f>
        <v>11150.69</v>
      </c>
      <c r="AA268" s="6">
        <f>VLOOKUP(A268,[6]台湾加权指数历史数据!$A:$B,2,)</f>
        <v>9361.91</v>
      </c>
      <c r="AB268" s="3">
        <v>24507.05</v>
      </c>
      <c r="AC268" s="3">
        <v>3391.2</v>
      </c>
      <c r="AD268">
        <v>8808.9</v>
      </c>
      <c r="AE268" s="5">
        <f>VLOOKUP(A268,[7]越南VN30指数历史数据!$A:$B,2,)</f>
        <v>606.54</v>
      </c>
      <c r="AF268">
        <v>45111.03</v>
      </c>
      <c r="AG268" s="9">
        <v>13845.88</v>
      </c>
      <c r="AH268">
        <v>10222.56</v>
      </c>
      <c r="AI268">
        <v>1334.09</v>
      </c>
      <c r="AJ268">
        <v>2671.89</v>
      </c>
    </row>
    <row r="269" spans="1:36" x14ac:dyDescent="0.3">
      <c r="A269" s="2">
        <v>42036</v>
      </c>
      <c r="B269" s="3">
        <v>9008.58</v>
      </c>
      <c r="C269" s="4">
        <v>48792</v>
      </c>
      <c r="D269" s="3">
        <v>5820.2</v>
      </c>
      <c r="E269" s="3">
        <v>17824.29</v>
      </c>
      <c r="F269" s="3">
        <v>15083.92</v>
      </c>
      <c r="G269" s="3">
        <v>1205.46</v>
      </c>
      <c r="H269" s="3">
        <v>2055.4699999999998</v>
      </c>
      <c r="I269" s="3">
        <v>4744.3999999999996</v>
      </c>
      <c r="J269" s="3">
        <v>42715.43</v>
      </c>
      <c r="K269" s="3">
        <v>19216.59</v>
      </c>
      <c r="L269" s="3">
        <v>2354.4699999999998</v>
      </c>
      <c r="M269" s="3">
        <v>10846.39</v>
      </c>
      <c r="N269" s="6">
        <f>VLOOKUP(A269,'[1]俄罗斯交易系统市值加权指数历史数据 (1)'!$A:$B,2,)</f>
        <v>826.4</v>
      </c>
      <c r="O269" s="3">
        <v>4691.03</v>
      </c>
      <c r="P269" s="1">
        <v>454.69</v>
      </c>
      <c r="Q269" s="3">
        <v>8587.99</v>
      </c>
      <c r="R269" s="1">
        <v>849.87</v>
      </c>
      <c r="S269" s="3">
        <v>10573.1</v>
      </c>
      <c r="T269" s="3">
        <v>6853.44</v>
      </c>
      <c r="U269" s="3">
        <v>3398.16</v>
      </c>
      <c r="V269" s="6">
        <f>VLOOKUP(A269,[2]韩国KOSPI指数历史数据!$A:$B,2,)</f>
        <v>1955.52</v>
      </c>
      <c r="W269" s="6">
        <f>VLOOKUP(A269,[3]日经225指数历史数据!$A:$B,2,)</f>
        <v>17648.5</v>
      </c>
      <c r="X269" s="3">
        <v>1461.33</v>
      </c>
      <c r="Y269" s="6">
        <f>VLOOKUP(A269,[4]上证指数历史数据!$A:$B,2,)</f>
        <v>3075.91</v>
      </c>
      <c r="Z269" s="6">
        <f>VLOOKUP(A269,[5]深证成份指数历史数据!$A:$B,2,)</f>
        <v>10791.1</v>
      </c>
      <c r="AA269" s="6">
        <f>VLOOKUP(A269,[6]台湾加权指数历史数据!$A:$B,2,)</f>
        <v>9456.18</v>
      </c>
      <c r="AB269" s="3">
        <v>24679.39</v>
      </c>
      <c r="AC269" s="3">
        <v>3431.36</v>
      </c>
      <c r="AD269">
        <v>8661.0499999999993</v>
      </c>
      <c r="AE269" s="5">
        <f>VLOOKUP(A269,[7]越南VN30指数历史数据!$A:$B,2,)</f>
        <v>595.69000000000005</v>
      </c>
      <c r="AF269">
        <v>45744.27</v>
      </c>
      <c r="AG269" s="9">
        <v>13968.31</v>
      </c>
      <c r="AH269">
        <v>10353.17</v>
      </c>
      <c r="AI269">
        <v>1349.66</v>
      </c>
      <c r="AJ269">
        <v>2717.45</v>
      </c>
    </row>
    <row r="270" spans="1:36" x14ac:dyDescent="0.3">
      <c r="A270" s="2">
        <v>42043</v>
      </c>
      <c r="B270" s="3">
        <v>9562.23</v>
      </c>
      <c r="C270" s="4">
        <v>50636</v>
      </c>
      <c r="D270" s="3">
        <v>5877.5</v>
      </c>
      <c r="E270" s="3">
        <v>18019.349999999999</v>
      </c>
      <c r="F270" s="3">
        <v>15264.81</v>
      </c>
      <c r="G270" s="3">
        <v>1223.1300000000001</v>
      </c>
      <c r="H270" s="3">
        <v>2096.9899999999998</v>
      </c>
      <c r="I270" s="3">
        <v>4893.84</v>
      </c>
      <c r="J270" s="3">
        <v>43072.42</v>
      </c>
      <c r="K270" s="3">
        <v>19358.509999999998</v>
      </c>
      <c r="L270" s="3">
        <v>2346.9499999999998</v>
      </c>
      <c r="M270" s="3">
        <v>10963.4</v>
      </c>
      <c r="N270" s="6">
        <f>VLOOKUP(A270,'[1]俄罗斯交易系统市值加权指数历史数据 (1)'!$A:$B,2,)</f>
        <v>914.05</v>
      </c>
      <c r="O270" s="3">
        <v>4759.3599999999997</v>
      </c>
      <c r="P270" s="1">
        <v>464.9</v>
      </c>
      <c r="Q270" s="3">
        <v>8651.98</v>
      </c>
      <c r="R270" s="1">
        <v>858.09</v>
      </c>
      <c r="S270" s="3">
        <v>10739.5</v>
      </c>
      <c r="T270" s="3">
        <v>6873.52</v>
      </c>
      <c r="U270" s="3">
        <v>3447.59</v>
      </c>
      <c r="V270" s="6">
        <f>VLOOKUP(A270,[2]韩国KOSPI指数历史数据!$A:$B,2,)</f>
        <v>1957.5</v>
      </c>
      <c r="W270" s="6">
        <f>VLOOKUP(A270,[3]日经225指数历史数据!$A:$B,2,)</f>
        <v>17913.36</v>
      </c>
      <c r="X270" s="3">
        <v>1452.46</v>
      </c>
      <c r="Y270" s="6">
        <f>VLOOKUP(A270,[4]上证指数历史数据!$A:$B,2,)</f>
        <v>3203.83</v>
      </c>
      <c r="Z270" s="6">
        <f>VLOOKUP(A270,[5]深证成份指数历史数据!$A:$B,2,)</f>
        <v>11443.05</v>
      </c>
      <c r="AA270" s="6">
        <f>VLOOKUP(A270,[6]台湾加权指数历史数据!$A:$B,2,)</f>
        <v>9529.51</v>
      </c>
      <c r="AB270" s="3">
        <v>24682.54</v>
      </c>
      <c r="AC270" s="3">
        <v>3426.22</v>
      </c>
      <c r="AD270">
        <v>8805.5</v>
      </c>
      <c r="AE270" s="5">
        <f>VLOOKUP(A270,[7]越南VN30指数历史数据!$A:$B,2,)</f>
        <v>617.20000000000005</v>
      </c>
      <c r="AF270">
        <v>46739.97</v>
      </c>
      <c r="AG270" s="9">
        <v>13636.27</v>
      </c>
      <c r="AH270">
        <v>10257.82</v>
      </c>
      <c r="AI270">
        <v>1238.93</v>
      </c>
      <c r="AJ270">
        <v>2747.6</v>
      </c>
    </row>
    <row r="271" spans="1:36" x14ac:dyDescent="0.3">
      <c r="A271" s="2">
        <v>42050</v>
      </c>
      <c r="B271" s="3">
        <v>9436.74</v>
      </c>
      <c r="C271" s="4">
        <v>51238</v>
      </c>
      <c r="D271" s="3">
        <v>5881.5</v>
      </c>
      <c r="E271" s="3">
        <v>18140.439999999999</v>
      </c>
      <c r="F271" s="3">
        <v>15172.24</v>
      </c>
      <c r="G271" s="3">
        <v>1231.79</v>
      </c>
      <c r="H271" s="3">
        <v>2110.3000000000002</v>
      </c>
      <c r="I271" s="3">
        <v>4955.97</v>
      </c>
      <c r="J271" s="3">
        <v>43551.26</v>
      </c>
      <c r="K271" s="3">
        <v>19430.810000000001</v>
      </c>
      <c r="L271" s="3">
        <v>2348.94</v>
      </c>
      <c r="M271" s="3">
        <v>11050.64</v>
      </c>
      <c r="N271" s="6">
        <f>VLOOKUP(A271,'[1]俄罗斯交易系统市值加权指数历史数据 (1)'!$A:$B,2,)</f>
        <v>910.42</v>
      </c>
      <c r="O271" s="3">
        <v>4830.8999999999996</v>
      </c>
      <c r="P271" s="1">
        <v>469.85</v>
      </c>
      <c r="Q271" s="3">
        <v>8892.17</v>
      </c>
      <c r="R271" s="1">
        <v>854.89</v>
      </c>
      <c r="S271" s="3">
        <v>10879.3</v>
      </c>
      <c r="T271" s="3">
        <v>6915.2</v>
      </c>
      <c r="U271" s="3">
        <v>3490.53</v>
      </c>
      <c r="V271" s="6">
        <f>VLOOKUP(A271,[2]韩国KOSPI指数历史数据!$A:$B,2,)</f>
        <v>1961.45</v>
      </c>
      <c r="W271" s="6">
        <f>VLOOKUP(A271,[3]日经225指数历史数据!$A:$B,2,)</f>
        <v>18332.3</v>
      </c>
      <c r="X271" s="3">
        <v>1485.78</v>
      </c>
      <c r="Y271" s="6">
        <f>VLOOKUP(A271,[4]上证指数历史数据!$A:$B,2,)</f>
        <v>3246.91</v>
      </c>
      <c r="Z271" s="6">
        <f>VLOOKUP(A271,[5]深证成份指数历史数据!$A:$B,2,)</f>
        <v>11718.56</v>
      </c>
      <c r="AA271" s="6" t="e">
        <f>VLOOKUP(A271,[6]台湾加权指数历史数据!$A:$B,2,)</f>
        <v>#N/A</v>
      </c>
      <c r="AB271" s="3">
        <v>24832.080000000002</v>
      </c>
      <c r="AC271" s="3">
        <v>3435.66</v>
      </c>
      <c r="AD271">
        <v>8833.6</v>
      </c>
      <c r="AE271" s="5">
        <f>VLOOKUP(A271,[7]越南VN30指数历史数据!$A:$B,2,)</f>
        <v>617.20000000000005</v>
      </c>
      <c r="AF271">
        <v>46880.639999999999</v>
      </c>
      <c r="AG271" s="9">
        <v>13223.61</v>
      </c>
      <c r="AH271">
        <v>10404.31</v>
      </c>
      <c r="AI271">
        <v>1328.41</v>
      </c>
      <c r="AJ271">
        <v>2774.19</v>
      </c>
    </row>
    <row r="272" spans="1:36" x14ac:dyDescent="0.3">
      <c r="A272" s="2">
        <v>42057</v>
      </c>
      <c r="B272" s="3">
        <v>9601.61</v>
      </c>
      <c r="C272" s="4">
        <v>51583</v>
      </c>
      <c r="D272" s="3">
        <v>5928.8</v>
      </c>
      <c r="E272" s="3">
        <v>18132.7</v>
      </c>
      <c r="F272" s="3">
        <v>15234.34</v>
      </c>
      <c r="G272" s="3">
        <v>1233.3699999999999</v>
      </c>
      <c r="H272" s="3">
        <v>2104.5</v>
      </c>
      <c r="I272" s="3">
        <v>4963.53</v>
      </c>
      <c r="J272" s="3">
        <v>44190.17</v>
      </c>
      <c r="K272" s="3">
        <v>19357.66</v>
      </c>
      <c r="L272" s="3">
        <v>2367.1</v>
      </c>
      <c r="M272" s="3">
        <v>11401.66</v>
      </c>
      <c r="N272" s="6">
        <f>VLOOKUP(A272,'[1]俄罗斯交易系统市值加权指数历史数据 (1)'!$A:$B,2,)</f>
        <v>896.63</v>
      </c>
      <c r="O272" s="3">
        <v>4951.4799999999996</v>
      </c>
      <c r="P272" s="1">
        <v>483.93</v>
      </c>
      <c r="Q272" s="3">
        <v>9014.5300000000007</v>
      </c>
      <c r="R272" s="1">
        <v>841.48</v>
      </c>
      <c r="S272" s="3">
        <v>11178.3</v>
      </c>
      <c r="T272" s="3">
        <v>6946.66</v>
      </c>
      <c r="U272" s="3">
        <v>3599</v>
      </c>
      <c r="V272" s="6">
        <f>VLOOKUP(A272,[2]韩国KOSPI指数历史数据!$A:$B,2,)</f>
        <v>1985.8</v>
      </c>
      <c r="W272" s="6">
        <f>VLOOKUP(A272,[3]日经225指数历史数据!$A:$B,2,)</f>
        <v>18797.939999999999</v>
      </c>
      <c r="X272" s="3">
        <v>1517.94</v>
      </c>
      <c r="Y272" s="6">
        <f>VLOOKUP(A272,[4]上证指数历史数据!$A:$B,2,)</f>
        <v>3310.3</v>
      </c>
      <c r="Z272" s="6">
        <f>VLOOKUP(A272,[5]深证成份指数历史数据!$A:$B,2,)</f>
        <v>11757.68</v>
      </c>
      <c r="AA272" s="6">
        <f>VLOOKUP(A272,[6]台湾加权指数历史数据!$A:$B,2,)</f>
        <v>9622.1</v>
      </c>
      <c r="AB272" s="3">
        <v>24823.29</v>
      </c>
      <c r="AC272" s="3">
        <v>3402.86</v>
      </c>
      <c r="AD272">
        <v>8844.6</v>
      </c>
      <c r="AE272" s="5">
        <f>VLOOKUP(A272,[7]越南VN30指数历史数据!$A:$B,2,)</f>
        <v>618.39</v>
      </c>
      <c r="AF272">
        <v>47161.83</v>
      </c>
      <c r="AG272" s="9">
        <v>12940.26</v>
      </c>
      <c r="AH272">
        <v>10460.620000000001</v>
      </c>
      <c r="AI272">
        <v>1370.21</v>
      </c>
      <c r="AJ272">
        <v>2701.28</v>
      </c>
    </row>
    <row r="273" spans="1:36" x14ac:dyDescent="0.3">
      <c r="A273" s="2">
        <v>42064</v>
      </c>
      <c r="B273" s="3">
        <v>9928.73</v>
      </c>
      <c r="C273" s="4">
        <v>49981</v>
      </c>
      <c r="D273" s="3">
        <v>5898.9</v>
      </c>
      <c r="E273" s="3">
        <v>17856.78</v>
      </c>
      <c r="F273" s="3">
        <v>14952.5</v>
      </c>
      <c r="G273" s="3">
        <v>1217.52</v>
      </c>
      <c r="H273" s="3">
        <v>2071.2600000000002</v>
      </c>
      <c r="I273" s="3">
        <v>4927.37</v>
      </c>
      <c r="J273" s="3">
        <v>43280.81</v>
      </c>
      <c r="K273" s="3">
        <v>19163.919999999998</v>
      </c>
      <c r="L273" s="3">
        <v>2345.9299999999998</v>
      </c>
      <c r="M273" s="3">
        <v>11550.97</v>
      </c>
      <c r="N273" s="6">
        <f>VLOOKUP(A273,'[1]俄罗斯交易系统市值加权指数历史数据 (1)'!$A:$B,2,)</f>
        <v>903.45</v>
      </c>
      <c r="O273" s="3">
        <v>4964.3500000000004</v>
      </c>
      <c r="P273" s="1">
        <v>489.84</v>
      </c>
      <c r="Q273" s="3">
        <v>9080.0300000000007</v>
      </c>
      <c r="R273" s="1">
        <v>803.1</v>
      </c>
      <c r="S273" s="3">
        <v>11091.9</v>
      </c>
      <c r="T273" s="3">
        <v>6911.8</v>
      </c>
      <c r="U273" s="3">
        <v>3617.62</v>
      </c>
      <c r="V273" s="6">
        <f>VLOOKUP(A273,[2]韩国KOSPI指数历史数据!$A:$B,2,)</f>
        <v>2012.94</v>
      </c>
      <c r="W273" s="6">
        <f>VLOOKUP(A273,[3]日经225指数历史数据!$A:$B,2,)</f>
        <v>18971</v>
      </c>
      <c r="X273" s="3">
        <v>1529.78</v>
      </c>
      <c r="Y273" s="6">
        <f>VLOOKUP(A273,[4]上证指数历史数据!$A:$B,2,)</f>
        <v>3241.19</v>
      </c>
      <c r="Z273" s="6">
        <f>VLOOKUP(A273,[5]深证成份指数历史数据!$A:$B,2,)</f>
        <v>11392.4</v>
      </c>
      <c r="AA273" s="6">
        <f>VLOOKUP(A273,[6]台湾加权指数历史数据!$A:$B,2,)</f>
        <v>9645.77</v>
      </c>
      <c r="AB273" s="3">
        <v>24164</v>
      </c>
      <c r="AC273" s="3">
        <v>3417.51</v>
      </c>
      <c r="AD273">
        <v>8937.75</v>
      </c>
      <c r="AE273" s="5">
        <f>VLOOKUP(A273,[7]越南VN30指数历史数据!$A:$B,2,)</f>
        <v>622.75</v>
      </c>
      <c r="AF273">
        <v>47236.4</v>
      </c>
      <c r="AG273" s="9">
        <v>13344.79</v>
      </c>
      <c r="AH273">
        <v>10456.469999999999</v>
      </c>
      <c r="AI273">
        <v>1425.74</v>
      </c>
      <c r="AJ273">
        <v>2660.78</v>
      </c>
    </row>
    <row r="274" spans="1:36" x14ac:dyDescent="0.3">
      <c r="A274" s="2">
        <v>42071</v>
      </c>
      <c r="B274" s="3">
        <v>10245.33</v>
      </c>
      <c r="C274" s="4">
        <v>48596</v>
      </c>
      <c r="D274" s="3">
        <v>5814.5</v>
      </c>
      <c r="E274" s="3">
        <v>17749.310000000001</v>
      </c>
      <c r="F274" s="3">
        <v>14731.5</v>
      </c>
      <c r="G274" s="3">
        <v>1232.1400000000001</v>
      </c>
      <c r="H274" s="3">
        <v>2053.4</v>
      </c>
      <c r="I274" s="3">
        <v>4871.76</v>
      </c>
      <c r="J274" s="3">
        <v>44002.29</v>
      </c>
      <c r="K274" s="3">
        <v>18707.669999999998</v>
      </c>
      <c r="L274" s="3">
        <v>2303.4</v>
      </c>
      <c r="M274" s="3">
        <v>11901.61</v>
      </c>
      <c r="N274" s="6">
        <f>VLOOKUP(A274,'[1]俄罗斯交易系统市值加权指数历史数据 (1)'!$A:$B,2,)</f>
        <v>833.57</v>
      </c>
      <c r="O274" s="3">
        <v>5010.46</v>
      </c>
      <c r="P274" s="1">
        <v>492.48</v>
      </c>
      <c r="Q274" s="3">
        <v>9156.02</v>
      </c>
      <c r="R274" s="1">
        <v>766.42</v>
      </c>
      <c r="S274" s="3">
        <v>11033.8</v>
      </c>
      <c r="T274" s="3">
        <v>6740.58</v>
      </c>
      <c r="U274" s="3">
        <v>3656.21</v>
      </c>
      <c r="V274" s="6">
        <f>VLOOKUP(A274,[2]韩国KOSPI指数历史数据!$A:$B,2,)</f>
        <v>1985.79</v>
      </c>
      <c r="W274" s="6">
        <f>VLOOKUP(A274,[3]日经225指数历史数据!$A:$B,2,)</f>
        <v>19254.25</v>
      </c>
      <c r="X274" s="3">
        <v>1565.75</v>
      </c>
      <c r="Y274" s="6">
        <f>VLOOKUP(A274,[4]上证指数历史数据!$A:$B,2,)</f>
        <v>3372.91</v>
      </c>
      <c r="Z274" s="6">
        <f>VLOOKUP(A274,[5]深证成份指数历史数据!$A:$B,2,)</f>
        <v>11713.61</v>
      </c>
      <c r="AA274" s="6">
        <f>VLOOKUP(A274,[6]台湾加权指数历史数据!$A:$B,2,)</f>
        <v>9579.35</v>
      </c>
      <c r="AB274" s="3">
        <v>23823.21</v>
      </c>
      <c r="AC274" s="3">
        <v>3362.77</v>
      </c>
      <c r="AD274">
        <v>8647.75</v>
      </c>
      <c r="AE274" s="5">
        <f>VLOOKUP(A274,[7]越南VN30指数历史数据!$A:$B,2,)</f>
        <v>616.94000000000005</v>
      </c>
      <c r="AF274">
        <v>45872.93</v>
      </c>
      <c r="AG274" s="9">
        <v>13320.3</v>
      </c>
      <c r="AH274">
        <v>10476.89</v>
      </c>
      <c r="AI274">
        <v>1405.99</v>
      </c>
      <c r="AJ274">
        <v>2598.35</v>
      </c>
    </row>
    <row r="275" spans="1:36" x14ac:dyDescent="0.3">
      <c r="A275" s="2">
        <v>42078</v>
      </c>
      <c r="B275" s="3">
        <v>11385.38</v>
      </c>
      <c r="C275" s="4">
        <v>51967</v>
      </c>
      <c r="D275" s="3">
        <v>5975.5</v>
      </c>
      <c r="E275" s="3">
        <v>18127.650000000001</v>
      </c>
      <c r="F275" s="3">
        <v>14942.41</v>
      </c>
      <c r="G275" s="3">
        <v>1266.3699999999999</v>
      </c>
      <c r="H275" s="3">
        <v>2108.1</v>
      </c>
      <c r="I275" s="3">
        <v>5026.42</v>
      </c>
      <c r="J275" s="3">
        <v>43968.15</v>
      </c>
      <c r="K275" s="3">
        <v>18937.080000000002</v>
      </c>
      <c r="L275" s="3">
        <v>2407.6999999999998</v>
      </c>
      <c r="M275" s="3">
        <v>12039.37</v>
      </c>
      <c r="N275" s="6">
        <f>VLOOKUP(A275,'[1]俄罗斯交易系统市值加权指数历史数据 (1)'!$A:$B,2,)</f>
        <v>862.14</v>
      </c>
      <c r="O275" s="3">
        <v>5087.49</v>
      </c>
      <c r="P275" s="1">
        <v>499.12</v>
      </c>
      <c r="Q275" s="3">
        <v>9396.2900000000009</v>
      </c>
      <c r="R275" s="1">
        <v>825.06</v>
      </c>
      <c r="S275" s="3">
        <v>11419.6</v>
      </c>
      <c r="T275" s="3">
        <v>7022.51</v>
      </c>
      <c r="U275" s="3">
        <v>3726.07</v>
      </c>
      <c r="V275" s="6">
        <f>VLOOKUP(A275,[2]韩国KOSPI指数历史数据!$A:$B,2,)</f>
        <v>2037.24</v>
      </c>
      <c r="W275" s="6">
        <f>VLOOKUP(A275,[3]日经225指数历史数据!$A:$B,2,)</f>
        <v>19560.22</v>
      </c>
      <c r="X275" s="3">
        <v>1601.2</v>
      </c>
      <c r="Y275" s="6">
        <f>VLOOKUP(A275,[4]上证指数历史数据!$A:$B,2,)</f>
        <v>3617.32</v>
      </c>
      <c r="Z275" s="6">
        <f>VLOOKUP(A275,[5]深证成份指数历史数据!$A:$B,2,)</f>
        <v>12544.45</v>
      </c>
      <c r="AA275" s="6">
        <f>VLOOKUP(A275,[6]台湾加权指数历史数据!$A:$B,2,)</f>
        <v>9749.69</v>
      </c>
      <c r="AB275" s="3">
        <v>24375.24</v>
      </c>
      <c r="AC275" s="3">
        <v>3412.44</v>
      </c>
      <c r="AD275">
        <v>8570.9</v>
      </c>
      <c r="AE275" s="5">
        <f>VLOOKUP(A275,[7]越南VN30指数历史数据!$A:$B,2,)</f>
        <v>603.76</v>
      </c>
      <c r="AF275">
        <v>46592.78</v>
      </c>
      <c r="AG275" s="9">
        <v>13100.35</v>
      </c>
      <c r="AH275">
        <v>10411.35</v>
      </c>
      <c r="AI275">
        <v>1327.57</v>
      </c>
      <c r="AJ275">
        <v>2655.59</v>
      </c>
    </row>
    <row r="276" spans="1:36" x14ac:dyDescent="0.3">
      <c r="A276" s="2">
        <v>42085</v>
      </c>
      <c r="B276" s="3">
        <v>10663.47</v>
      </c>
      <c r="C276" s="4">
        <v>50095</v>
      </c>
      <c r="D276" s="3">
        <v>5919.9</v>
      </c>
      <c r="E276" s="3">
        <v>17712.66</v>
      </c>
      <c r="F276" s="3">
        <v>14812.42</v>
      </c>
      <c r="G276" s="3">
        <v>1240.4100000000001</v>
      </c>
      <c r="H276" s="3">
        <v>2061.02</v>
      </c>
      <c r="I276" s="3">
        <v>4891.22</v>
      </c>
      <c r="J276" s="3">
        <v>43637.97</v>
      </c>
      <c r="K276" s="3">
        <v>18957.099999999999</v>
      </c>
      <c r="L276" s="3">
        <v>2373.1799999999998</v>
      </c>
      <c r="M276" s="3">
        <v>11868.33</v>
      </c>
      <c r="N276" s="6">
        <f>VLOOKUP(A276,'[1]俄罗斯交易系统市值加权指数历史数据 (1)'!$A:$B,2,)</f>
        <v>856.44</v>
      </c>
      <c r="O276" s="3">
        <v>5034.0600000000004</v>
      </c>
      <c r="P276" s="1">
        <v>485.73</v>
      </c>
      <c r="Q276" s="3">
        <v>9083.52</v>
      </c>
      <c r="R276" s="1">
        <v>808.94</v>
      </c>
      <c r="S276" s="3">
        <v>11427.4</v>
      </c>
      <c r="T276" s="3">
        <v>6855.02</v>
      </c>
      <c r="U276" s="3">
        <v>3679.03</v>
      </c>
      <c r="V276" s="6">
        <f>VLOOKUP(A276,[2]韩国KOSPI指数历史数据!$A:$B,2,)</f>
        <v>2019.8</v>
      </c>
      <c r="W276" s="6">
        <f>VLOOKUP(A276,[3]日经225指数历史数据!$A:$B,2,)</f>
        <v>19285.63</v>
      </c>
      <c r="X276" s="3">
        <v>1594.18</v>
      </c>
      <c r="Y276" s="6">
        <f>VLOOKUP(A276,[4]上证指数历史数据!$A:$B,2,)</f>
        <v>3691.1</v>
      </c>
      <c r="Z276" s="6">
        <f>VLOOKUP(A276,[5]深证成份指数历史数据!$A:$B,2,)</f>
        <v>12874.42</v>
      </c>
      <c r="AA276" s="6">
        <f>VLOOKUP(A276,[6]台湾加权指数历史数据!$A:$B,2,)</f>
        <v>9503.7199999999993</v>
      </c>
      <c r="AB276" s="3">
        <v>24486.2</v>
      </c>
      <c r="AC276" s="3">
        <v>3450.1</v>
      </c>
      <c r="AD276">
        <v>8341.4</v>
      </c>
      <c r="AE276" s="5">
        <f>VLOOKUP(A276,[7]越南VN30指数历史数据!$A:$B,2,)</f>
        <v>583.02</v>
      </c>
      <c r="AF276">
        <v>45678.97</v>
      </c>
      <c r="AG276" s="9">
        <v>12333.36</v>
      </c>
      <c r="AH276">
        <v>10292.43</v>
      </c>
      <c r="AI276">
        <v>1396.64</v>
      </c>
      <c r="AJ276">
        <v>2673.3</v>
      </c>
    </row>
    <row r="277" spans="1:36" x14ac:dyDescent="0.3">
      <c r="A277" s="2">
        <v>42092</v>
      </c>
      <c r="B277" s="3">
        <v>11071.68</v>
      </c>
      <c r="C277" s="4">
        <v>53123</v>
      </c>
      <c r="D277" s="3">
        <v>5898.6</v>
      </c>
      <c r="E277" s="3">
        <v>17763.240000000002</v>
      </c>
      <c r="F277" s="3">
        <v>15026.62</v>
      </c>
      <c r="G277" s="3">
        <v>1255.6600000000001</v>
      </c>
      <c r="H277" s="3">
        <v>2066.96</v>
      </c>
      <c r="I277" s="3">
        <v>4886.9399999999996</v>
      </c>
      <c r="J277" s="3">
        <v>44202.94</v>
      </c>
      <c r="K277" s="3">
        <v>19295.13</v>
      </c>
      <c r="L277" s="3">
        <v>2400.65</v>
      </c>
      <c r="M277" s="3">
        <v>11967.39</v>
      </c>
      <c r="N277" s="6">
        <f>VLOOKUP(A277,'[1]俄罗斯交易系统市值加权指数历史数据 (1)'!$A:$B,2,)</f>
        <v>930.12</v>
      </c>
      <c r="O277" s="3">
        <v>5074.1400000000003</v>
      </c>
      <c r="P277" s="1">
        <v>492.38</v>
      </c>
      <c r="Q277" s="3">
        <v>9130.6</v>
      </c>
      <c r="R277" s="1">
        <v>829.94</v>
      </c>
      <c r="S277" s="3">
        <v>11634</v>
      </c>
      <c r="T277" s="3">
        <v>6833.46</v>
      </c>
      <c r="U277" s="3">
        <v>3715.27</v>
      </c>
      <c r="V277" s="6">
        <f>VLOOKUP(A277,[2]韩国KOSPI指数历史数据!$A:$B,2,)</f>
        <v>2045.42</v>
      </c>
      <c r="W277" s="6">
        <f>VLOOKUP(A277,[3]日经225指数历史数据!$A:$B,2,)</f>
        <v>19435.080000000002</v>
      </c>
      <c r="X277" s="3">
        <v>1640.87</v>
      </c>
      <c r="Y277" s="6">
        <f>VLOOKUP(A277,[4]上证指数历史数据!$A:$B,2,)</f>
        <v>3863.93</v>
      </c>
      <c r="Z277" s="6">
        <f>VLOOKUP(A277,[5]深证成份指数历史数据!$A:$B,2,)</f>
        <v>13494.64</v>
      </c>
      <c r="AA277" s="6">
        <f>VLOOKUP(A277,[6]台湾加权指数历史数据!$A:$B,2,)</f>
        <v>9600.32</v>
      </c>
      <c r="AB277" s="3">
        <v>25275.64</v>
      </c>
      <c r="AC277" s="3">
        <v>3453.75</v>
      </c>
      <c r="AD277">
        <v>8586.25</v>
      </c>
      <c r="AE277" s="5">
        <f>VLOOKUP(A277,[7]越南VN30指数历史数据!$A:$B,2,)</f>
        <v>577.66</v>
      </c>
      <c r="AF277">
        <v>46048.959999999999</v>
      </c>
      <c r="AG277" s="9">
        <v>12156.52</v>
      </c>
      <c r="AH277">
        <v>9958.69</v>
      </c>
      <c r="AI277">
        <v>1646.78</v>
      </c>
      <c r="AJ277">
        <v>2668.04</v>
      </c>
    </row>
    <row r="278" spans="1:36" x14ac:dyDescent="0.3">
      <c r="A278" s="2">
        <v>42099</v>
      </c>
      <c r="B278" s="3">
        <v>11686.61</v>
      </c>
      <c r="C278" s="4">
        <v>54214</v>
      </c>
      <c r="D278" s="3">
        <v>5968.4</v>
      </c>
      <c r="E278" s="3">
        <v>18057.650000000001</v>
      </c>
      <c r="F278" s="3">
        <v>15388.43</v>
      </c>
      <c r="G278" s="3">
        <v>1264.77</v>
      </c>
      <c r="H278" s="3">
        <v>2102.06</v>
      </c>
      <c r="I278" s="3">
        <v>4995.9799999999996</v>
      </c>
      <c r="J278" s="3">
        <v>44882.01</v>
      </c>
      <c r="K278" s="3">
        <v>19592.46</v>
      </c>
      <c r="L278" s="3">
        <v>2443.62</v>
      </c>
      <c r="M278" s="3">
        <v>12374.73</v>
      </c>
      <c r="N278" s="6">
        <f>VLOOKUP(A278,'[1]俄罗斯交易系统市值加权指数历史数据 (1)'!$A:$B,2,)</f>
        <v>999.38</v>
      </c>
      <c r="O278" s="3">
        <v>5240.46</v>
      </c>
      <c r="P278" s="1">
        <v>507.17</v>
      </c>
      <c r="Q278" s="3">
        <v>9471.4599999999991</v>
      </c>
      <c r="R278" s="1">
        <v>826.46</v>
      </c>
      <c r="S278" s="3">
        <v>11749.3</v>
      </c>
      <c r="T278" s="3">
        <v>7089.77</v>
      </c>
      <c r="U278" s="3">
        <v>3816.76</v>
      </c>
      <c r="V278" s="6">
        <f>VLOOKUP(A278,[2]韩国KOSPI指数历史数据!$A:$B,2,)</f>
        <v>2087.7600000000002</v>
      </c>
      <c r="W278" s="6">
        <f>VLOOKUP(A278,[3]日经225指数历史数据!$A:$B,2,)</f>
        <v>19907.63</v>
      </c>
      <c r="X278" s="3">
        <v>1650.84</v>
      </c>
      <c r="Y278" s="6">
        <f>VLOOKUP(A278,[4]上证指数历史数据!$A:$B,2,)</f>
        <v>4034.31</v>
      </c>
      <c r="Z278" s="6">
        <f>VLOOKUP(A278,[5]深证成份指数历史数据!$A:$B,2,)</f>
        <v>14013.33</v>
      </c>
      <c r="AA278" s="6">
        <f>VLOOKUP(A278,[6]台湾加权指数历史数据!$A:$B,2,)</f>
        <v>9617.7000000000007</v>
      </c>
      <c r="AB278" s="3">
        <v>27272.39</v>
      </c>
      <c r="AC278" s="3">
        <v>3472.38</v>
      </c>
      <c r="AD278">
        <v>8780.35</v>
      </c>
      <c r="AE278" s="5">
        <f>VLOOKUP(A278,[7]越南VN30指数历史数据!$A:$B,2,)</f>
        <v>583.34</v>
      </c>
      <c r="AF278">
        <v>47134.400000000001</v>
      </c>
      <c r="AG278" s="9">
        <v>12177.5</v>
      </c>
      <c r="AH278">
        <v>9889.1200000000008</v>
      </c>
      <c r="AI278">
        <v>1605.16</v>
      </c>
      <c r="AJ278">
        <v>2693.14</v>
      </c>
    </row>
    <row r="279" spans="1:36" x14ac:dyDescent="0.3">
      <c r="A279" s="2">
        <v>42106</v>
      </c>
      <c r="B279" s="3">
        <v>11920.08</v>
      </c>
      <c r="C279" s="4">
        <v>53955</v>
      </c>
      <c r="D279" s="3">
        <v>5877.9</v>
      </c>
      <c r="E279" s="3">
        <v>17826.3</v>
      </c>
      <c r="F279" s="3">
        <v>15360.55</v>
      </c>
      <c r="G279" s="3">
        <v>1251.8599999999999</v>
      </c>
      <c r="H279" s="3">
        <v>2081.1799999999998</v>
      </c>
      <c r="I279" s="3">
        <v>4931.8100000000004</v>
      </c>
      <c r="J279" s="3">
        <v>45012.37</v>
      </c>
      <c r="K279" s="3">
        <v>19518.29</v>
      </c>
      <c r="L279" s="3">
        <v>2463.96</v>
      </c>
      <c r="M279" s="3">
        <v>11688.7</v>
      </c>
      <c r="N279" s="6">
        <f>VLOOKUP(A279,'[1]俄罗斯交易系统市值加权指数历史数据 (1)'!$A:$B,2,)</f>
        <v>998.96</v>
      </c>
      <c r="O279" s="3">
        <v>5143.26</v>
      </c>
      <c r="P279" s="1">
        <v>495.03</v>
      </c>
      <c r="Q279" s="3">
        <v>9245.92</v>
      </c>
      <c r="R279" s="1">
        <v>824.18</v>
      </c>
      <c r="S279" s="3">
        <v>11359.4</v>
      </c>
      <c r="T279" s="3">
        <v>6994.63</v>
      </c>
      <c r="U279" s="3">
        <v>3674.05</v>
      </c>
      <c r="V279" s="6">
        <f>VLOOKUP(A279,[2]韩国KOSPI指数历史数据!$A:$B,2,)</f>
        <v>2143.5</v>
      </c>
      <c r="W279" s="6">
        <f>VLOOKUP(A279,[3]日经225指数历史数据!$A:$B,2,)</f>
        <v>19652.88</v>
      </c>
      <c r="X279" s="3">
        <v>1686.31</v>
      </c>
      <c r="Y279" s="6">
        <f>VLOOKUP(A279,[4]上证指数历史数据!$A:$B,2,)</f>
        <v>4287.3</v>
      </c>
      <c r="Z279" s="6">
        <f>VLOOKUP(A279,[5]深证成份指数历史数据!$A:$B,2,)</f>
        <v>14149.34</v>
      </c>
      <c r="AA279" s="6">
        <f>VLOOKUP(A279,[6]台湾加权指数历史数据!$A:$B,2,)</f>
        <v>9570.93</v>
      </c>
      <c r="AB279" s="3">
        <v>27653.119999999999</v>
      </c>
      <c r="AC279" s="3">
        <v>3525.19</v>
      </c>
      <c r="AD279">
        <v>8606</v>
      </c>
      <c r="AE279" s="5">
        <f>VLOOKUP(A279,[7]越南VN30指数历史数据!$A:$B,2,)</f>
        <v>599.12</v>
      </c>
      <c r="AF279">
        <v>47491.87</v>
      </c>
      <c r="AG279" s="9">
        <v>12115.93</v>
      </c>
      <c r="AH279">
        <v>9898.9</v>
      </c>
      <c r="AI279">
        <v>1607.58</v>
      </c>
      <c r="AJ279">
        <v>2720.16</v>
      </c>
    </row>
    <row r="280" spans="1:36" x14ac:dyDescent="0.3">
      <c r="A280" s="2">
        <v>42113</v>
      </c>
      <c r="B280" s="3">
        <v>12409.39</v>
      </c>
      <c r="C280" s="4">
        <v>56594</v>
      </c>
      <c r="D280" s="3">
        <v>5933.3</v>
      </c>
      <c r="E280" s="3">
        <v>18080.14</v>
      </c>
      <c r="F280" s="3">
        <v>15408.33</v>
      </c>
      <c r="G280" s="3">
        <v>1267.54</v>
      </c>
      <c r="H280" s="3">
        <v>2117.69</v>
      </c>
      <c r="I280" s="3">
        <v>5092.09</v>
      </c>
      <c r="J280" s="3">
        <v>45773.31</v>
      </c>
      <c r="K280" s="3">
        <v>19748.939999999999</v>
      </c>
      <c r="L280" s="3">
        <v>2519.1999999999998</v>
      </c>
      <c r="M280" s="3">
        <v>11810.85</v>
      </c>
      <c r="N280" s="6">
        <f>VLOOKUP(A280,'[1]俄罗斯交易系统市值加权指数历史数据 (1)'!$A:$B,2,)</f>
        <v>1037.52</v>
      </c>
      <c r="O280" s="3">
        <v>5201.45</v>
      </c>
      <c r="P280" s="1">
        <v>504.01</v>
      </c>
      <c r="Q280" s="3">
        <v>9302.1200000000008</v>
      </c>
      <c r="R280" s="1">
        <v>855.51</v>
      </c>
      <c r="S280" s="3">
        <v>11505.4</v>
      </c>
      <c r="T280" s="3">
        <v>7070.7</v>
      </c>
      <c r="U280" s="3">
        <v>3713.96</v>
      </c>
      <c r="V280" s="6">
        <f>VLOOKUP(A280,[2]韩国KOSPI指数历史数据!$A:$B,2,)</f>
        <v>2159.8000000000002</v>
      </c>
      <c r="W280" s="6">
        <f>VLOOKUP(A280,[3]日经225指数历史数据!$A:$B,2,)</f>
        <v>20020.04</v>
      </c>
      <c r="X280" s="3">
        <v>1683.35</v>
      </c>
      <c r="Y280" s="6">
        <f>VLOOKUP(A280,[4]上证指数历史数据!$A:$B,2,)</f>
        <v>4393.6899999999996</v>
      </c>
      <c r="Z280" s="6">
        <f>VLOOKUP(A280,[5]深证成份指数历史数据!$A:$B,2,)</f>
        <v>14598.69</v>
      </c>
      <c r="AA280" s="6">
        <f>VLOOKUP(A280,[6]台湾加权指数历史数据!$A:$B,2,)</f>
        <v>9913.2800000000007</v>
      </c>
      <c r="AB280" s="3">
        <v>28060.98</v>
      </c>
      <c r="AC280" s="3">
        <v>3513</v>
      </c>
      <c r="AD280">
        <v>8305.25</v>
      </c>
      <c r="AE280" s="5">
        <f>VLOOKUP(A280,[7]越南VN30指数历史数据!$A:$B,2,)</f>
        <v>596.1</v>
      </c>
      <c r="AF280">
        <v>48965.36</v>
      </c>
      <c r="AG280" s="9">
        <v>11912.59</v>
      </c>
      <c r="AH280">
        <v>9876.57</v>
      </c>
      <c r="AI280">
        <v>1585.47</v>
      </c>
      <c r="AJ280">
        <v>2658.89</v>
      </c>
    </row>
    <row r="281" spans="1:36" x14ac:dyDescent="0.3">
      <c r="A281" s="2">
        <v>42120</v>
      </c>
      <c r="B281" s="3">
        <v>12050.19</v>
      </c>
      <c r="C281" s="4">
        <v>56229</v>
      </c>
      <c r="D281" s="3">
        <v>5814.4</v>
      </c>
      <c r="E281" s="3">
        <v>18024.060000000001</v>
      </c>
      <c r="F281" s="3">
        <v>15339.77</v>
      </c>
      <c r="G281" s="3">
        <v>1228.1099999999999</v>
      </c>
      <c r="H281" s="3">
        <v>2108.29</v>
      </c>
      <c r="I281" s="3">
        <v>5005.3900000000003</v>
      </c>
      <c r="J281" s="3">
        <v>44582.39</v>
      </c>
      <c r="K281" s="3">
        <v>19625.330000000002</v>
      </c>
      <c r="L281" s="3">
        <v>2514.63</v>
      </c>
      <c r="M281" s="3">
        <v>11454.38</v>
      </c>
      <c r="N281" s="6">
        <f>VLOOKUP(A281,'[1]俄罗斯交易系统市值加权指数历史数据 (1)'!$A:$B,2,)</f>
        <v>1029.31</v>
      </c>
      <c r="O281" s="3">
        <v>5046.49</v>
      </c>
      <c r="P281" s="1">
        <v>487.85</v>
      </c>
      <c r="Q281" s="3">
        <v>9077.1200000000008</v>
      </c>
      <c r="R281" s="1">
        <v>839.47</v>
      </c>
      <c r="S281" s="3">
        <v>11385</v>
      </c>
      <c r="T281" s="3">
        <v>6985.95</v>
      </c>
      <c r="U281" s="3">
        <v>3615.59</v>
      </c>
      <c r="V281" s="6">
        <f>VLOOKUP(A281,[2]韩国KOSPI指数历史数据!$A:$B,2,)</f>
        <v>2127.17</v>
      </c>
      <c r="W281" s="6">
        <f>VLOOKUP(A281,[3]日经225指数历史数据!$A:$B,2,)</f>
        <v>19531.63</v>
      </c>
      <c r="X281" s="3">
        <v>1644.85</v>
      </c>
      <c r="Y281" s="6">
        <f>VLOOKUP(A281,[4]上证指数历史数据!$A:$B,2,)</f>
        <v>4441.66</v>
      </c>
      <c r="Z281" s="6">
        <f>VLOOKUP(A281,[5]深证成份指数历史数据!$A:$B,2,)</f>
        <v>14818.64</v>
      </c>
      <c r="AA281" s="6">
        <f>VLOOKUP(A281,[6]台湾加权指数历史数据!$A:$B,2,)</f>
        <v>9820.0499999999993</v>
      </c>
      <c r="AB281" s="3">
        <v>28133</v>
      </c>
      <c r="AC281" s="3">
        <v>3487.39</v>
      </c>
      <c r="AD281">
        <v>8181.5</v>
      </c>
      <c r="AE281" s="5">
        <f>VLOOKUP(A281,[7]越南VN30指数历史数据!$A:$B,2,)</f>
        <v>593.15</v>
      </c>
      <c r="AF281">
        <v>48195.48</v>
      </c>
      <c r="AG281" s="9">
        <v>11770.8</v>
      </c>
      <c r="AH281">
        <v>9937.3799999999992</v>
      </c>
      <c r="AI281">
        <v>1588.06</v>
      </c>
      <c r="AJ281">
        <v>2699.61</v>
      </c>
    </row>
    <row r="282" spans="1:36" x14ac:dyDescent="0.3">
      <c r="A282" s="2">
        <v>42127</v>
      </c>
      <c r="B282" s="3">
        <v>12205.09</v>
      </c>
      <c r="C282" s="4">
        <v>57149</v>
      </c>
      <c r="D282" s="3">
        <v>5634.6</v>
      </c>
      <c r="E282" s="3">
        <v>18191.11</v>
      </c>
      <c r="F282" s="3">
        <v>15170.02</v>
      </c>
      <c r="G282" s="3">
        <v>1234.93</v>
      </c>
      <c r="H282" s="3">
        <v>2116.1</v>
      </c>
      <c r="I282" s="3">
        <v>5003.55</v>
      </c>
      <c r="J282" s="3">
        <v>45125.95</v>
      </c>
      <c r="K282" s="3">
        <v>19886.14</v>
      </c>
      <c r="L282" s="3">
        <v>2546.7800000000002</v>
      </c>
      <c r="M282" s="3">
        <v>11709.73</v>
      </c>
      <c r="N282" s="6">
        <f>VLOOKUP(A282,'[1]俄罗斯交易系统市值加权指数历史数据 (1)'!$A:$B,2,)</f>
        <v>1059.52</v>
      </c>
      <c r="O282" s="3">
        <v>5090.3900000000003</v>
      </c>
      <c r="P282" s="1">
        <v>490.79</v>
      </c>
      <c r="Q282" s="3">
        <v>9093.33</v>
      </c>
      <c r="R282" s="1">
        <v>840.6</v>
      </c>
      <c r="S282" s="3">
        <v>11424.7</v>
      </c>
      <c r="T282" s="3">
        <v>7046.82</v>
      </c>
      <c r="U282" s="3">
        <v>3649.48</v>
      </c>
      <c r="V282" s="6">
        <f>VLOOKUP(A282,[2]韩国KOSPI指数历史数据!$A:$B,2,)</f>
        <v>2085.52</v>
      </c>
      <c r="W282" s="6">
        <f>VLOOKUP(A282,[3]日经225指数历史数据!$A:$B,2,)</f>
        <v>19379.189999999999</v>
      </c>
      <c r="X282" s="3">
        <v>1632.78</v>
      </c>
      <c r="Y282" s="6">
        <f>VLOOKUP(A282,[4]上证指数历史数据!$A:$B,2,)</f>
        <v>4205.92</v>
      </c>
      <c r="Z282" s="6">
        <f>VLOOKUP(A282,[5]深证成份指数历史数据!$A:$B,2,)</f>
        <v>14481.25</v>
      </c>
      <c r="AA282" s="6">
        <f>VLOOKUP(A282,[6]台湾加权指数历史数据!$A:$B,2,)</f>
        <v>9692</v>
      </c>
      <c r="AB282" s="3">
        <v>27577.34</v>
      </c>
      <c r="AC282" s="3">
        <v>3452.01</v>
      </c>
      <c r="AD282">
        <v>8191.5</v>
      </c>
      <c r="AE282" s="5">
        <f>VLOOKUP(A282,[7]越南VN30指数历史数据!$A:$B,2,)</f>
        <v>582.91</v>
      </c>
      <c r="AF282">
        <v>47716.53</v>
      </c>
      <c r="AG282" s="9">
        <v>11868.78</v>
      </c>
      <c r="AH282">
        <v>9880.33</v>
      </c>
      <c r="AI282">
        <v>1579.54</v>
      </c>
      <c r="AJ282">
        <v>2764.53</v>
      </c>
    </row>
    <row r="283" spans="1:36" x14ac:dyDescent="0.3">
      <c r="A283" s="2">
        <v>42134</v>
      </c>
      <c r="B283" s="3">
        <v>12375.82</v>
      </c>
      <c r="C283" s="4">
        <v>57249</v>
      </c>
      <c r="D283" s="3">
        <v>5735.5</v>
      </c>
      <c r="E283" s="3">
        <v>18272.560000000001</v>
      </c>
      <c r="F283" s="3">
        <v>15108.12</v>
      </c>
      <c r="G283" s="3">
        <v>1243.95</v>
      </c>
      <c r="H283" s="3">
        <v>2122.73</v>
      </c>
      <c r="I283" s="3">
        <v>5048.29</v>
      </c>
      <c r="J283" s="3">
        <v>45332.800000000003</v>
      </c>
      <c r="K283" s="3">
        <v>19936.169999999998</v>
      </c>
      <c r="L283" s="3">
        <v>2514.84</v>
      </c>
      <c r="M283" s="3">
        <v>11447.03</v>
      </c>
      <c r="N283" s="6">
        <f>VLOOKUP(A283,'[1]俄罗斯交易系统市值加权指数历史数据 (1)'!$A:$B,2,)</f>
        <v>1074.73</v>
      </c>
      <c r="O283" s="3">
        <v>4993.82</v>
      </c>
      <c r="P283" s="1">
        <v>490.96</v>
      </c>
      <c r="Q283" s="3">
        <v>9109.92</v>
      </c>
      <c r="R283" s="1">
        <v>876.05</v>
      </c>
      <c r="S283" s="3">
        <v>11317.3</v>
      </c>
      <c r="T283" s="3">
        <v>6960.49</v>
      </c>
      <c r="U283" s="3">
        <v>3573.07</v>
      </c>
      <c r="V283" s="6">
        <f>VLOOKUP(A283,[2]韩国KOSPI指数历史数据!$A:$B,2,)</f>
        <v>2106.5</v>
      </c>
      <c r="W283" s="6">
        <f>VLOOKUP(A283,[3]日经225指数历史数据!$A:$B,2,)</f>
        <v>19732.919999999998</v>
      </c>
      <c r="X283" s="3">
        <v>1658.69</v>
      </c>
      <c r="Y283" s="6">
        <f>VLOOKUP(A283,[4]上证指数历史数据!$A:$B,2,)</f>
        <v>4308.6899999999996</v>
      </c>
      <c r="Z283" s="6">
        <f>VLOOKUP(A283,[5]深证成份指数历史数据!$A:$B,2,)</f>
        <v>14694.95</v>
      </c>
      <c r="AA283" s="6">
        <f>VLOOKUP(A283,[6]台湾加权指数历史数据!$A:$B,2,)</f>
        <v>9579.48</v>
      </c>
      <c r="AB283" s="3">
        <v>27822.28</v>
      </c>
      <c r="AC283" s="3">
        <v>3463.1</v>
      </c>
      <c r="AD283">
        <v>8262.35</v>
      </c>
      <c r="AE283" s="5">
        <f>VLOOKUP(A283,[7]越南VN30指数历史数据!$A:$B,2,)</f>
        <v>561.87</v>
      </c>
      <c r="AF283">
        <v>47935.39</v>
      </c>
      <c r="AG283" s="9">
        <v>11057.8</v>
      </c>
      <c r="AH283">
        <v>9851.73</v>
      </c>
      <c r="AI283">
        <v>1583.59</v>
      </c>
      <c r="AJ283">
        <v>2741.36</v>
      </c>
    </row>
    <row r="284" spans="1:36" x14ac:dyDescent="0.3">
      <c r="A284" s="2">
        <v>42141</v>
      </c>
      <c r="B284" s="3">
        <v>11459.53</v>
      </c>
      <c r="C284" s="4">
        <v>54377</v>
      </c>
      <c r="D284" s="3">
        <v>5664.7</v>
      </c>
      <c r="E284" s="3">
        <v>18232.02</v>
      </c>
      <c r="F284" s="3">
        <v>15200.76</v>
      </c>
      <c r="G284" s="3">
        <v>1252.22</v>
      </c>
      <c r="H284" s="3">
        <v>2126.06</v>
      </c>
      <c r="I284" s="3">
        <v>5089.3599999999997</v>
      </c>
      <c r="J284" s="3">
        <v>44874.04</v>
      </c>
      <c r="K284" s="3">
        <v>19718.560000000001</v>
      </c>
      <c r="L284" s="3">
        <v>2516.7600000000002</v>
      </c>
      <c r="M284" s="3">
        <v>11815.01</v>
      </c>
      <c r="N284" s="6">
        <f>VLOOKUP(A284,'[1]俄罗斯交易系统市值加权指数历史数据 (1)'!$A:$B,2,)</f>
        <v>1051.21</v>
      </c>
      <c r="O284" s="3">
        <v>5142.8900000000003</v>
      </c>
      <c r="P284" s="1">
        <v>501.89</v>
      </c>
      <c r="Q284" s="3">
        <v>9353.2999999999993</v>
      </c>
      <c r="R284" s="1">
        <v>858.04</v>
      </c>
      <c r="S284" s="3">
        <v>11554.2</v>
      </c>
      <c r="T284" s="3">
        <v>7031.72</v>
      </c>
      <c r="U284" s="3">
        <v>3679.14</v>
      </c>
      <c r="V284" s="6">
        <f>VLOOKUP(A284,[2]韩国KOSPI指数历史数据!$A:$B,2,)</f>
        <v>2146.1</v>
      </c>
      <c r="W284" s="6">
        <f>VLOOKUP(A284,[3]日经225指数历史数据!$A:$B,2,)</f>
        <v>20264.41</v>
      </c>
      <c r="X284" s="3">
        <v>1715.58</v>
      </c>
      <c r="Y284" s="6">
        <f>VLOOKUP(A284,[4]上证指数历史数据!$A:$B,2,)</f>
        <v>4657.6000000000004</v>
      </c>
      <c r="Z284" s="6">
        <f>VLOOKUP(A284,[5]深证成份指数历史数据!$A:$B,2,)</f>
        <v>16045.8</v>
      </c>
      <c r="AA284" s="6">
        <f>VLOOKUP(A284,[6]台湾加权指数历史数据!$A:$B,2,)</f>
        <v>9638.7999999999993</v>
      </c>
      <c r="AB284" s="3">
        <v>27992.83</v>
      </c>
      <c r="AC284" s="3">
        <v>3450.18</v>
      </c>
      <c r="AD284">
        <v>8458.9500000000007</v>
      </c>
      <c r="AE284" s="5">
        <f>VLOOKUP(A284,[7]越南VN30指数历史数据!$A:$B,2,)</f>
        <v>586.58000000000004</v>
      </c>
      <c r="AF284">
        <v>47885.27</v>
      </c>
      <c r="AG284" s="9">
        <v>12163.37</v>
      </c>
      <c r="AH284">
        <v>9667.42</v>
      </c>
      <c r="AI284">
        <v>1573.06</v>
      </c>
      <c r="AJ284">
        <v>2729.48</v>
      </c>
    </row>
    <row r="285" spans="1:36" x14ac:dyDescent="0.3">
      <c r="A285" s="2">
        <v>42148</v>
      </c>
      <c r="B285" s="3">
        <v>10800.86</v>
      </c>
      <c r="C285" s="4">
        <v>52760</v>
      </c>
      <c r="D285" s="3">
        <v>5777.2</v>
      </c>
      <c r="E285" s="3">
        <v>18010.68</v>
      </c>
      <c r="F285" s="3">
        <v>15014.09</v>
      </c>
      <c r="G285" s="3">
        <v>1246.53</v>
      </c>
      <c r="H285" s="3">
        <v>2107.39</v>
      </c>
      <c r="I285" s="3">
        <v>5070.0200000000004</v>
      </c>
      <c r="J285" s="3">
        <v>44703.62</v>
      </c>
      <c r="K285" s="3">
        <v>19662.2</v>
      </c>
      <c r="L285" s="3">
        <v>2437.81</v>
      </c>
      <c r="M285" s="3">
        <v>11413.82</v>
      </c>
      <c r="N285" s="6">
        <f>VLOOKUP(A285,'[1]俄罗斯交易系统市值加权指数历史数据 (1)'!$A:$B,2,)</f>
        <v>968.81</v>
      </c>
      <c r="O285" s="3">
        <v>5007.8900000000003</v>
      </c>
      <c r="P285" s="1">
        <v>493.56</v>
      </c>
      <c r="Q285" s="3">
        <v>9237.7900000000009</v>
      </c>
      <c r="R285" s="1">
        <v>829.81</v>
      </c>
      <c r="S285" s="3">
        <v>11217.6</v>
      </c>
      <c r="T285" s="3">
        <v>6984.43</v>
      </c>
      <c r="U285" s="3">
        <v>3570.78</v>
      </c>
      <c r="V285" s="6">
        <f>VLOOKUP(A285,[2]韩国KOSPI指数历史数据!$A:$B,2,)</f>
        <v>2114.8000000000002</v>
      </c>
      <c r="W285" s="6">
        <f>VLOOKUP(A285,[3]日经225指数历史数据!$A:$B,2,)</f>
        <v>20563.150000000001</v>
      </c>
      <c r="X285" s="3">
        <v>1677.03</v>
      </c>
      <c r="Y285" s="6">
        <f>VLOOKUP(A285,[4]上证指数历史数据!$A:$B,2,)</f>
        <v>4611.74</v>
      </c>
      <c r="Z285" s="6">
        <f>VLOOKUP(A285,[5]深证成份指数历史数据!$A:$B,2,)</f>
        <v>16100.45</v>
      </c>
      <c r="AA285" s="6">
        <f>VLOOKUP(A285,[6]台湾加权指数历史数据!$A:$B,2,)</f>
        <v>9701.07</v>
      </c>
      <c r="AB285" s="3">
        <v>27424.19</v>
      </c>
      <c r="AC285" s="3">
        <v>3392.11</v>
      </c>
      <c r="AD285">
        <v>8433.65</v>
      </c>
      <c r="AE285" s="5">
        <f>VLOOKUP(A285,[7]越南VN30指数历史数据!$A:$B,2,)</f>
        <v>589.32000000000005</v>
      </c>
      <c r="AF285">
        <v>46285.65</v>
      </c>
      <c r="AG285" s="9">
        <v>12097.79</v>
      </c>
      <c r="AH285">
        <v>9711.36</v>
      </c>
      <c r="AI285">
        <v>1569.73</v>
      </c>
      <c r="AJ285">
        <v>2715.23</v>
      </c>
    </row>
    <row r="286" spans="1:36" x14ac:dyDescent="0.3">
      <c r="A286" s="2">
        <v>42155</v>
      </c>
      <c r="B286" s="3">
        <v>11215.76</v>
      </c>
      <c r="C286" s="4">
        <v>52973</v>
      </c>
      <c r="D286" s="3">
        <v>5498.5</v>
      </c>
      <c r="E286" s="3">
        <v>17849.46</v>
      </c>
      <c r="F286" s="3">
        <v>14957.16</v>
      </c>
      <c r="G286" s="3">
        <v>1261.01</v>
      </c>
      <c r="H286" s="3">
        <v>2092.83</v>
      </c>
      <c r="I286" s="3">
        <v>5068.46</v>
      </c>
      <c r="J286" s="3">
        <v>44561.94</v>
      </c>
      <c r="K286" s="3">
        <v>19328.080000000002</v>
      </c>
      <c r="L286" s="3">
        <v>2365.58</v>
      </c>
      <c r="M286" s="3">
        <v>11197.15</v>
      </c>
      <c r="N286" s="6">
        <f>VLOOKUP(A286,'[1]俄罗斯交易系统市值加权指数历史数据 (1)'!$A:$B,2,)</f>
        <v>922.67</v>
      </c>
      <c r="O286" s="3">
        <v>4920.74</v>
      </c>
      <c r="P286" s="1">
        <v>479.38</v>
      </c>
      <c r="Q286" s="3">
        <v>9105.02</v>
      </c>
      <c r="R286" s="1">
        <v>819.43</v>
      </c>
      <c r="S286" s="3">
        <v>11062</v>
      </c>
      <c r="T286" s="3">
        <v>6804.6</v>
      </c>
      <c r="U286" s="3">
        <v>3510.01</v>
      </c>
      <c r="V286" s="6">
        <f>VLOOKUP(A286,[2]韩国KOSPI指数历史数据!$A:$B,2,)</f>
        <v>2068.1</v>
      </c>
      <c r="W286" s="6">
        <f>VLOOKUP(A286,[3]日经225指数历史数据!$A:$B,2,)</f>
        <v>20460.900000000001</v>
      </c>
      <c r="X286" s="3">
        <v>1696.74</v>
      </c>
      <c r="Y286" s="6">
        <f>VLOOKUP(A286,[4]上证指数历史数据!$A:$B,2,)</f>
        <v>5023.1000000000004</v>
      </c>
      <c r="Z286" s="6">
        <f>VLOOKUP(A286,[5]深证成份指数历史数据!$A:$B,2,)</f>
        <v>17649.09</v>
      </c>
      <c r="AA286" s="6">
        <f>VLOOKUP(A286,[6]台湾加权指数历史数据!$A:$B,2,)</f>
        <v>9340.1299999999992</v>
      </c>
      <c r="AB286" s="3">
        <v>27260.16</v>
      </c>
      <c r="AC286" s="3">
        <v>3333.67</v>
      </c>
      <c r="AD286">
        <v>8114.7</v>
      </c>
      <c r="AE286" s="5">
        <f>VLOOKUP(A286,[7]越南VN30指数历史数据!$A:$B,2,)</f>
        <v>592.22</v>
      </c>
      <c r="AF286">
        <v>45993.24</v>
      </c>
      <c r="AG286" s="9">
        <v>11861.88</v>
      </c>
      <c r="AH286">
        <v>9736.5499999999993</v>
      </c>
      <c r="AI286">
        <v>1537.9</v>
      </c>
      <c r="AJ286">
        <v>2842.36</v>
      </c>
    </row>
    <row r="287" spans="1:36" x14ac:dyDescent="0.3">
      <c r="A287" s="2">
        <v>42162</v>
      </c>
      <c r="B287" s="3">
        <v>11364.05</v>
      </c>
      <c r="C287" s="4">
        <v>53348</v>
      </c>
      <c r="D287" s="3">
        <v>5545.3</v>
      </c>
      <c r="E287" s="3">
        <v>17898.84</v>
      </c>
      <c r="F287" s="3">
        <v>14741.15</v>
      </c>
      <c r="G287" s="3">
        <v>1265.02</v>
      </c>
      <c r="H287" s="3">
        <v>2094.11</v>
      </c>
      <c r="I287" s="3">
        <v>5051.1000000000004</v>
      </c>
      <c r="J287" s="3">
        <v>44692.5</v>
      </c>
      <c r="K287" s="3">
        <v>19270.150000000001</v>
      </c>
      <c r="L287" s="3">
        <v>2358.73</v>
      </c>
      <c r="M287" s="3">
        <v>11196.49</v>
      </c>
      <c r="N287" s="6">
        <f>VLOOKUP(A287,'[1]俄罗斯交易系统市值加权指数历史数据 (1)'!$A:$B,2,)</f>
        <v>950.38</v>
      </c>
      <c r="O287" s="3">
        <v>4901.1899999999996</v>
      </c>
      <c r="P287" s="1">
        <v>477.76</v>
      </c>
      <c r="Q287" s="3">
        <v>9026.43</v>
      </c>
      <c r="R287" s="1">
        <v>805.33</v>
      </c>
      <c r="S287" s="3">
        <v>11030.5</v>
      </c>
      <c r="T287" s="3">
        <v>6784.92</v>
      </c>
      <c r="U287" s="3">
        <v>3502.77</v>
      </c>
      <c r="V287" s="6">
        <f>VLOOKUP(A287,[2]韩国KOSPI指数历史数据!$A:$B,2,)</f>
        <v>2052.17</v>
      </c>
      <c r="W287" s="6">
        <f>VLOOKUP(A287,[3]日经225指数历史数据!$A:$B,2,)</f>
        <v>20407.080000000002</v>
      </c>
      <c r="X287" s="3">
        <v>1697.13</v>
      </c>
      <c r="Y287" s="6">
        <f>VLOOKUP(A287,[4]上证指数历史数据!$A:$B,2,)</f>
        <v>5166.3500000000004</v>
      </c>
      <c r="Z287" s="6">
        <f>VLOOKUP(A287,[5]深证成份指数历史数据!$A:$B,2,)</f>
        <v>18098.27</v>
      </c>
      <c r="AA287" s="6">
        <f>VLOOKUP(A287,[6]台湾加权指数历史数据!$A:$B,2,)</f>
        <v>9301.93</v>
      </c>
      <c r="AB287" s="3">
        <v>27280.54</v>
      </c>
      <c r="AC287" s="3">
        <v>3353.85</v>
      </c>
      <c r="AD287">
        <v>7982.9</v>
      </c>
      <c r="AE287" s="5">
        <f>VLOOKUP(A287,[7]越南VN30指数历史数据!$A:$B,2,)</f>
        <v>604.29</v>
      </c>
      <c r="AF287">
        <v>46129.91</v>
      </c>
      <c r="AG287" s="9">
        <v>11451.75</v>
      </c>
      <c r="AH287">
        <v>9647.75</v>
      </c>
      <c r="AI287">
        <v>1535.82</v>
      </c>
      <c r="AJ287">
        <v>2816.2</v>
      </c>
    </row>
    <row r="288" spans="1:36" x14ac:dyDescent="0.3">
      <c r="A288" s="2">
        <v>42169</v>
      </c>
      <c r="B288" s="3">
        <v>11221.67</v>
      </c>
      <c r="C288" s="4">
        <v>53749</v>
      </c>
      <c r="D288" s="3">
        <v>5597</v>
      </c>
      <c r="E288" s="3">
        <v>18015.95</v>
      </c>
      <c r="F288" s="3">
        <v>14653.12</v>
      </c>
      <c r="G288" s="3">
        <v>1284.6600000000001</v>
      </c>
      <c r="H288" s="3">
        <v>2109.9899999999998</v>
      </c>
      <c r="I288" s="3">
        <v>5117</v>
      </c>
      <c r="J288" s="3">
        <v>44973.41</v>
      </c>
      <c r="K288" s="3">
        <v>18965.16</v>
      </c>
      <c r="L288" s="3">
        <v>2299.35</v>
      </c>
      <c r="M288" s="3">
        <v>11040.1</v>
      </c>
      <c r="N288" s="6">
        <f>VLOOKUP(A288,'[1]俄罗斯交易系统市值加权指数历史数据 (1)'!$A:$B,2,)</f>
        <v>966.9</v>
      </c>
      <c r="O288" s="3">
        <v>4815.37</v>
      </c>
      <c r="P288" s="1">
        <v>475.43</v>
      </c>
      <c r="Q288" s="3">
        <v>8867.32</v>
      </c>
      <c r="R288" s="1">
        <v>824.54</v>
      </c>
      <c r="S288" s="3">
        <v>10944.3</v>
      </c>
      <c r="T288" s="3">
        <v>6710.45</v>
      </c>
      <c r="U288" s="3">
        <v>3455.8</v>
      </c>
      <c r="V288" s="6">
        <f>VLOOKUP(A288,[2]韩国KOSPI指数历史数据!$A:$B,2,)</f>
        <v>2046.96</v>
      </c>
      <c r="W288" s="6">
        <f>VLOOKUP(A288,[3]日经225指数历史数据!$A:$B,2,)</f>
        <v>20174.240000000002</v>
      </c>
      <c r="X288" s="3">
        <v>1684.9</v>
      </c>
      <c r="Y288" s="6">
        <f>VLOOKUP(A288,[4]上证指数历史数据!$A:$B,2,)</f>
        <v>4478.3599999999997</v>
      </c>
      <c r="Z288" s="6">
        <f>VLOOKUP(A288,[5]深证成份指数历史数据!$A:$B,2,)</f>
        <v>15725.47</v>
      </c>
      <c r="AA288" s="6">
        <f>VLOOKUP(A288,[6]台湾加权指数历史数据!$A:$B,2,)</f>
        <v>9218.3700000000008</v>
      </c>
      <c r="AB288" s="3">
        <v>26760.53</v>
      </c>
      <c r="AC288" s="3">
        <v>3300.96</v>
      </c>
      <c r="AD288">
        <v>8224.9500000000007</v>
      </c>
      <c r="AE288" s="5">
        <f>VLOOKUP(A288,[7]越南VN30指数历史数据!$A:$B,2,)</f>
        <v>603.26</v>
      </c>
      <c r="AF288">
        <v>46170.57</v>
      </c>
      <c r="AG288" s="9">
        <v>11426.07</v>
      </c>
      <c r="AH288">
        <v>9581.36</v>
      </c>
      <c r="AI288">
        <v>1517.66</v>
      </c>
      <c r="AJ288">
        <v>2850.15</v>
      </c>
    </row>
    <row r="289" spans="1:36" x14ac:dyDescent="0.3">
      <c r="A289" s="2">
        <v>42176</v>
      </c>
      <c r="B289" s="3">
        <v>11684.42</v>
      </c>
      <c r="C289" s="4">
        <v>54017</v>
      </c>
      <c r="D289" s="3">
        <v>5545.9</v>
      </c>
      <c r="E289" s="3">
        <v>17946.68</v>
      </c>
      <c r="F289" s="3">
        <v>14808.09</v>
      </c>
      <c r="G289" s="3">
        <v>1279.79</v>
      </c>
      <c r="H289" s="3">
        <v>2101.4899999999998</v>
      </c>
      <c r="I289" s="3">
        <v>5080.51</v>
      </c>
      <c r="J289" s="3">
        <v>45566.33</v>
      </c>
      <c r="K289" s="3">
        <v>18924.72</v>
      </c>
      <c r="L289" s="3">
        <v>2333.8200000000002</v>
      </c>
      <c r="M289" s="3">
        <v>11492.43</v>
      </c>
      <c r="N289" s="6">
        <f>VLOOKUP(A289,'[1]俄罗斯交易系统市值加权指数历史数据 (1)'!$A:$B,2,)</f>
        <v>943.01</v>
      </c>
      <c r="O289" s="3">
        <v>5059.17</v>
      </c>
      <c r="P289" s="1">
        <v>494.47</v>
      </c>
      <c r="Q289" s="3">
        <v>9007.5</v>
      </c>
      <c r="R289" s="1">
        <v>835.46</v>
      </c>
      <c r="S289" s="3">
        <v>11372.3</v>
      </c>
      <c r="T289" s="3">
        <v>6753.7</v>
      </c>
      <c r="U289" s="3">
        <v>3621.37</v>
      </c>
      <c r="V289" s="6">
        <f>VLOOKUP(A289,[2]韩国KOSPI指数历史数据!$A:$B,2,)</f>
        <v>2090.2600000000002</v>
      </c>
      <c r="W289" s="6">
        <f>VLOOKUP(A289,[3]日经225指数历史数据!$A:$B,2,)</f>
        <v>20706.150000000001</v>
      </c>
      <c r="X289" s="3">
        <v>1671.33</v>
      </c>
      <c r="Y289" s="6">
        <f>VLOOKUP(A289,[4]上证指数历史数据!$A:$B,2,)</f>
        <v>4192.87</v>
      </c>
      <c r="Z289" s="6">
        <f>VLOOKUP(A289,[5]深证成份指数历史数据!$A:$B,2,)</f>
        <v>14398.78</v>
      </c>
      <c r="AA289" s="6">
        <f>VLOOKUP(A289,[6]台湾加权指数历史数据!$A:$B,2,)</f>
        <v>9462.57</v>
      </c>
      <c r="AB289" s="3">
        <v>26663.87</v>
      </c>
      <c r="AC289" s="3">
        <v>3320.9</v>
      </c>
      <c r="AD289">
        <v>8381.1</v>
      </c>
      <c r="AE289" s="5">
        <f>VLOOKUP(A289,[7]越南VN30指数历史数据!$A:$B,2,)</f>
        <v>608.91999999999996</v>
      </c>
      <c r="AF289">
        <v>47054.51</v>
      </c>
      <c r="AG289" s="9">
        <v>11136.6</v>
      </c>
      <c r="AH289">
        <v>9575.31</v>
      </c>
      <c r="AI289">
        <v>1503.81</v>
      </c>
      <c r="AJ289">
        <v>2805.12</v>
      </c>
    </row>
    <row r="290" spans="1:36" x14ac:dyDescent="0.3">
      <c r="A290" s="2">
        <v>42183</v>
      </c>
      <c r="B290" s="3">
        <v>11766.12</v>
      </c>
      <c r="C290" s="4">
        <v>52519</v>
      </c>
      <c r="D290" s="3">
        <v>5538.3</v>
      </c>
      <c r="E290" s="3">
        <v>17730.11</v>
      </c>
      <c r="F290" s="3">
        <v>14682.39</v>
      </c>
      <c r="G290" s="3">
        <v>1248.26</v>
      </c>
      <c r="H290" s="3">
        <v>2076.7800000000002</v>
      </c>
      <c r="I290" s="3">
        <v>5009.21</v>
      </c>
      <c r="J290" s="3">
        <v>45065.47</v>
      </c>
      <c r="K290" s="3">
        <v>18752.64</v>
      </c>
      <c r="L290" s="3">
        <v>2278.17</v>
      </c>
      <c r="M290" s="3">
        <v>11058.39</v>
      </c>
      <c r="N290" s="6">
        <f>VLOOKUP(A290,'[1]俄罗斯交易系统市值加权指数历史数据 (1)'!$A:$B,2,)</f>
        <v>919.61</v>
      </c>
      <c r="O290" s="3">
        <v>4808.22</v>
      </c>
      <c r="P290" s="1">
        <v>474.14</v>
      </c>
      <c r="Q290" s="3">
        <v>8912.84</v>
      </c>
      <c r="R290" s="1">
        <v>812.17</v>
      </c>
      <c r="S290" s="3">
        <v>10779.8</v>
      </c>
      <c r="T290" s="3">
        <v>6585.78</v>
      </c>
      <c r="U290" s="3">
        <v>3441.76</v>
      </c>
      <c r="V290" s="6">
        <f>VLOOKUP(A290,[2]韩国KOSPI指数历史数据!$A:$B,2,)</f>
        <v>2104.41</v>
      </c>
      <c r="W290" s="6">
        <f>VLOOKUP(A290,[3]日经225指数历史数据!$A:$B,2,)</f>
        <v>20539.79</v>
      </c>
      <c r="X290" s="3">
        <v>1663.9</v>
      </c>
      <c r="Y290" s="6">
        <f>VLOOKUP(A290,[4]上证指数历史数据!$A:$B,2,)</f>
        <v>3686.92</v>
      </c>
      <c r="Z290" s="6">
        <f>VLOOKUP(A290,[5]深证成份指数历史数据!$A:$B,2,)</f>
        <v>12246.06</v>
      </c>
      <c r="AA290" s="6">
        <f>VLOOKUP(A290,[6]台湾加权指数历史数据!$A:$B,2,)</f>
        <v>9358.23</v>
      </c>
      <c r="AB290" s="3">
        <v>26064.11</v>
      </c>
      <c r="AC290" s="3">
        <v>3342.73</v>
      </c>
      <c r="AD290">
        <v>8484.9</v>
      </c>
      <c r="AE290" s="5">
        <f>VLOOKUP(A290,[7]越南VN30指数历史数据!$A:$B,2,)</f>
        <v>639.87</v>
      </c>
      <c r="AF290">
        <v>46355.6</v>
      </c>
      <c r="AG290" s="9">
        <v>11043.33</v>
      </c>
      <c r="AH290">
        <v>9621.2199999999993</v>
      </c>
      <c r="AI290">
        <v>1488.17</v>
      </c>
      <c r="AJ290">
        <v>2641.08</v>
      </c>
    </row>
    <row r="291" spans="1:36" x14ac:dyDescent="0.3">
      <c r="A291" s="2">
        <v>42190</v>
      </c>
      <c r="B291" s="3">
        <v>11690.01</v>
      </c>
      <c r="C291" s="4">
        <v>52591</v>
      </c>
      <c r="D291" s="3">
        <v>5492</v>
      </c>
      <c r="E291" s="3">
        <v>17760.41</v>
      </c>
      <c r="F291" s="3">
        <v>14411.07</v>
      </c>
      <c r="G291" s="3">
        <v>1252.02</v>
      </c>
      <c r="H291" s="3">
        <v>2076.62</v>
      </c>
      <c r="I291" s="3">
        <v>4997.7</v>
      </c>
      <c r="J291" s="3">
        <v>44915.98</v>
      </c>
      <c r="K291" s="3">
        <v>18891.62</v>
      </c>
      <c r="L291" s="3">
        <v>2270.84</v>
      </c>
      <c r="M291" s="3">
        <v>11315.63</v>
      </c>
      <c r="N291" s="6">
        <f>VLOOKUP(A291,'[1]俄罗斯交易系统市值加权指数历史数据 (1)'!$A:$B,2,)</f>
        <v>905.2</v>
      </c>
      <c r="O291" s="3">
        <v>4903.07</v>
      </c>
      <c r="P291" s="1">
        <v>481.39</v>
      </c>
      <c r="Q291" s="3">
        <v>9134.18</v>
      </c>
      <c r="R291" s="1">
        <v>827.92</v>
      </c>
      <c r="S291" s="3">
        <v>11036.1</v>
      </c>
      <c r="T291" s="3">
        <v>6673.38</v>
      </c>
      <c r="U291" s="3">
        <v>3528.81</v>
      </c>
      <c r="V291" s="6">
        <f>VLOOKUP(A291,[2]韩国KOSPI指数历史数据!$A:$B,2,)</f>
        <v>2031.17</v>
      </c>
      <c r="W291" s="6">
        <f>VLOOKUP(A291,[3]日经225指数历史数据!$A:$B,2,)</f>
        <v>19779.830000000002</v>
      </c>
      <c r="X291" s="3">
        <v>1658.06</v>
      </c>
      <c r="Y291" s="6">
        <f>VLOOKUP(A291,[4]上证指数历史数据!$A:$B,2,)</f>
        <v>3877.8</v>
      </c>
      <c r="Z291" s="6">
        <f>VLOOKUP(A291,[5]深证成份指数历史数据!$A:$B,2,)</f>
        <v>12038.15</v>
      </c>
      <c r="AA291" s="6">
        <f>VLOOKUP(A291,[6]台湾加权指数历史数据!$A:$B,2,)</f>
        <v>8914.1299999999992</v>
      </c>
      <c r="AB291" s="3">
        <v>24901.279999999999</v>
      </c>
      <c r="AC291" s="3">
        <v>3279.88</v>
      </c>
      <c r="AD291">
        <v>8360.5499999999993</v>
      </c>
      <c r="AE291" s="5">
        <f>VLOOKUP(A291,[7]越南VN30指数历史数据!$A:$B,2,)</f>
        <v>648.73</v>
      </c>
      <c r="AF291">
        <v>46216.22</v>
      </c>
      <c r="AG291" s="9">
        <v>10105.66</v>
      </c>
      <c r="AH291">
        <v>9646.24</v>
      </c>
      <c r="AI291">
        <v>1445.12</v>
      </c>
      <c r="AJ291">
        <v>2694.1</v>
      </c>
    </row>
    <row r="292" spans="1:36" x14ac:dyDescent="0.3">
      <c r="A292" s="2">
        <v>42197</v>
      </c>
      <c r="B292" s="3">
        <v>12377.74</v>
      </c>
      <c r="C292" s="4">
        <v>52342</v>
      </c>
      <c r="D292" s="3">
        <v>5670.1</v>
      </c>
      <c r="E292" s="3">
        <v>18086.45</v>
      </c>
      <c r="F292" s="3">
        <v>14642.84</v>
      </c>
      <c r="G292" s="3">
        <v>1267.0899999999999</v>
      </c>
      <c r="H292" s="3">
        <v>2126.64</v>
      </c>
      <c r="I292" s="3">
        <v>5210.1400000000003</v>
      </c>
      <c r="J292" s="3">
        <v>45325.38</v>
      </c>
      <c r="K292" s="3">
        <v>18957.650000000001</v>
      </c>
      <c r="L292" s="3">
        <v>2285.0300000000002</v>
      </c>
      <c r="M292" s="3">
        <v>11673.42</v>
      </c>
      <c r="N292" s="6">
        <f>VLOOKUP(A292,'[1]俄罗斯交易系统市值加权指数历史数据 (1)'!$A:$B,2,)</f>
        <v>912.44</v>
      </c>
      <c r="O292" s="3">
        <v>5124.3900000000003</v>
      </c>
      <c r="P292" s="1">
        <v>500.43</v>
      </c>
      <c r="Q292" s="3">
        <v>9446.17</v>
      </c>
      <c r="R292" s="1">
        <v>827.9</v>
      </c>
      <c r="S292" s="3">
        <v>11480.7</v>
      </c>
      <c r="T292" s="3">
        <v>6775.08</v>
      </c>
      <c r="U292" s="3">
        <v>3670.34</v>
      </c>
      <c r="V292" s="6">
        <f>VLOOKUP(A292,[2]韩国KOSPI指数历史数据!$A:$B,2,)</f>
        <v>2076.79</v>
      </c>
      <c r="W292" s="6">
        <f>VLOOKUP(A292,[3]日经225指数历史数据!$A:$B,2,)</f>
        <v>20650.919999999998</v>
      </c>
      <c r="X292" s="3">
        <v>1694.07</v>
      </c>
      <c r="Y292" s="6">
        <f>VLOOKUP(A292,[4]上证指数历史数据!$A:$B,2,)</f>
        <v>3957.35</v>
      </c>
      <c r="Z292" s="6">
        <f>VLOOKUP(A292,[5]深证成份指数历史数据!$A:$B,2,)</f>
        <v>13004.96</v>
      </c>
      <c r="AA292" s="6">
        <f>VLOOKUP(A292,[6]台湾加权指数历史数据!$A:$B,2,)</f>
        <v>9045.98</v>
      </c>
      <c r="AB292" s="3">
        <v>25415.27</v>
      </c>
      <c r="AC292" s="3">
        <v>3353.45</v>
      </c>
      <c r="AD292">
        <v>8609.85</v>
      </c>
      <c r="AE292" s="5">
        <f>VLOOKUP(A292,[7]越南VN30指数历史数据!$A:$B,2,)</f>
        <v>651.03</v>
      </c>
      <c r="AF292">
        <v>47052.58</v>
      </c>
      <c r="AG292" s="9">
        <v>10605.72</v>
      </c>
      <c r="AH292">
        <v>9676.99</v>
      </c>
      <c r="AI292">
        <v>1411.69</v>
      </c>
      <c r="AJ292">
        <v>2622.36</v>
      </c>
    </row>
    <row r="293" spans="1:36" x14ac:dyDescent="0.3">
      <c r="A293" s="2">
        <v>42204</v>
      </c>
      <c r="B293" s="3">
        <v>10904.07</v>
      </c>
      <c r="C293" s="4">
        <v>49246</v>
      </c>
      <c r="D293" s="3">
        <v>5566.1</v>
      </c>
      <c r="E293" s="3">
        <v>17568.53</v>
      </c>
      <c r="F293" s="3">
        <v>14186.24</v>
      </c>
      <c r="G293" s="3">
        <v>1225.99</v>
      </c>
      <c r="H293" s="3">
        <v>2079.65</v>
      </c>
      <c r="I293" s="3">
        <v>5088.63</v>
      </c>
      <c r="J293" s="3">
        <v>44249.49</v>
      </c>
      <c r="K293" s="3">
        <v>18703.05</v>
      </c>
      <c r="L293" s="3">
        <v>2187.67</v>
      </c>
      <c r="M293" s="3">
        <v>11347.45</v>
      </c>
      <c r="N293" s="6">
        <f>VLOOKUP(A293,'[1]俄罗斯交易系统市值加权指数历史数据 (1)'!$A:$B,2,)</f>
        <v>859.12</v>
      </c>
      <c r="O293" s="3">
        <v>5057.3599999999997</v>
      </c>
      <c r="P293" s="1">
        <v>490.04</v>
      </c>
      <c r="Q293" s="3">
        <v>9322.9699999999993</v>
      </c>
      <c r="R293" s="1">
        <v>787.12</v>
      </c>
      <c r="S293" s="3">
        <v>11309.3</v>
      </c>
      <c r="T293" s="3">
        <v>6579.81</v>
      </c>
      <c r="U293" s="3">
        <v>3600</v>
      </c>
      <c r="V293" s="6">
        <f>VLOOKUP(A293,[2]韩国KOSPI指数历史数据!$A:$B,2,)</f>
        <v>2045.96</v>
      </c>
      <c r="W293" s="6">
        <f>VLOOKUP(A293,[3]日经225指数历史数据!$A:$B,2,)</f>
        <v>20544.53</v>
      </c>
      <c r="X293" s="3">
        <v>1702.05</v>
      </c>
      <c r="Y293" s="6">
        <f>VLOOKUP(A293,[4]上证指数历史数据!$A:$B,2,)</f>
        <v>4070.91</v>
      </c>
      <c r="Z293" s="6">
        <f>VLOOKUP(A293,[5]深证成份指数历史数据!$A:$B,2,)</f>
        <v>13518.51</v>
      </c>
      <c r="AA293" s="6">
        <f>VLOOKUP(A293,[6]台湾加权指数历史数据!$A:$B,2,)</f>
        <v>8767.86</v>
      </c>
      <c r="AB293" s="3">
        <v>25128.51</v>
      </c>
      <c r="AC293" s="3">
        <v>3352.65</v>
      </c>
      <c r="AD293">
        <v>8521.5499999999993</v>
      </c>
      <c r="AE293" s="5">
        <f>VLOOKUP(A293,[7]越南VN30指数历史数据!$A:$B,2,)</f>
        <v>657.97</v>
      </c>
      <c r="AF293">
        <v>45858.45</v>
      </c>
      <c r="AG293" s="9">
        <v>10647.3</v>
      </c>
      <c r="AH293">
        <v>9692.06</v>
      </c>
      <c r="AI293">
        <v>1412.19</v>
      </c>
      <c r="AJ293">
        <v>2581.71</v>
      </c>
    </row>
    <row r="294" spans="1:36" x14ac:dyDescent="0.3">
      <c r="A294" s="2">
        <v>42211</v>
      </c>
      <c r="B294" s="3">
        <v>11101.02</v>
      </c>
      <c r="C294" s="4">
        <v>50865</v>
      </c>
      <c r="D294" s="3">
        <v>5699.2</v>
      </c>
      <c r="E294" s="3">
        <v>17689.86</v>
      </c>
      <c r="F294" s="3">
        <v>14468.44</v>
      </c>
      <c r="G294" s="3">
        <v>1238.68</v>
      </c>
      <c r="H294" s="3">
        <v>2103.84</v>
      </c>
      <c r="I294" s="3">
        <v>5128.28</v>
      </c>
      <c r="J294" s="3">
        <v>44752.93</v>
      </c>
      <c r="K294" s="3">
        <v>18833.52</v>
      </c>
      <c r="L294" s="3">
        <v>2227.5100000000002</v>
      </c>
      <c r="M294" s="3">
        <v>11308.99</v>
      </c>
      <c r="N294" s="6">
        <f>VLOOKUP(A294,'[1]俄罗斯交易系统市值加权指数历史数据 (1)'!$A:$B,2,)</f>
        <v>858.82</v>
      </c>
      <c r="O294" s="3">
        <v>5082.6099999999997</v>
      </c>
      <c r="P294" s="1">
        <v>495.23</v>
      </c>
      <c r="Q294" s="3">
        <v>9428.17</v>
      </c>
      <c r="R294" s="1">
        <v>799.1</v>
      </c>
      <c r="S294" s="3">
        <v>11180.7</v>
      </c>
      <c r="T294" s="3">
        <v>6696.28</v>
      </c>
      <c r="U294" s="3">
        <v>3600.69</v>
      </c>
      <c r="V294" s="6">
        <f>VLOOKUP(A294,[2]韩国KOSPI指数历史数据!$A:$B,2,)</f>
        <v>2030.16</v>
      </c>
      <c r="W294" s="6">
        <f>VLOOKUP(A294,[3]日经225指数历史数据!$A:$B,2,)</f>
        <v>20585.240000000002</v>
      </c>
      <c r="X294" s="3">
        <v>1712.61</v>
      </c>
      <c r="Y294" s="6">
        <f>VLOOKUP(A294,[4]上证指数历史数据!$A:$B,2,)</f>
        <v>3663.73</v>
      </c>
      <c r="Z294" s="6">
        <f>VLOOKUP(A294,[5]深证成份指数历史数据!$A:$B,2,)</f>
        <v>12374.25</v>
      </c>
      <c r="AA294" s="6">
        <f>VLOOKUP(A294,[6]台湾加权指数历史数据!$A:$B,2,)</f>
        <v>8665.34</v>
      </c>
      <c r="AB294" s="3">
        <v>24636.28</v>
      </c>
      <c r="AC294" s="3">
        <v>3202.5</v>
      </c>
      <c r="AD294">
        <v>8532.85</v>
      </c>
      <c r="AE294" s="5">
        <f>VLOOKUP(A294,[7]越南VN30指数历史数据!$A:$B,2,)</f>
        <v>647.36</v>
      </c>
      <c r="AF294">
        <v>46557.26</v>
      </c>
      <c r="AG294" s="9">
        <v>10799.04</v>
      </c>
      <c r="AH294">
        <v>9740.01</v>
      </c>
      <c r="AI294">
        <v>1360.85</v>
      </c>
      <c r="AJ294">
        <v>2551.38</v>
      </c>
    </row>
    <row r="295" spans="1:36" x14ac:dyDescent="0.3">
      <c r="A295" s="2">
        <v>42218</v>
      </c>
      <c r="B295" s="3">
        <v>11167.45</v>
      </c>
      <c r="C295" s="4">
        <v>48577</v>
      </c>
      <c r="D295" s="3">
        <v>5474.8</v>
      </c>
      <c r="E295" s="3">
        <v>17373.38</v>
      </c>
      <c r="F295" s="3">
        <v>14302.7</v>
      </c>
      <c r="G295" s="3">
        <v>1206.9000000000001</v>
      </c>
      <c r="H295" s="3">
        <v>2077.5700000000002</v>
      </c>
      <c r="I295" s="3">
        <v>5043.54</v>
      </c>
      <c r="J295" s="3">
        <v>44862.14</v>
      </c>
      <c r="K295" s="3">
        <v>18781.66</v>
      </c>
      <c r="L295" s="3">
        <v>2196.7800000000002</v>
      </c>
      <c r="M295" s="3">
        <v>11490.83</v>
      </c>
      <c r="N295" s="6">
        <f>VLOOKUP(A295,'[1]俄罗斯交易系统市值加权指数历史数据 (1)'!$A:$B,2,)</f>
        <v>832.47</v>
      </c>
      <c r="O295" s="3">
        <v>5154.75</v>
      </c>
      <c r="P295" s="1">
        <v>496.61</v>
      </c>
      <c r="Q295" s="3">
        <v>9408.27</v>
      </c>
      <c r="R295" s="1">
        <v>784.27</v>
      </c>
      <c r="S295" s="3">
        <v>11178.2</v>
      </c>
      <c r="T295" s="3">
        <v>6718.49</v>
      </c>
      <c r="U295" s="3">
        <v>3637.8</v>
      </c>
      <c r="V295" s="6">
        <f>VLOOKUP(A295,[2]韩国KOSPI指数历史数据!$A:$B,2,)</f>
        <v>2010.23</v>
      </c>
      <c r="W295" s="6">
        <f>VLOOKUP(A295,[3]日经225指数历史数据!$A:$B,2,)</f>
        <v>20724.560000000001</v>
      </c>
      <c r="X295" s="3">
        <v>1716.65</v>
      </c>
      <c r="Y295" s="6">
        <f>VLOOKUP(A295,[4]上证指数历史数据!$A:$B,2,)</f>
        <v>3744.2</v>
      </c>
      <c r="Z295" s="6">
        <f>VLOOKUP(A295,[5]深证成份指数历史数据!$A:$B,2,)</f>
        <v>12753.05</v>
      </c>
      <c r="AA295" s="6">
        <f>VLOOKUP(A295,[6]台湾加权指数历史数据!$A:$B,2,)</f>
        <v>8442.2900000000009</v>
      </c>
      <c r="AB295" s="3">
        <v>24552.47</v>
      </c>
      <c r="AC295" s="3">
        <v>3196.66</v>
      </c>
      <c r="AD295">
        <v>8564.6</v>
      </c>
      <c r="AE295" s="5">
        <f>VLOOKUP(A295,[7]越南VN30指数历史数据!$A:$B,2,)</f>
        <v>638.4</v>
      </c>
      <c r="AF295">
        <v>46431.99</v>
      </c>
      <c r="AG295" s="9">
        <v>10761.43</v>
      </c>
      <c r="AH295">
        <v>9716.2199999999993</v>
      </c>
      <c r="AI295">
        <v>1421.51</v>
      </c>
      <c r="AJ295">
        <v>2541.56</v>
      </c>
    </row>
    <row r="296" spans="1:36" x14ac:dyDescent="0.3">
      <c r="A296" s="2">
        <v>42225</v>
      </c>
      <c r="B296" s="3">
        <v>11452.99</v>
      </c>
      <c r="C296" s="4">
        <v>47508</v>
      </c>
      <c r="D296" s="3">
        <v>5356.5</v>
      </c>
      <c r="E296" s="3">
        <v>17477.400000000001</v>
      </c>
      <c r="F296" s="3">
        <v>14277.88</v>
      </c>
      <c r="G296" s="3">
        <v>1212.69</v>
      </c>
      <c r="H296" s="3">
        <v>2091.54</v>
      </c>
      <c r="I296" s="3">
        <v>5048.2299999999996</v>
      </c>
      <c r="J296" s="3">
        <v>43746.720000000001</v>
      </c>
      <c r="K296" s="3">
        <v>18513.95</v>
      </c>
      <c r="L296" s="3">
        <v>2198.2199999999998</v>
      </c>
      <c r="M296" s="3">
        <v>10985.14</v>
      </c>
      <c r="N296" s="6">
        <f>VLOOKUP(A296,'[1]俄罗斯交易系统市值加权指数历史数据 (1)'!$A:$B,2,)</f>
        <v>835.17</v>
      </c>
      <c r="O296" s="3">
        <v>4956.47</v>
      </c>
      <c r="P296" s="1">
        <v>473.89</v>
      </c>
      <c r="Q296" s="3">
        <v>9346.56</v>
      </c>
      <c r="R296" s="1">
        <v>773.09</v>
      </c>
      <c r="S296" s="3">
        <v>10879.3</v>
      </c>
      <c r="T296" s="3">
        <v>6550.74</v>
      </c>
      <c r="U296" s="3">
        <v>3491.03</v>
      </c>
      <c r="V296" s="6">
        <f>VLOOKUP(A296,[2]韩国KOSPI指数历史数据!$A:$B,2,)</f>
        <v>1983.46</v>
      </c>
      <c r="W296" s="6">
        <f>VLOOKUP(A296,[3]日经225指数历史数据!$A:$B,2,)</f>
        <v>20519.45</v>
      </c>
      <c r="X296" s="3">
        <v>1711.66</v>
      </c>
      <c r="Y296" s="6">
        <f>VLOOKUP(A296,[4]上证指数历史数据!$A:$B,2,)</f>
        <v>3965.33</v>
      </c>
      <c r="Z296" s="6">
        <f>VLOOKUP(A296,[5]深证成份指数历史数据!$A:$B,2,)</f>
        <v>13445.87</v>
      </c>
      <c r="AA296" s="6">
        <f>VLOOKUP(A296,[6]台湾加权指数历史数据!$A:$B,2,)</f>
        <v>8305.64</v>
      </c>
      <c r="AB296" s="3">
        <v>23991.03</v>
      </c>
      <c r="AC296" s="3">
        <v>3114.25</v>
      </c>
      <c r="AD296">
        <v>8518.5499999999993</v>
      </c>
      <c r="AE296" s="5">
        <f>VLOOKUP(A296,[7]越南VN30指数历史数据!$A:$B,2,)</f>
        <v>618.94000000000005</v>
      </c>
      <c r="AF296">
        <v>45341.19</v>
      </c>
      <c r="AG296" s="9">
        <v>10412</v>
      </c>
      <c r="AH296">
        <v>9653.11</v>
      </c>
      <c r="AI296">
        <v>1382.41</v>
      </c>
      <c r="AJ296">
        <v>2601.9699999999998</v>
      </c>
    </row>
    <row r="297" spans="1:36" x14ac:dyDescent="0.3">
      <c r="A297" s="2">
        <v>42232</v>
      </c>
      <c r="B297" s="3">
        <v>10495.44</v>
      </c>
      <c r="C297" s="4">
        <v>45720</v>
      </c>
      <c r="D297" s="3">
        <v>5214.6000000000004</v>
      </c>
      <c r="E297" s="3">
        <v>16459.75</v>
      </c>
      <c r="F297" s="3">
        <v>13473.67</v>
      </c>
      <c r="G297" s="3">
        <v>1156.79</v>
      </c>
      <c r="H297" s="3">
        <v>1970.89</v>
      </c>
      <c r="I297" s="3">
        <v>4706.04</v>
      </c>
      <c r="J297" s="3">
        <v>42163.82</v>
      </c>
      <c r="K297" s="3">
        <v>18107.080000000002</v>
      </c>
      <c r="L297" s="3">
        <v>2179.73</v>
      </c>
      <c r="M297" s="3">
        <v>10124.52</v>
      </c>
      <c r="N297" s="6">
        <f>VLOOKUP(A297,'[1]俄罗斯交易系统市值加权指数历史数据 (1)'!$A:$B,2,)</f>
        <v>762.38</v>
      </c>
      <c r="O297" s="3">
        <v>4630.99</v>
      </c>
      <c r="P297" s="1">
        <v>442.87</v>
      </c>
      <c r="Q297" s="3">
        <v>8798.57</v>
      </c>
      <c r="R297" s="1">
        <v>737.98</v>
      </c>
      <c r="S297" s="3">
        <v>10271.700000000001</v>
      </c>
      <c r="T297" s="3">
        <v>6187.65</v>
      </c>
      <c r="U297" s="3">
        <v>3247.26</v>
      </c>
      <c r="V297" s="6">
        <f>VLOOKUP(A297,[2]韩国KOSPI指数历史数据!$A:$B,2,)</f>
        <v>1876.07</v>
      </c>
      <c r="W297" s="6">
        <f>VLOOKUP(A297,[3]日经225指数历史数据!$A:$B,2,)</f>
        <v>19435.830000000002</v>
      </c>
      <c r="X297" s="3">
        <v>1695.11</v>
      </c>
      <c r="Y297" s="6">
        <f>VLOOKUP(A297,[4]上证指数历史数据!$A:$B,2,)</f>
        <v>3507.74</v>
      </c>
      <c r="Z297" s="6">
        <f>VLOOKUP(A297,[5]深证成份指数历史数据!$A:$B,2,)</f>
        <v>11902.05</v>
      </c>
      <c r="AA297" s="6">
        <f>VLOOKUP(A297,[6]台湾加权指数历史数据!$A:$B,2,)</f>
        <v>7786.92</v>
      </c>
      <c r="AB297" s="3">
        <v>22409.62</v>
      </c>
      <c r="AC297" s="3">
        <v>2971.01</v>
      </c>
      <c r="AD297">
        <v>8299.9500000000007</v>
      </c>
      <c r="AE297" s="5">
        <f>VLOOKUP(A297,[7]越南VN30指数历史数据!$A:$B,2,)</f>
        <v>587.83000000000004</v>
      </c>
      <c r="AF297">
        <v>43404.56</v>
      </c>
      <c r="AG297" s="9">
        <v>9562.0300000000007</v>
      </c>
      <c r="AH297">
        <v>9517.02</v>
      </c>
      <c r="AI297">
        <v>1345.32</v>
      </c>
      <c r="AJ297">
        <v>2579.71</v>
      </c>
    </row>
    <row r="298" spans="1:36" x14ac:dyDescent="0.3">
      <c r="A298" s="2">
        <v>42239</v>
      </c>
      <c r="B298" s="3">
        <v>10961.5</v>
      </c>
      <c r="C298" s="4">
        <v>47154</v>
      </c>
      <c r="D298" s="3">
        <v>5263.6</v>
      </c>
      <c r="E298" s="3">
        <v>16643.009999999998</v>
      </c>
      <c r="F298" s="3">
        <v>13865.07</v>
      </c>
      <c r="G298" s="3">
        <v>1162.9100000000001</v>
      </c>
      <c r="H298" s="3">
        <v>1988.87</v>
      </c>
      <c r="I298" s="3">
        <v>4828.32</v>
      </c>
      <c r="J298" s="3">
        <v>43290.86</v>
      </c>
      <c r="K298" s="3">
        <v>18546.02</v>
      </c>
      <c r="L298" s="3">
        <v>2145.12</v>
      </c>
      <c r="M298" s="3">
        <v>10298.530000000001</v>
      </c>
      <c r="N298" s="6">
        <f>VLOOKUP(A298,'[1]俄罗斯交易系统市值加权指数历史数据 (1)'!$A:$B,2,)</f>
        <v>829.95</v>
      </c>
      <c r="O298" s="3">
        <v>4675.13</v>
      </c>
      <c r="P298" s="1">
        <v>445.96</v>
      </c>
      <c r="Q298" s="3">
        <v>8785.1</v>
      </c>
      <c r="R298" s="1">
        <v>746.42</v>
      </c>
      <c r="S298" s="3">
        <v>10352.9</v>
      </c>
      <c r="T298" s="3">
        <v>6247.94</v>
      </c>
      <c r="U298" s="3">
        <v>3286.59</v>
      </c>
      <c r="V298" s="6">
        <f>VLOOKUP(A298,[2]韩国KOSPI指数历史数据!$A:$B,2,)</f>
        <v>1937.67</v>
      </c>
      <c r="W298" s="6">
        <f>VLOOKUP(A298,[3]日经225指数历史数据!$A:$B,2,)</f>
        <v>19136.32</v>
      </c>
      <c r="X298" s="3">
        <v>1596.56</v>
      </c>
      <c r="Y298" s="6">
        <f>VLOOKUP(A298,[4]上证指数历史数据!$A:$B,2,)</f>
        <v>3232.35</v>
      </c>
      <c r="Z298" s="6">
        <f>VLOOKUP(A298,[5]深证成份指数历史数据!$A:$B,2,)</f>
        <v>10800</v>
      </c>
      <c r="AA298" s="6">
        <f>VLOOKUP(A298,[6]台湾加权指数历史数据!$A:$B,2,)</f>
        <v>8019.18</v>
      </c>
      <c r="AB298" s="3">
        <v>21612.39</v>
      </c>
      <c r="AC298" s="3">
        <v>2955.94</v>
      </c>
      <c r="AD298">
        <v>8001.95</v>
      </c>
      <c r="AE298" s="5">
        <f>VLOOKUP(A298,[7]越南VN30指数历史数据!$A:$B,2,)</f>
        <v>597.80999999999995</v>
      </c>
      <c r="AF298">
        <v>44383.74</v>
      </c>
      <c r="AG298" s="9">
        <v>9322.4</v>
      </c>
      <c r="AH298">
        <v>9307.3700000000008</v>
      </c>
      <c r="AI298">
        <v>1285.22</v>
      </c>
      <c r="AJ298">
        <v>2484.21</v>
      </c>
    </row>
    <row r="299" spans="1:36" x14ac:dyDescent="0.3">
      <c r="A299" s="2">
        <v>42246</v>
      </c>
      <c r="B299" s="3">
        <v>10928.62</v>
      </c>
      <c r="C299" s="4">
        <v>46498</v>
      </c>
      <c r="D299" s="3">
        <v>5040.6000000000004</v>
      </c>
      <c r="E299" s="3">
        <v>16102.38</v>
      </c>
      <c r="F299" s="3">
        <v>13478.31</v>
      </c>
      <c r="G299" s="3">
        <v>1136.17</v>
      </c>
      <c r="H299" s="3">
        <v>1921.22</v>
      </c>
      <c r="I299" s="3">
        <v>4683.92</v>
      </c>
      <c r="J299" s="3">
        <v>42742.86</v>
      </c>
      <c r="K299" s="3">
        <v>18249.009999999998</v>
      </c>
      <c r="L299" s="3">
        <v>2146.4699999999998</v>
      </c>
      <c r="M299" s="3">
        <v>10038.040000000001</v>
      </c>
      <c r="N299" s="6">
        <f>VLOOKUP(A299,'[1]俄罗斯交易系统市值加权指数历史数据 (1)'!$A:$B,2,)</f>
        <v>793.65</v>
      </c>
      <c r="O299" s="3">
        <v>4523.08</v>
      </c>
      <c r="P299" s="1">
        <v>432.94</v>
      </c>
      <c r="Q299" s="3">
        <v>8652.35</v>
      </c>
      <c r="R299" s="1">
        <v>729.5</v>
      </c>
      <c r="S299" s="3">
        <v>9821.7999999999993</v>
      </c>
      <c r="T299" s="3">
        <v>6042.92</v>
      </c>
      <c r="U299" s="3">
        <v>3180.25</v>
      </c>
      <c r="V299" s="6">
        <f>VLOOKUP(A299,[2]韩国KOSPI指数历史数据!$A:$B,2,)</f>
        <v>1886.04</v>
      </c>
      <c r="W299" s="6">
        <f>VLOOKUP(A299,[3]日经225指数历史数据!$A:$B,2,)</f>
        <v>17792.16</v>
      </c>
      <c r="X299" s="3">
        <v>1606.26</v>
      </c>
      <c r="Y299" s="6">
        <f>VLOOKUP(A299,[4]上证指数历史数据!$A:$B,2,)</f>
        <v>3160.17</v>
      </c>
      <c r="Z299" s="6">
        <f>VLOOKUP(A299,[5]深证成份指数历史数据!$A:$B,2,)</f>
        <v>10054.799999999999</v>
      </c>
      <c r="AA299" s="6">
        <f>VLOOKUP(A299,[6]台湾加权指数历史数据!$A:$B,2,)</f>
        <v>8000.6</v>
      </c>
      <c r="AB299" s="3">
        <v>20840.61</v>
      </c>
      <c r="AC299" s="3">
        <v>2863.81</v>
      </c>
      <c r="AD299">
        <v>7655.05</v>
      </c>
      <c r="AE299" s="5">
        <f>VLOOKUP(A299,[7]越南VN30指数历史数据!$A:$B,2,)</f>
        <v>578.78</v>
      </c>
      <c r="AF299">
        <v>43547.16</v>
      </c>
      <c r="AG299" s="9">
        <v>9642.98</v>
      </c>
      <c r="AH299">
        <v>9307.51</v>
      </c>
      <c r="AI299">
        <v>1325.99</v>
      </c>
      <c r="AJ299">
        <v>2498.0100000000002</v>
      </c>
    </row>
    <row r="300" spans="1:36" x14ac:dyDescent="0.3">
      <c r="A300" s="2">
        <v>42253</v>
      </c>
      <c r="B300" s="3">
        <v>10887.94</v>
      </c>
      <c r="C300" s="4">
        <v>46401</v>
      </c>
      <c r="D300" s="3">
        <v>5071.1000000000004</v>
      </c>
      <c r="E300" s="3">
        <v>16433.09</v>
      </c>
      <c r="F300" s="3">
        <v>13461.47</v>
      </c>
      <c r="G300" s="3">
        <v>1157.79</v>
      </c>
      <c r="H300" s="3">
        <v>1961.05</v>
      </c>
      <c r="I300" s="3">
        <v>4822.34</v>
      </c>
      <c r="J300" s="3">
        <v>42780.73</v>
      </c>
      <c r="K300" s="3">
        <v>18315.16</v>
      </c>
      <c r="L300" s="3">
        <v>2185.46</v>
      </c>
      <c r="M300" s="3">
        <v>10123.56</v>
      </c>
      <c r="N300" s="6">
        <f>VLOOKUP(A300,'[1]俄罗斯交易系统市值加权指数历史数据 (1)'!$A:$B,2,)</f>
        <v>799.1</v>
      </c>
      <c r="O300" s="3">
        <v>4548.72</v>
      </c>
      <c r="P300" s="1">
        <v>430.23</v>
      </c>
      <c r="Q300" s="3">
        <v>8772.44</v>
      </c>
      <c r="R300" s="1">
        <v>713.51</v>
      </c>
      <c r="S300" s="3">
        <v>9737.9</v>
      </c>
      <c r="T300" s="3">
        <v>6117.76</v>
      </c>
      <c r="U300" s="3">
        <v>3187.94</v>
      </c>
      <c r="V300" s="6">
        <f>VLOOKUP(A300,[2]韩国KOSPI指数历史数据!$A:$B,2,)</f>
        <v>1941.37</v>
      </c>
      <c r="W300" s="6">
        <f>VLOOKUP(A300,[3]日经225指数历史数据!$A:$B,2,)</f>
        <v>18264.22</v>
      </c>
      <c r="X300" s="3">
        <v>1593.67</v>
      </c>
      <c r="Y300" s="6">
        <f>VLOOKUP(A300,[4]上证指数历史数据!$A:$B,2,)</f>
        <v>3200.23</v>
      </c>
      <c r="Z300" s="6">
        <f>VLOOKUP(A300,[5]深证成份指数历史数据!$A:$B,2,)</f>
        <v>10463.69</v>
      </c>
      <c r="AA300" s="6">
        <f>VLOOKUP(A300,[6]台湾加权指数历史数据!$A:$B,2,)</f>
        <v>8305.82</v>
      </c>
      <c r="AB300" s="3">
        <v>21504.37</v>
      </c>
      <c r="AC300" s="3">
        <v>2888.03</v>
      </c>
      <c r="AD300">
        <v>7789.3</v>
      </c>
      <c r="AE300" s="5">
        <f>VLOOKUP(A300,[7]越南VN30指数历史数据!$A:$B,2,)</f>
        <v>583.27</v>
      </c>
      <c r="AF300">
        <v>43450.42</v>
      </c>
      <c r="AG300" s="9">
        <v>9217.4500000000007</v>
      </c>
      <c r="AH300">
        <v>9301.77</v>
      </c>
      <c r="AI300">
        <v>1333.48</v>
      </c>
      <c r="AJ300">
        <v>2524.39</v>
      </c>
    </row>
    <row r="301" spans="1:36" x14ac:dyDescent="0.3">
      <c r="A301" s="2">
        <v>42260</v>
      </c>
      <c r="B301" s="3">
        <v>10555.28</v>
      </c>
      <c r="C301" s="4">
        <v>47264</v>
      </c>
      <c r="D301" s="3">
        <v>5170.5</v>
      </c>
      <c r="E301" s="3">
        <v>16384.580000000002</v>
      </c>
      <c r="F301" s="3">
        <v>13646.9</v>
      </c>
      <c r="G301" s="3">
        <v>1163.3499999999999</v>
      </c>
      <c r="H301" s="3">
        <v>1958.03</v>
      </c>
      <c r="I301" s="3">
        <v>4827.2299999999996</v>
      </c>
      <c r="J301" s="3">
        <v>43565.05</v>
      </c>
      <c r="K301" s="3">
        <v>18538.509999999998</v>
      </c>
      <c r="L301" s="3">
        <v>2168.19</v>
      </c>
      <c r="M301" s="3">
        <v>9916.16</v>
      </c>
      <c r="N301" s="6">
        <f>VLOOKUP(A301,'[1]俄罗斯交易系统市值加权指数历史数据 (1)'!$A:$B,2,)</f>
        <v>816.56</v>
      </c>
      <c r="O301" s="3">
        <v>4535.8500000000004</v>
      </c>
      <c r="P301" s="1">
        <v>427.32</v>
      </c>
      <c r="Q301" s="3">
        <v>8739.2199999999993</v>
      </c>
      <c r="R301" s="1">
        <v>750.99</v>
      </c>
      <c r="S301" s="3">
        <v>9847.2000000000007</v>
      </c>
      <c r="T301" s="3">
        <v>6104.11</v>
      </c>
      <c r="U301" s="3">
        <v>3157.3</v>
      </c>
      <c r="V301" s="6">
        <f>VLOOKUP(A301,[2]韩国KOSPI指数历史数据!$A:$B,2,)</f>
        <v>1995.95</v>
      </c>
      <c r="W301" s="6">
        <f>VLOOKUP(A301,[3]日经225指数历史数据!$A:$B,2,)</f>
        <v>18070.21</v>
      </c>
      <c r="X301" s="3">
        <v>1594.83</v>
      </c>
      <c r="Y301" s="6">
        <f>VLOOKUP(A301,[4]上证指数历史数据!$A:$B,2,)</f>
        <v>3097.92</v>
      </c>
      <c r="Z301" s="6">
        <f>VLOOKUP(A301,[5]深证成份指数历史数据!$A:$B,2,)</f>
        <v>9850.77</v>
      </c>
      <c r="AA301" s="6">
        <f>VLOOKUP(A301,[6]台湾加权指数历史数据!$A:$B,2,)</f>
        <v>8462.14</v>
      </c>
      <c r="AB301" s="3">
        <v>21920.83</v>
      </c>
      <c r="AC301" s="3">
        <v>2879.59</v>
      </c>
      <c r="AD301">
        <v>7981.9</v>
      </c>
      <c r="AE301" s="5">
        <f>VLOOKUP(A301,[7]越南VN30指数历史数据!$A:$B,2,)</f>
        <v>582.73</v>
      </c>
      <c r="AF301">
        <v>45616.07</v>
      </c>
      <c r="AG301" s="9">
        <v>9483.9599999999991</v>
      </c>
      <c r="AH301">
        <v>9063.19</v>
      </c>
      <c r="AI301">
        <v>1380.98</v>
      </c>
      <c r="AJ301">
        <v>2569.38</v>
      </c>
    </row>
    <row r="302" spans="1:36" x14ac:dyDescent="0.3">
      <c r="A302" s="2">
        <v>42267</v>
      </c>
      <c r="B302" s="3">
        <v>9799.31</v>
      </c>
      <c r="C302" s="4">
        <v>44831</v>
      </c>
      <c r="D302" s="3">
        <v>5042.1000000000004</v>
      </c>
      <c r="E302" s="3">
        <v>16314.67</v>
      </c>
      <c r="F302" s="3">
        <v>13378.57</v>
      </c>
      <c r="G302" s="3">
        <v>1122.79</v>
      </c>
      <c r="H302" s="3">
        <v>1931.34</v>
      </c>
      <c r="I302" s="3">
        <v>4686.5</v>
      </c>
      <c r="J302" s="3">
        <v>42435.23</v>
      </c>
      <c r="K302" s="3">
        <v>18211.02</v>
      </c>
      <c r="L302" s="3">
        <v>2091.73</v>
      </c>
      <c r="M302" s="3">
        <v>9688.5300000000007</v>
      </c>
      <c r="N302" s="6">
        <f>VLOOKUP(A302,'[1]俄罗斯交易系统市值加权指数历史数据 (1)'!$A:$B,2,)</f>
        <v>788.55</v>
      </c>
      <c r="O302" s="3">
        <v>4480.66</v>
      </c>
      <c r="P302" s="1">
        <v>422.8</v>
      </c>
      <c r="Q302" s="3">
        <v>8505.94</v>
      </c>
      <c r="R302" s="1">
        <v>746.1</v>
      </c>
      <c r="S302" s="3">
        <v>9519.5</v>
      </c>
      <c r="T302" s="3">
        <v>6109.01</v>
      </c>
      <c r="U302" s="3">
        <v>3113.16</v>
      </c>
      <c r="V302" s="6">
        <f>VLOOKUP(A302,[2]韩国KOSPI指数历史数据!$A:$B,2,)</f>
        <v>1942.85</v>
      </c>
      <c r="W302" s="6">
        <f>VLOOKUP(A302,[3]日经225指数历史数据!$A:$B,2,)</f>
        <v>17880.509999999998</v>
      </c>
      <c r="X302" s="3">
        <v>1524.08</v>
      </c>
      <c r="Y302" s="6">
        <f>VLOOKUP(A302,[4]上证指数历史数据!$A:$B,2,)</f>
        <v>3092.35</v>
      </c>
      <c r="Z302" s="6">
        <f>VLOOKUP(A302,[5]深证成份指数历史数据!$A:$B,2,)</f>
        <v>9904.76</v>
      </c>
      <c r="AA302" s="6">
        <f>VLOOKUP(A302,[6]台湾加权指数历史数据!$A:$B,2,)</f>
        <v>8132.35</v>
      </c>
      <c r="AB302" s="3">
        <v>21186.32</v>
      </c>
      <c r="AC302" s="3">
        <v>2832.64</v>
      </c>
      <c r="AD302">
        <v>7868.5</v>
      </c>
      <c r="AE302" s="5">
        <f>VLOOKUP(A302,[7]越南VN30指数历史数据!$A:$B,2,)</f>
        <v>588.11</v>
      </c>
      <c r="AF302">
        <v>44963.24</v>
      </c>
      <c r="AG302" s="9">
        <v>9541.74</v>
      </c>
      <c r="AH302">
        <v>9219.1299999999992</v>
      </c>
      <c r="AI302">
        <v>1385.14</v>
      </c>
      <c r="AJ302">
        <v>2530.38</v>
      </c>
    </row>
    <row r="303" spans="1:36" x14ac:dyDescent="0.3">
      <c r="A303" s="2">
        <v>42274</v>
      </c>
      <c r="B303" s="3">
        <v>10189.5</v>
      </c>
      <c r="C303" s="4">
        <v>47033</v>
      </c>
      <c r="D303" s="3">
        <v>5052</v>
      </c>
      <c r="E303" s="3">
        <v>16472.37</v>
      </c>
      <c r="F303" s="3">
        <v>13339.74</v>
      </c>
      <c r="G303" s="3">
        <v>1114.1199999999999</v>
      </c>
      <c r="H303" s="3">
        <v>1951.36</v>
      </c>
      <c r="I303" s="3">
        <v>4707.7700000000004</v>
      </c>
      <c r="J303" s="3">
        <v>42735.15</v>
      </c>
      <c r="K303" s="3">
        <v>18077.66</v>
      </c>
      <c r="L303" s="3">
        <v>2036.32</v>
      </c>
      <c r="M303" s="3">
        <v>9553.07</v>
      </c>
      <c r="N303" s="6">
        <f>VLOOKUP(A303,'[1]俄罗斯交易系统市值加权指数历史数据 (1)'!$A:$B,2,)</f>
        <v>764.93</v>
      </c>
      <c r="O303" s="3">
        <v>4458.88</v>
      </c>
      <c r="P303" s="1">
        <v>422.58</v>
      </c>
      <c r="Q303" s="3">
        <v>8515.52</v>
      </c>
      <c r="R303" s="1">
        <v>743.97</v>
      </c>
      <c r="S303" s="3">
        <v>9603.6</v>
      </c>
      <c r="T303" s="3">
        <v>6129.98</v>
      </c>
      <c r="U303" s="3">
        <v>3088.18</v>
      </c>
      <c r="V303" s="6">
        <f>VLOOKUP(A303,[2]韩国KOSPI指数历史数据!$A:$B,2,)</f>
        <v>1969.68</v>
      </c>
      <c r="W303" s="6">
        <f>VLOOKUP(A303,[3]日经225指数历史数据!$A:$B,2,)</f>
        <v>17725.13</v>
      </c>
      <c r="X303" s="3">
        <v>1488.54</v>
      </c>
      <c r="Y303" s="6">
        <f>VLOOKUP(A303,[4]上证指数历史数据!$A:$B,2,)</f>
        <v>3052.78</v>
      </c>
      <c r="Z303" s="6">
        <f>VLOOKUP(A303,[5]深证成份指数历史数据!$A:$B,2,)</f>
        <v>9988.25</v>
      </c>
      <c r="AA303" s="6">
        <f>VLOOKUP(A303,[6]台湾加权指数历史数据!$A:$B,2,)</f>
        <v>8305.0300000000007</v>
      </c>
      <c r="AB303" s="3">
        <v>21506.09</v>
      </c>
      <c r="AC303" s="3">
        <v>2793.15</v>
      </c>
      <c r="AD303">
        <v>7950.9</v>
      </c>
      <c r="AE303" s="5">
        <f>VLOOKUP(A303,[7]越南VN30指数历史数据!$A:$B,2,)</f>
        <v>580.74</v>
      </c>
      <c r="AF303">
        <v>45668.35</v>
      </c>
      <c r="AG303" s="9">
        <v>9475.94</v>
      </c>
      <c r="AH303">
        <v>9117.5</v>
      </c>
      <c r="AI303">
        <v>1388.83</v>
      </c>
      <c r="AJ303">
        <v>2487.5700000000002</v>
      </c>
    </row>
    <row r="304" spans="1:36" x14ac:dyDescent="0.3">
      <c r="A304" s="2">
        <v>42281</v>
      </c>
      <c r="B304" s="3">
        <v>11166.37</v>
      </c>
      <c r="C304" s="4">
        <v>49338</v>
      </c>
      <c r="D304" s="3">
        <v>5279.7</v>
      </c>
      <c r="E304" s="3">
        <v>17084.490000000002</v>
      </c>
      <c r="F304" s="3">
        <v>13964.36</v>
      </c>
      <c r="G304" s="3">
        <v>1165.3599999999999</v>
      </c>
      <c r="H304" s="3">
        <v>2014.89</v>
      </c>
      <c r="I304" s="3">
        <v>4830.47</v>
      </c>
      <c r="J304" s="3">
        <v>44375.62</v>
      </c>
      <c r="K304" s="3">
        <v>18714.349999999999</v>
      </c>
      <c r="L304" s="3">
        <v>2143.2800000000002</v>
      </c>
      <c r="M304" s="3">
        <v>10096.6</v>
      </c>
      <c r="N304" s="6">
        <f>VLOOKUP(A304,'[1]俄罗斯交易系统市值加权指数历史数据 (1)'!$A:$B,2,)</f>
        <v>885.96</v>
      </c>
      <c r="O304" s="3">
        <v>4701.3900000000003</v>
      </c>
      <c r="P304" s="1">
        <v>441.65</v>
      </c>
      <c r="Q304" s="3">
        <v>8680.2099999999991</v>
      </c>
      <c r="R304" s="1">
        <v>792.15</v>
      </c>
      <c r="S304" s="3">
        <v>10309.6</v>
      </c>
      <c r="T304" s="3">
        <v>6416.16</v>
      </c>
      <c r="U304" s="3">
        <v>3250.31</v>
      </c>
      <c r="V304" s="6">
        <f>VLOOKUP(A304,[2]韩国KOSPI指数历史数据!$A:$B,2,)</f>
        <v>2019.53</v>
      </c>
      <c r="W304" s="6">
        <f>VLOOKUP(A304,[3]日经225指数历史数据!$A:$B,2,)</f>
        <v>18438.669999999998</v>
      </c>
      <c r="X304" s="3">
        <v>1519.72</v>
      </c>
      <c r="Y304" s="6">
        <f>VLOOKUP(A304,[4]上证指数历史数据!$A:$B,2,)</f>
        <v>3183.15</v>
      </c>
      <c r="Z304" s="6">
        <f>VLOOKUP(A304,[5]深证成份指数历史数据!$A:$B,2,)</f>
        <v>10540.19</v>
      </c>
      <c r="AA304" s="6">
        <f>VLOOKUP(A304,[6]台湾加权指数历史数据!$A:$B,2,)</f>
        <v>8445.9599999999991</v>
      </c>
      <c r="AB304" s="3">
        <v>22458.799999999999</v>
      </c>
      <c r="AC304" s="3">
        <v>2998.5</v>
      </c>
      <c r="AD304">
        <v>8189.7</v>
      </c>
      <c r="AE304" s="5">
        <f>VLOOKUP(A304,[7]越南VN30指数历史数据!$A:$B,2,)</f>
        <v>605.6</v>
      </c>
      <c r="AF304">
        <v>47809.88</v>
      </c>
      <c r="AG304" s="9">
        <v>9686.0499999999993</v>
      </c>
      <c r="AH304">
        <v>9020.26</v>
      </c>
      <c r="AI304">
        <v>1368.81</v>
      </c>
      <c r="AJ304">
        <v>2409.71</v>
      </c>
    </row>
    <row r="305" spans="1:36" x14ac:dyDescent="0.3">
      <c r="A305" s="2">
        <v>42288</v>
      </c>
      <c r="B305" s="3">
        <v>11177.05</v>
      </c>
      <c r="C305" s="4">
        <v>47236</v>
      </c>
      <c r="D305" s="3">
        <v>5268.2</v>
      </c>
      <c r="E305" s="3">
        <v>17215.97</v>
      </c>
      <c r="F305" s="3">
        <v>13838.1</v>
      </c>
      <c r="G305" s="3">
        <v>1162.31</v>
      </c>
      <c r="H305" s="3">
        <v>2033.11</v>
      </c>
      <c r="I305" s="3">
        <v>4886.6899999999996</v>
      </c>
      <c r="J305" s="3">
        <v>44364.160000000003</v>
      </c>
      <c r="K305" s="3">
        <v>18623.28</v>
      </c>
      <c r="L305" s="3">
        <v>2121.94</v>
      </c>
      <c r="M305" s="3">
        <v>10104.43</v>
      </c>
      <c r="N305" s="6">
        <f>VLOOKUP(A305,'[1]俄罗斯交易系统市值加权指数历史数据 (1)'!$A:$B,2,)</f>
        <v>881.19</v>
      </c>
      <c r="O305" s="3">
        <v>4702.79</v>
      </c>
      <c r="P305" s="1">
        <v>447.86</v>
      </c>
      <c r="Q305" s="3">
        <v>8715.73</v>
      </c>
      <c r="R305" s="1">
        <v>784.84</v>
      </c>
      <c r="S305" s="3">
        <v>10231.5</v>
      </c>
      <c r="T305" s="3">
        <v>6378.04</v>
      </c>
      <c r="U305" s="3">
        <v>3264.93</v>
      </c>
      <c r="V305" s="6">
        <f>VLOOKUP(A305,[2]韩国KOSPI指数历史数据!$A:$B,2,)</f>
        <v>2030.26</v>
      </c>
      <c r="W305" s="6">
        <f>VLOOKUP(A305,[3]日经225指数历史数据!$A:$B,2,)</f>
        <v>18291.8</v>
      </c>
      <c r="X305" s="3">
        <v>1527.07</v>
      </c>
      <c r="Y305" s="6">
        <f>VLOOKUP(A305,[4]上证指数历史数据!$A:$B,2,)</f>
        <v>3391.35</v>
      </c>
      <c r="Z305" s="6">
        <f>VLOOKUP(A305,[5]深证成份指数历史数据!$A:$B,2,)</f>
        <v>11374.83</v>
      </c>
      <c r="AA305" s="6">
        <f>VLOOKUP(A305,[6]台湾加权指数历史数据!$A:$B,2,)</f>
        <v>8604.9500000000007</v>
      </c>
      <c r="AB305" s="3">
        <v>23067.37</v>
      </c>
      <c r="AC305" s="3">
        <v>3030.61</v>
      </c>
      <c r="AD305">
        <v>8238.15</v>
      </c>
      <c r="AE305" s="5">
        <f>VLOOKUP(A305,[7]越南VN30指数历史数据!$A:$B,2,)</f>
        <v>609.73</v>
      </c>
      <c r="AF305">
        <v>47459.95</v>
      </c>
      <c r="AG305" s="9">
        <v>9860.34</v>
      </c>
      <c r="AH305">
        <v>9007.41</v>
      </c>
      <c r="AI305">
        <v>1356.5</v>
      </c>
      <c r="AJ305">
        <v>2403.58</v>
      </c>
    </row>
    <row r="306" spans="1:36" x14ac:dyDescent="0.3">
      <c r="A306" s="2">
        <v>42295</v>
      </c>
      <c r="B306" s="3">
        <v>11329.28</v>
      </c>
      <c r="C306" s="4">
        <v>47597</v>
      </c>
      <c r="D306" s="3">
        <v>5351.6</v>
      </c>
      <c r="E306" s="3">
        <v>17646.7</v>
      </c>
      <c r="F306" s="3">
        <v>13953.66</v>
      </c>
      <c r="G306" s="3">
        <v>1166.06</v>
      </c>
      <c r="H306" s="3">
        <v>2075.15</v>
      </c>
      <c r="I306" s="3">
        <v>5031.8599999999997</v>
      </c>
      <c r="J306" s="3">
        <v>45010.239999999998</v>
      </c>
      <c r="K306" s="3">
        <v>19064.240000000002</v>
      </c>
      <c r="L306" s="3">
        <v>2107.4299999999998</v>
      </c>
      <c r="M306" s="3">
        <v>10794.54</v>
      </c>
      <c r="N306" s="6">
        <f>VLOOKUP(A306,'[1]俄罗斯交易系统市值加权指数历史数据 (1)'!$A:$B,2,)</f>
        <v>872.86</v>
      </c>
      <c r="O306" s="3">
        <v>4923.6400000000003</v>
      </c>
      <c r="P306" s="1">
        <v>465.05</v>
      </c>
      <c r="Q306" s="3">
        <v>8910.52</v>
      </c>
      <c r="R306" s="1">
        <v>801.25</v>
      </c>
      <c r="S306" s="3">
        <v>10476.299999999999</v>
      </c>
      <c r="T306" s="3">
        <v>6444.08</v>
      </c>
      <c r="U306" s="3">
        <v>3425.81</v>
      </c>
      <c r="V306" s="6">
        <f>VLOOKUP(A306,[2]韩国KOSPI指数历史数据!$A:$B,2,)</f>
        <v>2040.4</v>
      </c>
      <c r="W306" s="6">
        <f>VLOOKUP(A306,[3]日经225指数历史数据!$A:$B,2,)</f>
        <v>18825.3</v>
      </c>
      <c r="X306" s="3">
        <v>1545.29</v>
      </c>
      <c r="Y306" s="6">
        <f>VLOOKUP(A306,[4]上证指数历史数据!$A:$B,2,)</f>
        <v>3412.43</v>
      </c>
      <c r="Z306" s="6">
        <f>VLOOKUP(A306,[5]深证成份指数历史数据!$A:$B,2,)</f>
        <v>11603.46</v>
      </c>
      <c r="AA306" s="6">
        <f>VLOOKUP(A306,[6]台湾加权指数历史数据!$A:$B,2,)</f>
        <v>8673.81</v>
      </c>
      <c r="AB306" s="3">
        <v>23151.94</v>
      </c>
      <c r="AC306" s="3">
        <v>3068.46</v>
      </c>
      <c r="AD306">
        <v>8295.4500000000007</v>
      </c>
      <c r="AE306" s="5">
        <f>VLOOKUP(A306,[7]越南VN30指数历史数据!$A:$B,2,)</f>
        <v>616.07000000000005</v>
      </c>
      <c r="AF306">
        <v>48799.45</v>
      </c>
      <c r="AG306" s="9">
        <v>9941.9699999999993</v>
      </c>
      <c r="AH306">
        <v>9005.9</v>
      </c>
      <c r="AI306">
        <v>1364.84</v>
      </c>
      <c r="AJ306">
        <v>2401.08</v>
      </c>
    </row>
    <row r="307" spans="1:36" x14ac:dyDescent="0.3">
      <c r="A307" s="2">
        <v>42302</v>
      </c>
      <c r="B307" s="3">
        <v>12461.25</v>
      </c>
      <c r="C307" s="4">
        <v>45869</v>
      </c>
      <c r="D307" s="3">
        <v>5239.3999999999996</v>
      </c>
      <c r="E307" s="3">
        <v>17663.54</v>
      </c>
      <c r="F307" s="3">
        <v>13529.17</v>
      </c>
      <c r="G307" s="3">
        <v>1161.8599999999999</v>
      </c>
      <c r="H307" s="3">
        <v>2079.36</v>
      </c>
      <c r="I307" s="3">
        <v>5053.75</v>
      </c>
      <c r="J307" s="3">
        <v>44542.76</v>
      </c>
      <c r="K307" s="3">
        <v>18811.3</v>
      </c>
      <c r="L307" s="3">
        <v>2060.0300000000002</v>
      </c>
      <c r="M307" s="3">
        <v>10850.14</v>
      </c>
      <c r="N307" s="6">
        <f>VLOOKUP(A307,'[1]俄罗斯交易系统市值加权指数历史数据 (1)'!$A:$B,2,)</f>
        <v>845.54</v>
      </c>
      <c r="O307" s="3">
        <v>4897.66</v>
      </c>
      <c r="P307" s="1">
        <v>462.12</v>
      </c>
      <c r="Q307" s="3">
        <v>8938.65</v>
      </c>
      <c r="R307" s="1">
        <v>794.09</v>
      </c>
      <c r="S307" s="3">
        <v>10360.700000000001</v>
      </c>
      <c r="T307" s="3">
        <v>6361.09</v>
      </c>
      <c r="U307" s="3">
        <v>3418.23</v>
      </c>
      <c r="V307" s="6">
        <f>VLOOKUP(A307,[2]韩国KOSPI指数历史数据!$A:$B,2,)</f>
        <v>2029.47</v>
      </c>
      <c r="W307" s="6">
        <f>VLOOKUP(A307,[3]日经225指数历史数据!$A:$B,2,)</f>
        <v>19083.099999999999</v>
      </c>
      <c r="X307" s="3">
        <v>1573.54</v>
      </c>
      <c r="Y307" s="6">
        <f>VLOOKUP(A307,[4]上证指数历史数据!$A:$B,2,)</f>
        <v>3382.56</v>
      </c>
      <c r="Z307" s="6">
        <f>VLOOKUP(A307,[5]深证成份指数历史数据!$A:$B,2,)</f>
        <v>11546.05</v>
      </c>
      <c r="AA307" s="6">
        <f>VLOOKUP(A307,[6]台湾加权指数历史数据!$A:$B,2,)</f>
        <v>8554.31</v>
      </c>
      <c r="AB307" s="3">
        <v>22640.04</v>
      </c>
      <c r="AC307" s="3">
        <v>2998.35</v>
      </c>
      <c r="AD307">
        <v>8065.8</v>
      </c>
      <c r="AE307" s="5">
        <f>VLOOKUP(A307,[7]越南VN30指数历史数据!$A:$B,2,)</f>
        <v>619.21</v>
      </c>
      <c r="AF307">
        <v>48317.45</v>
      </c>
      <c r="AG307" s="9">
        <v>9823.39</v>
      </c>
      <c r="AH307">
        <v>9081.7999999999993</v>
      </c>
      <c r="AI307">
        <v>1320.52</v>
      </c>
      <c r="AJ307">
        <v>2394.5</v>
      </c>
    </row>
    <row r="308" spans="1:36" x14ac:dyDescent="0.3">
      <c r="A308" s="2">
        <v>42309</v>
      </c>
      <c r="B308" s="3">
        <v>12899.46</v>
      </c>
      <c r="C308" s="4">
        <v>46919</v>
      </c>
      <c r="D308" s="3">
        <v>5215</v>
      </c>
      <c r="E308" s="3">
        <v>17910.330000000002</v>
      </c>
      <c r="F308" s="3">
        <v>13553.3</v>
      </c>
      <c r="G308" s="3">
        <v>1199.75</v>
      </c>
      <c r="H308" s="3">
        <v>2099.1999999999998</v>
      </c>
      <c r="I308" s="3">
        <v>5147.12</v>
      </c>
      <c r="J308" s="3">
        <v>45243.85</v>
      </c>
      <c r="K308" s="3">
        <v>18895.080000000002</v>
      </c>
      <c r="L308" s="3">
        <v>2019.78</v>
      </c>
      <c r="M308" s="3">
        <v>10988.03</v>
      </c>
      <c r="N308" s="6">
        <f>VLOOKUP(A308,'[1]俄罗斯交易系统市值加权指数历史数据 (1)'!$A:$B,2,)</f>
        <v>854.34</v>
      </c>
      <c r="O308" s="3">
        <v>4984.1499999999996</v>
      </c>
      <c r="P308" s="1">
        <v>469.83</v>
      </c>
      <c r="Q308" s="3">
        <v>8970.27</v>
      </c>
      <c r="R308" s="1">
        <v>819.3</v>
      </c>
      <c r="S308" s="3">
        <v>10453.200000000001</v>
      </c>
      <c r="T308" s="3">
        <v>6353.83</v>
      </c>
      <c r="U308" s="3">
        <v>3468.21</v>
      </c>
      <c r="V308" s="6">
        <f>VLOOKUP(A308,[2]韩国KOSPI指数历史数据!$A:$B,2,)</f>
        <v>2041.07</v>
      </c>
      <c r="W308" s="6">
        <f>VLOOKUP(A308,[3]日经225指数历史数据!$A:$B,2,)</f>
        <v>19265.599999999999</v>
      </c>
      <c r="X308" s="3">
        <v>1581.79</v>
      </c>
      <c r="Y308" s="6">
        <f>VLOOKUP(A308,[4]上证指数历史数据!$A:$B,2,)</f>
        <v>3590.03</v>
      </c>
      <c r="Z308" s="6">
        <f>VLOOKUP(A308,[5]深证成份指数历史数据!$A:$B,2,)</f>
        <v>12273.35</v>
      </c>
      <c r="AA308" s="6">
        <f>VLOOKUP(A308,[6]台湾加权指数历史数据!$A:$B,2,)</f>
        <v>8693.57</v>
      </c>
      <c r="AB308" s="3">
        <v>22867.33</v>
      </c>
      <c r="AC308" s="3">
        <v>3010.47</v>
      </c>
      <c r="AD308">
        <v>7954.3</v>
      </c>
      <c r="AE308" s="5">
        <f>VLOOKUP(A308,[7]越南VN30指数历史数据!$A:$B,2,)</f>
        <v>622.66999999999996</v>
      </c>
      <c r="AF308">
        <v>47540.77</v>
      </c>
      <c r="AG308" s="9">
        <v>9843.11</v>
      </c>
      <c r="AH308">
        <v>9172.84</v>
      </c>
      <c r="AI308">
        <v>1322.35</v>
      </c>
      <c r="AJ308">
        <v>2413.9699999999998</v>
      </c>
    </row>
    <row r="309" spans="1:36" x14ac:dyDescent="0.3">
      <c r="A309" s="2">
        <v>42316</v>
      </c>
      <c r="B309" s="3">
        <v>13182.72</v>
      </c>
      <c r="C309" s="4">
        <v>46517</v>
      </c>
      <c r="D309" s="3">
        <v>5051.3</v>
      </c>
      <c r="E309" s="3">
        <v>17245.240000000002</v>
      </c>
      <c r="F309" s="3">
        <v>13075.42</v>
      </c>
      <c r="G309" s="3">
        <v>1146.55</v>
      </c>
      <c r="H309" s="3">
        <v>2023.04</v>
      </c>
      <c r="I309" s="3">
        <v>4927.88</v>
      </c>
      <c r="J309" s="3">
        <v>43617.73</v>
      </c>
      <c r="K309" s="3">
        <v>18557.099999999999</v>
      </c>
      <c r="L309" s="3">
        <v>1978.87</v>
      </c>
      <c r="M309" s="3">
        <v>10708.4</v>
      </c>
      <c r="N309" s="6">
        <f>VLOOKUP(A309,'[1]俄罗斯交易系统市值加权指数历史数据 (1)'!$A:$B,2,)</f>
        <v>814.93</v>
      </c>
      <c r="O309" s="3">
        <v>4807.95</v>
      </c>
      <c r="P309" s="1">
        <v>453.55</v>
      </c>
      <c r="Q309" s="3">
        <v>8749.84</v>
      </c>
      <c r="R309" s="1">
        <v>818.79</v>
      </c>
      <c r="S309" s="3">
        <v>10111.4</v>
      </c>
      <c r="T309" s="3">
        <v>6118.28</v>
      </c>
      <c r="U309" s="3">
        <v>3360.65</v>
      </c>
      <c r="V309" s="6">
        <f>VLOOKUP(A309,[2]韩国KOSPI指数历史数据!$A:$B,2,)</f>
        <v>1973.29</v>
      </c>
      <c r="W309" s="6">
        <f>VLOOKUP(A309,[3]日经225指数历史数据!$A:$B,2,)</f>
        <v>19596.91</v>
      </c>
      <c r="X309" s="3">
        <v>1557.49</v>
      </c>
      <c r="Y309" s="6">
        <f>VLOOKUP(A309,[4]上证指数历史数据!$A:$B,2,)</f>
        <v>3580.84</v>
      </c>
      <c r="Z309" s="6">
        <f>VLOOKUP(A309,[5]深证成份指数历史数据!$A:$B,2,)</f>
        <v>12402.04</v>
      </c>
      <c r="AA309" s="6">
        <f>VLOOKUP(A309,[6]台湾加权指数历史数据!$A:$B,2,)</f>
        <v>8329.5</v>
      </c>
      <c r="AB309" s="3">
        <v>22396.14</v>
      </c>
      <c r="AC309" s="3">
        <v>2925.68</v>
      </c>
      <c r="AD309">
        <v>7762.25</v>
      </c>
      <c r="AE309" s="5">
        <f>VLOOKUP(A309,[7]越南VN30指数历史数据!$A:$B,2,)</f>
        <v>622.34</v>
      </c>
      <c r="AF309">
        <v>45979.37</v>
      </c>
      <c r="AG309" s="9">
        <v>8980.26</v>
      </c>
      <c r="AH309">
        <v>9261.07</v>
      </c>
      <c r="AI309">
        <v>1303.6400000000001</v>
      </c>
      <c r="AJ309">
        <v>2339.9899999999998</v>
      </c>
    </row>
    <row r="310" spans="1:36" x14ac:dyDescent="0.3">
      <c r="A310" s="2">
        <v>42323</v>
      </c>
      <c r="B310" s="3">
        <v>14173.87</v>
      </c>
      <c r="C310" s="4">
        <v>48139</v>
      </c>
      <c r="D310" s="3">
        <v>5256.1</v>
      </c>
      <c r="E310" s="3">
        <v>17823.810000000001</v>
      </c>
      <c r="F310" s="3">
        <v>13433.49</v>
      </c>
      <c r="G310" s="3">
        <v>1175.1500000000001</v>
      </c>
      <c r="H310" s="3">
        <v>2089.17</v>
      </c>
      <c r="I310" s="3">
        <v>5104.92</v>
      </c>
      <c r="J310" s="3">
        <v>44895.02</v>
      </c>
      <c r="K310" s="3">
        <v>18842.27</v>
      </c>
      <c r="L310" s="3">
        <v>2021.99</v>
      </c>
      <c r="M310" s="3">
        <v>11119.83</v>
      </c>
      <c r="N310" s="6">
        <f>VLOOKUP(A310,'[1]俄罗斯交易系统市值加权指数历史数据 (1)'!$A:$B,2,)</f>
        <v>888.36</v>
      </c>
      <c r="O310" s="3">
        <v>4910.97</v>
      </c>
      <c r="P310" s="1">
        <v>468.69</v>
      </c>
      <c r="Q310" s="3">
        <v>9015.83</v>
      </c>
      <c r="R310" s="1">
        <v>806.82</v>
      </c>
      <c r="S310" s="3">
        <v>10290.299999999999</v>
      </c>
      <c r="T310" s="3">
        <v>6334.63</v>
      </c>
      <c r="U310" s="3">
        <v>3452.45</v>
      </c>
      <c r="V310" s="6">
        <f>VLOOKUP(A310,[2]韩国KOSPI指数历史数据!$A:$B,2,)</f>
        <v>1989.86</v>
      </c>
      <c r="W310" s="6">
        <f>VLOOKUP(A310,[3]日经225指数历史数据!$A:$B,2,)</f>
        <v>19879.810000000001</v>
      </c>
      <c r="X310" s="3">
        <v>1573.66</v>
      </c>
      <c r="Y310" s="6">
        <f>VLOOKUP(A310,[4]上证指数历史数据!$A:$B,2,)</f>
        <v>3630.5</v>
      </c>
      <c r="Z310" s="6">
        <f>VLOOKUP(A310,[5]深证成份指数历史数据!$A:$B,2,)</f>
        <v>12702.03</v>
      </c>
      <c r="AA310" s="6">
        <f>VLOOKUP(A310,[6]台湾加权指数历史数据!$A:$B,2,)</f>
        <v>8465.4500000000007</v>
      </c>
      <c r="AB310" s="3">
        <v>22754.720000000001</v>
      </c>
      <c r="AC310" s="3">
        <v>2917.91</v>
      </c>
      <c r="AD310">
        <v>7856.55</v>
      </c>
      <c r="AE310" s="5">
        <f>VLOOKUP(A310,[7]越南VN30指数历史数据!$A:$B,2,)</f>
        <v>611.16</v>
      </c>
      <c r="AF310">
        <v>46963.11</v>
      </c>
      <c r="AG310" s="9">
        <v>8761.07</v>
      </c>
      <c r="AH310">
        <v>9193.0400000000009</v>
      </c>
      <c r="AI310">
        <v>1266.25</v>
      </c>
      <c r="AJ310">
        <v>2371.81</v>
      </c>
    </row>
    <row r="311" spans="1:36" x14ac:dyDescent="0.3">
      <c r="A311" s="2">
        <v>42330</v>
      </c>
      <c r="B311" s="3">
        <v>13165.4</v>
      </c>
      <c r="C311" s="4">
        <v>45873</v>
      </c>
      <c r="D311" s="3">
        <v>5202.6000000000004</v>
      </c>
      <c r="E311" s="3">
        <v>17798.490000000002</v>
      </c>
      <c r="F311" s="3">
        <v>13368.24</v>
      </c>
      <c r="G311" s="3">
        <v>1202.3800000000001</v>
      </c>
      <c r="H311" s="3">
        <v>2090.11</v>
      </c>
      <c r="I311" s="3">
        <v>5127.5200000000004</v>
      </c>
      <c r="J311" s="3">
        <v>44247.98</v>
      </c>
      <c r="K311" s="3">
        <v>18305.39</v>
      </c>
      <c r="L311" s="3">
        <v>1936.05</v>
      </c>
      <c r="M311" s="3">
        <v>11293.76</v>
      </c>
      <c r="N311" s="6">
        <f>VLOOKUP(A311,'[1]俄罗斯交易系统市值加权指数历史数据 (1)'!$A:$B,2,)</f>
        <v>856.3</v>
      </c>
      <c r="O311" s="3">
        <v>4930.1400000000003</v>
      </c>
      <c r="P311" s="1">
        <v>472.17</v>
      </c>
      <c r="Q311" s="3">
        <v>9002.9599999999991</v>
      </c>
      <c r="R311" s="1">
        <v>756.38</v>
      </c>
      <c r="S311" s="3">
        <v>10310.700000000001</v>
      </c>
      <c r="T311" s="3">
        <v>6375.15</v>
      </c>
      <c r="U311" s="3">
        <v>3488.99</v>
      </c>
      <c r="V311" s="6">
        <f>VLOOKUP(A311,[2]韩国KOSPI指数历史数据!$A:$B,2,)</f>
        <v>2028.99</v>
      </c>
      <c r="W311" s="6">
        <f>VLOOKUP(A311,[3]日经225指数历史数据!$A:$B,2,)</f>
        <v>19883.939999999999</v>
      </c>
      <c r="X311" s="3">
        <v>1561.49</v>
      </c>
      <c r="Y311" s="6">
        <f>VLOOKUP(A311,[4]上证指数历史数据!$A:$B,2,)</f>
        <v>3436.3</v>
      </c>
      <c r="Z311" s="6">
        <f>VLOOKUP(A311,[5]深证成份指数历史数据!$A:$B,2,)</f>
        <v>11961.7</v>
      </c>
      <c r="AA311" s="6">
        <f>VLOOKUP(A311,[6]台湾加权指数历史数据!$A:$B,2,)</f>
        <v>8398.4</v>
      </c>
      <c r="AB311" s="3">
        <v>22068.32</v>
      </c>
      <c r="AC311" s="3">
        <v>2859.12</v>
      </c>
      <c r="AD311">
        <v>7942.7</v>
      </c>
      <c r="AE311" s="5">
        <f>VLOOKUP(A311,[7]越南VN30指数历史数据!$A:$B,2,)</f>
        <v>590.59</v>
      </c>
      <c r="AF311">
        <v>46327.67</v>
      </c>
      <c r="AG311" s="9">
        <v>8556.2999999999993</v>
      </c>
      <c r="AH311">
        <v>9085.25</v>
      </c>
      <c r="AI311">
        <v>1241.78</v>
      </c>
      <c r="AJ311">
        <v>2369.3000000000002</v>
      </c>
    </row>
    <row r="312" spans="1:36" x14ac:dyDescent="0.3">
      <c r="A312" s="2">
        <v>42337</v>
      </c>
      <c r="B312" s="3">
        <v>13070.63</v>
      </c>
      <c r="C312" s="4">
        <v>45361</v>
      </c>
      <c r="D312" s="3">
        <v>5151.6000000000004</v>
      </c>
      <c r="E312" s="3">
        <v>17847.63</v>
      </c>
      <c r="F312" s="3">
        <v>13358.77</v>
      </c>
      <c r="G312" s="3">
        <v>1183.4000000000001</v>
      </c>
      <c r="H312" s="3">
        <v>2091.69</v>
      </c>
      <c r="I312" s="3">
        <v>5142.2700000000004</v>
      </c>
      <c r="J312" s="3">
        <v>42994.23</v>
      </c>
      <c r="K312" s="3">
        <v>17843.7</v>
      </c>
      <c r="L312" s="3">
        <v>1868.24</v>
      </c>
      <c r="M312" s="3">
        <v>10752.1</v>
      </c>
      <c r="N312" s="6">
        <f>VLOOKUP(A312,'[1]俄罗斯交易系统市值加权指数历史数据 (1)'!$A:$B,2,)</f>
        <v>811.72</v>
      </c>
      <c r="O312" s="3">
        <v>4714.79</v>
      </c>
      <c r="P312" s="1">
        <v>446.93</v>
      </c>
      <c r="Q312" s="3">
        <v>8802.89</v>
      </c>
      <c r="R312" s="1">
        <v>742.65</v>
      </c>
      <c r="S312" s="3">
        <v>10078.700000000001</v>
      </c>
      <c r="T312" s="3">
        <v>6238.29</v>
      </c>
      <c r="U312" s="3">
        <v>3330.75</v>
      </c>
      <c r="V312" s="6">
        <f>VLOOKUP(A312,[2]韩国KOSPI指数历史数据!$A:$B,2,)</f>
        <v>1974.4</v>
      </c>
      <c r="W312" s="6">
        <f>VLOOKUP(A312,[3]日经225指数历史数据!$A:$B,2,)</f>
        <v>19504.48</v>
      </c>
      <c r="X312" s="3">
        <v>1561.17</v>
      </c>
      <c r="Y312" s="6">
        <f>VLOOKUP(A312,[4]上证指数历史数据!$A:$B,2,)</f>
        <v>3524.99</v>
      </c>
      <c r="Z312" s="6">
        <f>VLOOKUP(A312,[5]深证成份指数历史数据!$A:$B,2,)</f>
        <v>12329.18</v>
      </c>
      <c r="AA312" s="6">
        <f>VLOOKUP(A312,[6]台湾加权指数历史数据!$A:$B,2,)</f>
        <v>8398.6</v>
      </c>
      <c r="AB312" s="3">
        <v>22235.89</v>
      </c>
      <c r="AC312" s="3">
        <v>2879.05</v>
      </c>
      <c r="AD312">
        <v>7781.9</v>
      </c>
      <c r="AE312" s="5">
        <f>VLOOKUP(A312,[7]越南VN30指数历史数据!$A:$B,2,)</f>
        <v>582.96</v>
      </c>
      <c r="AF312">
        <v>44347.44</v>
      </c>
      <c r="AG312" s="9">
        <v>8967.58</v>
      </c>
      <c r="AH312">
        <v>9069.5499999999993</v>
      </c>
      <c r="AI312">
        <v>1240.57</v>
      </c>
      <c r="AJ312">
        <v>2356.16</v>
      </c>
    </row>
    <row r="313" spans="1:36" x14ac:dyDescent="0.3">
      <c r="A313" s="2">
        <v>42344</v>
      </c>
      <c r="B313" s="3">
        <v>12779.23</v>
      </c>
      <c r="C313" s="4">
        <v>45263</v>
      </c>
      <c r="D313" s="3">
        <v>5029.5</v>
      </c>
      <c r="E313" s="3">
        <v>17265.21</v>
      </c>
      <c r="F313" s="3">
        <v>12789.95</v>
      </c>
      <c r="G313" s="3">
        <v>1123.6099999999999</v>
      </c>
      <c r="H313" s="3">
        <v>2012.37</v>
      </c>
      <c r="I313" s="3">
        <v>4933.47</v>
      </c>
      <c r="J313" s="3">
        <v>42000.63</v>
      </c>
      <c r="K313" s="3">
        <v>17493.78</v>
      </c>
      <c r="L313" s="3">
        <v>1757.37</v>
      </c>
      <c r="M313" s="3">
        <v>10340.06</v>
      </c>
      <c r="N313" s="6">
        <f>VLOOKUP(A313,'[1]俄罗斯交易系统市值加权指数历史数据 (1)'!$A:$B,2,)</f>
        <v>777.17</v>
      </c>
      <c r="O313" s="3">
        <v>4549.5600000000004</v>
      </c>
      <c r="P313" s="1">
        <v>429.1</v>
      </c>
      <c r="Q313" s="3">
        <v>8502.06</v>
      </c>
      <c r="R313" s="1">
        <v>702.8</v>
      </c>
      <c r="S313" s="3">
        <v>9630.7000000000007</v>
      </c>
      <c r="T313" s="3">
        <v>5952.78</v>
      </c>
      <c r="U313" s="3">
        <v>3203.21</v>
      </c>
      <c r="V313" s="6">
        <f>VLOOKUP(A313,[2]韩国KOSPI指数历史数据!$A:$B,2,)</f>
        <v>1948.62</v>
      </c>
      <c r="W313" s="6">
        <f>VLOOKUP(A313,[3]日经225指数历史数据!$A:$B,2,)</f>
        <v>19230.48</v>
      </c>
      <c r="X313" s="3">
        <v>1533.22</v>
      </c>
      <c r="Y313" s="6">
        <f>VLOOKUP(A313,[4]上证指数历史数据!$A:$B,2,)</f>
        <v>3434.58</v>
      </c>
      <c r="Z313" s="6">
        <f>VLOOKUP(A313,[5]深证成份指数历史数据!$A:$B,2,)</f>
        <v>12134.02</v>
      </c>
      <c r="AA313" s="6">
        <f>VLOOKUP(A313,[6]台湾加权指数历史数据!$A:$B,2,)</f>
        <v>8115.89</v>
      </c>
      <c r="AB313" s="3">
        <v>21464.05</v>
      </c>
      <c r="AC313" s="3">
        <v>2834.63</v>
      </c>
      <c r="AD313">
        <v>7610.45</v>
      </c>
      <c r="AE313" s="5">
        <f>VLOOKUP(A313,[7]越南VN30指数历史数据!$A:$B,2,)</f>
        <v>578.01</v>
      </c>
      <c r="AF313">
        <v>43558.35</v>
      </c>
      <c r="AG313" s="9">
        <v>8816.7199999999993</v>
      </c>
      <c r="AH313">
        <v>8856.2800000000007</v>
      </c>
      <c r="AI313">
        <v>1222.8800000000001</v>
      </c>
      <c r="AJ313">
        <v>2388.0700000000002</v>
      </c>
    </row>
    <row r="314" spans="1:36" x14ac:dyDescent="0.3">
      <c r="A314" s="2">
        <v>42351</v>
      </c>
      <c r="B314" s="3">
        <v>11404.56</v>
      </c>
      <c r="C314" s="4">
        <v>43911</v>
      </c>
      <c r="D314" s="3">
        <v>5106.7</v>
      </c>
      <c r="E314" s="3">
        <v>17128.55</v>
      </c>
      <c r="F314" s="3">
        <v>13024.3</v>
      </c>
      <c r="G314" s="3">
        <v>1121.02</v>
      </c>
      <c r="H314" s="3">
        <v>2005.55</v>
      </c>
      <c r="I314" s="3">
        <v>4923.08</v>
      </c>
      <c r="J314" s="3">
        <v>42936.63</v>
      </c>
      <c r="K314" s="3">
        <v>17897.21</v>
      </c>
      <c r="L314" s="3">
        <v>1858.87</v>
      </c>
      <c r="M314" s="3">
        <v>10608.19</v>
      </c>
      <c r="N314" s="6">
        <f>VLOOKUP(A314,'[1]俄罗斯交易系统市值加权指数历史数据 (1)'!$A:$B,2,)</f>
        <v>765.73</v>
      </c>
      <c r="O314" s="3">
        <v>4625.26</v>
      </c>
      <c r="P314" s="1">
        <v>434.15</v>
      </c>
      <c r="Q314" s="3">
        <v>8608.91</v>
      </c>
      <c r="R314" s="1">
        <v>724.6</v>
      </c>
      <c r="S314" s="3">
        <v>9717.1</v>
      </c>
      <c r="T314" s="3">
        <v>6052.42</v>
      </c>
      <c r="U314" s="3">
        <v>3260.72</v>
      </c>
      <c r="V314" s="6">
        <f>VLOOKUP(A314,[2]韩国KOSPI指数历史数据!$A:$B,2,)</f>
        <v>1975.32</v>
      </c>
      <c r="W314" s="6">
        <f>VLOOKUP(A314,[3]日经225指数历史数据!$A:$B,2,)</f>
        <v>18986.8</v>
      </c>
      <c r="X314" s="3">
        <v>1519.08</v>
      </c>
      <c r="Y314" s="6">
        <f>VLOOKUP(A314,[4]上证指数历史数据!$A:$B,2,)</f>
        <v>3578.96</v>
      </c>
      <c r="Z314" s="6">
        <f>VLOOKUP(A314,[5]深证成份指数历史数据!$A:$B,2,)</f>
        <v>12830.25</v>
      </c>
      <c r="AA314" s="6">
        <f>VLOOKUP(A314,[6]台湾加权指数历史数据!$A:$B,2,)</f>
        <v>8257.32</v>
      </c>
      <c r="AB314" s="3">
        <v>21755.56</v>
      </c>
      <c r="AC314" s="3">
        <v>2852.84</v>
      </c>
      <c r="AD314">
        <v>7761.95</v>
      </c>
      <c r="AE314" s="5">
        <f>VLOOKUP(A314,[7]越南VN30指数历史数据!$A:$B,2,)</f>
        <v>578.85</v>
      </c>
      <c r="AF314">
        <v>43978.57</v>
      </c>
      <c r="AG314" s="9">
        <v>8900.5400000000009</v>
      </c>
      <c r="AH314">
        <v>8860.92</v>
      </c>
      <c r="AI314">
        <v>1194.03</v>
      </c>
      <c r="AJ314">
        <v>2300.02</v>
      </c>
    </row>
    <row r="315" spans="1:36" x14ac:dyDescent="0.3">
      <c r="A315" s="2">
        <v>42358</v>
      </c>
      <c r="B315" s="3">
        <v>12040.85</v>
      </c>
      <c r="C315" s="4">
        <v>44015</v>
      </c>
      <c r="D315" s="3">
        <v>5207.6000000000004</v>
      </c>
      <c r="E315" s="3">
        <v>17552.169999999998</v>
      </c>
      <c r="F315" s="3">
        <v>13309.8</v>
      </c>
      <c r="G315" s="3">
        <v>1154.76</v>
      </c>
      <c r="H315" s="3">
        <v>2060.9899999999998</v>
      </c>
      <c r="I315" s="3">
        <v>5048.49</v>
      </c>
      <c r="J315" s="3">
        <v>43528.27</v>
      </c>
      <c r="K315" s="3">
        <v>18020.37</v>
      </c>
      <c r="L315" s="3">
        <v>1879.75</v>
      </c>
      <c r="M315" s="3">
        <v>10727.64</v>
      </c>
      <c r="N315" s="6">
        <f>VLOOKUP(A315,'[1]俄罗斯交易系统市值加权指数历史数据 (1)'!$A:$B,2,)</f>
        <v>772.94</v>
      </c>
      <c r="O315" s="3">
        <v>4663.18</v>
      </c>
      <c r="P315" s="1">
        <v>444.12</v>
      </c>
      <c r="Q315" s="3">
        <v>8705.74</v>
      </c>
      <c r="R315" s="1">
        <v>741.9</v>
      </c>
      <c r="S315" s="3">
        <v>9682.9</v>
      </c>
      <c r="T315" s="3">
        <v>6254.64</v>
      </c>
      <c r="U315" s="3">
        <v>3284.47</v>
      </c>
      <c r="V315" s="6">
        <f>VLOOKUP(A315,[2]韩国KOSPI指数历史数据!$A:$B,2,)</f>
        <v>1990.65</v>
      </c>
      <c r="W315" s="6">
        <f>VLOOKUP(A315,[3]日经225指数历史数据!$A:$B,2,)</f>
        <v>18769.060000000001</v>
      </c>
      <c r="X315" s="3">
        <v>1517.44</v>
      </c>
      <c r="Y315" s="6">
        <f>VLOOKUP(A315,[4]上证指数历史数据!$A:$B,2,)</f>
        <v>3627.91</v>
      </c>
      <c r="Z315" s="6">
        <f>VLOOKUP(A315,[5]深证成份指数历史数据!$A:$B,2,)</f>
        <v>12980.57</v>
      </c>
      <c r="AA315" s="6">
        <f>VLOOKUP(A315,[6]台湾加权指数历史数据!$A:$B,2,)</f>
        <v>8363.2800000000007</v>
      </c>
      <c r="AB315" s="3">
        <v>22138.13</v>
      </c>
      <c r="AC315" s="3">
        <v>2877.62</v>
      </c>
      <c r="AD315">
        <v>7861.05</v>
      </c>
      <c r="AE315" s="5">
        <f>VLOOKUP(A315,[7]越南VN30指数历史数据!$A:$B,2,)</f>
        <v>579.32000000000005</v>
      </c>
      <c r="AF315">
        <v>46355.040000000001</v>
      </c>
      <c r="AG315" s="9">
        <v>9072.1</v>
      </c>
      <c r="AH315">
        <v>8893.1</v>
      </c>
      <c r="AI315">
        <v>1209.07</v>
      </c>
      <c r="AJ315">
        <v>2373.21</v>
      </c>
    </row>
    <row r="316" spans="1:36" x14ac:dyDescent="0.3">
      <c r="A316" s="2">
        <v>42365</v>
      </c>
      <c r="B316" s="3">
        <v>11675.18</v>
      </c>
      <c r="C316" s="4">
        <v>43350</v>
      </c>
      <c r="D316" s="3">
        <v>5295.9</v>
      </c>
      <c r="E316" s="3">
        <v>17425.03</v>
      </c>
      <c r="F316" s="3">
        <v>13009.95</v>
      </c>
      <c r="G316" s="3">
        <v>1135.8900000000001</v>
      </c>
      <c r="H316" s="3">
        <v>2043.94</v>
      </c>
      <c r="I316" s="3">
        <v>5007.41</v>
      </c>
      <c r="J316" s="3">
        <v>42977.5</v>
      </c>
      <c r="K316" s="3">
        <v>18151.5</v>
      </c>
      <c r="L316" s="3">
        <v>1859.15</v>
      </c>
      <c r="M316" s="3">
        <v>10743.01</v>
      </c>
      <c r="N316" s="6">
        <f>VLOOKUP(A316,'[1]俄罗斯交易系统市值加权指数历史数据 (1)'!$A:$B,2,)</f>
        <v>757.04</v>
      </c>
      <c r="O316" s="3">
        <v>4637.0600000000004</v>
      </c>
      <c r="P316" s="1">
        <v>441.82</v>
      </c>
      <c r="Q316" s="3">
        <v>8818.09</v>
      </c>
      <c r="R316" s="1">
        <v>717.27</v>
      </c>
      <c r="S316" s="3">
        <v>9544.2000000000007</v>
      </c>
      <c r="T316" s="3">
        <v>6242.32</v>
      </c>
      <c r="U316" s="3">
        <v>3267.52</v>
      </c>
      <c r="V316" s="6">
        <f>VLOOKUP(A316,[2]韩国KOSPI指数历史数据!$A:$B,2,)</f>
        <v>1961.31</v>
      </c>
      <c r="W316" s="6">
        <f>VLOOKUP(A316,[3]日经225指数历史数据!$A:$B,2,)</f>
        <v>19033.71</v>
      </c>
      <c r="X316" s="3">
        <v>1528.74</v>
      </c>
      <c r="Y316" s="6">
        <f>VLOOKUP(A316,[4]上证指数历史数据!$A:$B,2,)</f>
        <v>3539.18</v>
      </c>
      <c r="Z316" s="6">
        <f>VLOOKUP(A316,[5]深证成份指数历史数据!$A:$B,2,)</f>
        <v>12664.89</v>
      </c>
      <c r="AA316" s="6">
        <f>VLOOKUP(A316,[6]台湾加权指数历史数据!$A:$B,2,)</f>
        <v>8338.06</v>
      </c>
      <c r="AB316" s="3">
        <v>21914.400000000001</v>
      </c>
      <c r="AC316" s="3">
        <v>2882.73</v>
      </c>
      <c r="AD316">
        <v>7963.2</v>
      </c>
      <c r="AE316" s="5">
        <f>VLOOKUP(A316,[7]越南VN30指数历史数据!$A:$B,2,)</f>
        <v>595.57000000000005</v>
      </c>
      <c r="AF316">
        <v>45797.3</v>
      </c>
      <c r="AG316" s="9">
        <v>9278.56</v>
      </c>
      <c r="AH316">
        <v>8925.7099999999991</v>
      </c>
      <c r="AI316">
        <v>1287.67</v>
      </c>
      <c r="AJ316">
        <v>2333.7600000000002</v>
      </c>
    </row>
    <row r="317" spans="1:36" x14ac:dyDescent="0.3">
      <c r="A317" s="2">
        <v>42372</v>
      </c>
      <c r="B317" s="3">
        <v>11305.52</v>
      </c>
      <c r="C317" s="4">
        <v>40612</v>
      </c>
      <c r="D317" s="3">
        <v>4990.8</v>
      </c>
      <c r="E317" s="3">
        <v>16346.45</v>
      </c>
      <c r="F317" s="3">
        <v>12445.45</v>
      </c>
      <c r="G317" s="3">
        <v>1046.2</v>
      </c>
      <c r="H317" s="3">
        <v>1922.03</v>
      </c>
      <c r="I317" s="3">
        <v>4643.63</v>
      </c>
      <c r="J317" s="3">
        <v>40265.370000000003</v>
      </c>
      <c r="K317" s="3">
        <v>17617.79</v>
      </c>
      <c r="L317" s="3">
        <v>1725.14</v>
      </c>
      <c r="M317" s="3">
        <v>9849.34</v>
      </c>
      <c r="N317" s="6">
        <f>VLOOKUP(A317,'[1]俄罗斯交易系统市值加权指数历史数据 (1)'!$A:$B,2,)</f>
        <v>736.82</v>
      </c>
      <c r="O317" s="3">
        <v>4333.76</v>
      </c>
      <c r="P317" s="1">
        <v>410.82</v>
      </c>
      <c r="Q317" s="3">
        <v>8257.2800000000007</v>
      </c>
      <c r="R317" s="1">
        <v>706.13</v>
      </c>
      <c r="S317" s="3">
        <v>8909.2000000000007</v>
      </c>
      <c r="T317" s="3">
        <v>5912.44</v>
      </c>
      <c r="U317" s="3">
        <v>3033.47</v>
      </c>
      <c r="V317" s="6">
        <f>VLOOKUP(A317,[2]韩国KOSPI指数历史数据!$A:$B,2,)</f>
        <v>1917.62</v>
      </c>
      <c r="W317" s="6">
        <f>VLOOKUP(A317,[3]日经225指数历史数据!$A:$B,2,)</f>
        <v>17697.96</v>
      </c>
      <c r="X317" s="3">
        <v>1493.97</v>
      </c>
      <c r="Y317" s="6">
        <f>VLOOKUP(A317,[4]上证指数历史数据!$A:$B,2,)</f>
        <v>3186.41</v>
      </c>
      <c r="Z317" s="6">
        <f>VLOOKUP(A317,[5]深证成份指数历史数据!$A:$B,2,)</f>
        <v>10888.91</v>
      </c>
      <c r="AA317" s="6">
        <f>VLOOKUP(A317,[6]台湾加权指数历史数据!$A:$B,2,)</f>
        <v>7893.97</v>
      </c>
      <c r="AB317" s="3">
        <v>20453.71</v>
      </c>
      <c r="AC317" s="3">
        <v>2751.23</v>
      </c>
      <c r="AD317">
        <v>7601.35</v>
      </c>
      <c r="AE317" s="5">
        <f>VLOOKUP(A317,[7]越南VN30指数历史数据!$A:$B,2,)</f>
        <v>575.96</v>
      </c>
      <c r="AF317">
        <v>43253.3</v>
      </c>
      <c r="AG317" s="9">
        <v>9135.83</v>
      </c>
      <c r="AH317">
        <v>8836.93</v>
      </c>
      <c r="AI317">
        <v>1208.3</v>
      </c>
      <c r="AJ317">
        <v>2397.3000000000002</v>
      </c>
    </row>
    <row r="318" spans="1:36" x14ac:dyDescent="0.3">
      <c r="A318" s="2">
        <v>42379</v>
      </c>
      <c r="B318" s="3">
        <v>10020.370000000001</v>
      </c>
      <c r="C318" s="4">
        <v>38569</v>
      </c>
      <c r="D318" s="3">
        <v>4892.8</v>
      </c>
      <c r="E318" s="3">
        <v>15988.08</v>
      </c>
      <c r="F318" s="3">
        <v>12073.46</v>
      </c>
      <c r="G318" s="3">
        <v>1007.72</v>
      </c>
      <c r="H318" s="3">
        <v>1880.33</v>
      </c>
      <c r="I318" s="3">
        <v>4488.42</v>
      </c>
      <c r="J318" s="3">
        <v>40847.699999999997</v>
      </c>
      <c r="K318" s="3">
        <v>17297.23</v>
      </c>
      <c r="L318" s="3">
        <v>1734.87</v>
      </c>
      <c r="M318" s="3">
        <v>9545.27</v>
      </c>
      <c r="N318" s="6">
        <f>VLOOKUP(A318,'[1]俄罗斯交易系统市值加权指数历史数据 (1)'!$A:$B,2,)</f>
        <v>652.98</v>
      </c>
      <c r="O318" s="3">
        <v>4210.16</v>
      </c>
      <c r="P318" s="1">
        <v>403.57</v>
      </c>
      <c r="Q318" s="3">
        <v>8107.13</v>
      </c>
      <c r="R318" s="1">
        <v>710.62</v>
      </c>
      <c r="S318" s="3">
        <v>8543.6</v>
      </c>
      <c r="T318" s="3">
        <v>5804.1</v>
      </c>
      <c r="U318" s="3">
        <v>2952.48</v>
      </c>
      <c r="V318" s="6">
        <f>VLOOKUP(A318,[2]韩国KOSPI指数历史数据!$A:$B,2,)</f>
        <v>1878.87</v>
      </c>
      <c r="W318" s="6">
        <f>VLOOKUP(A318,[3]日经225指数历史数据!$A:$B,2,)</f>
        <v>17147.11</v>
      </c>
      <c r="X318" s="3">
        <v>1454.4</v>
      </c>
      <c r="Y318" s="6">
        <f>VLOOKUP(A318,[4]上证指数历史数据!$A:$B,2,)</f>
        <v>2900.97</v>
      </c>
      <c r="Z318" s="6">
        <f>VLOOKUP(A318,[5]深证成份指数历史数据!$A:$B,2,)</f>
        <v>9997.92</v>
      </c>
      <c r="AA318" s="6">
        <f>VLOOKUP(A318,[6]台湾加权指数历史数据!$A:$B,2,)</f>
        <v>7762.01</v>
      </c>
      <c r="AB318" s="3">
        <v>19520.77</v>
      </c>
      <c r="AC318" s="3">
        <v>2630.76</v>
      </c>
      <c r="AD318">
        <v>7437.8</v>
      </c>
      <c r="AE318" s="5">
        <f>VLOOKUP(A318,[7]越南VN30指数历史数据!$A:$B,2,)</f>
        <v>555.76</v>
      </c>
      <c r="AF318">
        <v>42105</v>
      </c>
      <c r="AG318" s="9">
        <v>7781.01</v>
      </c>
      <c r="AH318">
        <v>8853.56</v>
      </c>
      <c r="AI318">
        <v>1044.9100000000001</v>
      </c>
      <c r="AJ318">
        <v>2300.7199999999998</v>
      </c>
    </row>
    <row r="319" spans="1:36" x14ac:dyDescent="0.3">
      <c r="A319" s="2">
        <v>42386</v>
      </c>
      <c r="B319" s="3">
        <v>10329.9</v>
      </c>
      <c r="C319" s="4">
        <v>38031</v>
      </c>
      <c r="D319" s="3">
        <v>4916</v>
      </c>
      <c r="E319" s="3">
        <v>16093.51</v>
      </c>
      <c r="F319" s="3">
        <v>12389.58</v>
      </c>
      <c r="G319" s="3">
        <v>1020.66</v>
      </c>
      <c r="H319" s="3">
        <v>1906.9</v>
      </c>
      <c r="I319" s="3">
        <v>4591.18</v>
      </c>
      <c r="J319" s="3">
        <v>41621.31</v>
      </c>
      <c r="K319" s="3">
        <v>17491.099999999999</v>
      </c>
      <c r="L319" s="3">
        <v>1727.22</v>
      </c>
      <c r="M319" s="3">
        <v>9764.8799999999992</v>
      </c>
      <c r="N319" s="6">
        <f>VLOOKUP(A319,'[1]俄罗斯交易系统市值加权指数历史数据 (1)'!$A:$B,2,)</f>
        <v>691.4</v>
      </c>
      <c r="O319" s="3">
        <v>4336.6899999999996</v>
      </c>
      <c r="P319" s="1">
        <v>419.28</v>
      </c>
      <c r="Q319" s="3">
        <v>8271.11</v>
      </c>
      <c r="R319" s="1">
        <v>702.44</v>
      </c>
      <c r="S319" s="3">
        <v>8722.9</v>
      </c>
      <c r="T319" s="3">
        <v>5900.01</v>
      </c>
      <c r="U319" s="3">
        <v>3023.21</v>
      </c>
      <c r="V319" s="6">
        <f>VLOOKUP(A319,[2]韩国KOSPI指数历史数据!$A:$B,2,)</f>
        <v>1879.43</v>
      </c>
      <c r="W319" s="6">
        <f>VLOOKUP(A319,[3]日经225指数历史数据!$A:$B,2,)</f>
        <v>16958.53</v>
      </c>
      <c r="X319" s="3">
        <v>1439.99</v>
      </c>
      <c r="Y319" s="6">
        <f>VLOOKUP(A319,[4]上证指数历史数据!$A:$B,2,)</f>
        <v>2916.56</v>
      </c>
      <c r="Z319" s="6">
        <f>VLOOKUP(A319,[5]深证成份指数历史数据!$A:$B,2,)</f>
        <v>10111.57</v>
      </c>
      <c r="AA319" s="6">
        <f>VLOOKUP(A319,[6]台湾加权指数历史数据!$A:$B,2,)</f>
        <v>7756.18</v>
      </c>
      <c r="AB319" s="3">
        <v>19080.509999999998</v>
      </c>
      <c r="AC319" s="3">
        <v>2577.09</v>
      </c>
      <c r="AD319">
        <v>7422.45</v>
      </c>
      <c r="AE319" s="5">
        <f>VLOOKUP(A319,[7]越南VN30指数历史数据!$A:$B,2,)</f>
        <v>539.37</v>
      </c>
      <c r="AF319">
        <v>42952.57</v>
      </c>
      <c r="AG319" s="9">
        <v>7627.2</v>
      </c>
      <c r="AH319">
        <v>8868.44</v>
      </c>
      <c r="AI319">
        <v>1070.3599999999999</v>
      </c>
      <c r="AJ319">
        <v>2251.08</v>
      </c>
    </row>
    <row r="320" spans="1:36" x14ac:dyDescent="0.3">
      <c r="A320" s="2">
        <v>42393</v>
      </c>
      <c r="B320" s="3">
        <v>11306.02</v>
      </c>
      <c r="C320" s="4">
        <v>40406</v>
      </c>
      <c r="D320" s="3">
        <v>5005.5</v>
      </c>
      <c r="E320" s="3">
        <v>16466.3</v>
      </c>
      <c r="F320" s="3">
        <v>12822.13</v>
      </c>
      <c r="G320" s="3">
        <v>1035.3800000000001</v>
      </c>
      <c r="H320" s="3">
        <v>1940.24</v>
      </c>
      <c r="I320" s="3">
        <v>4613.95</v>
      </c>
      <c r="J320" s="3">
        <v>43630.77</v>
      </c>
      <c r="K320" s="1">
        <v>18243.46</v>
      </c>
      <c r="L320" s="3">
        <v>1780.25</v>
      </c>
      <c r="M320" s="3">
        <v>9798.11</v>
      </c>
      <c r="N320" s="6">
        <f>VLOOKUP(A320,'[1]俄罗斯交易系统市值加权指数历史数据 (1)'!$A:$B,2,)</f>
        <v>745.3</v>
      </c>
      <c r="O320" s="3">
        <v>4417.0200000000004</v>
      </c>
      <c r="P320" s="1">
        <v>431.28</v>
      </c>
      <c r="Q320" s="3">
        <v>8319.81</v>
      </c>
      <c r="R320" s="1">
        <v>734.81</v>
      </c>
      <c r="S320" s="3">
        <v>8815.7999999999993</v>
      </c>
      <c r="T320" s="3">
        <v>6083.79</v>
      </c>
      <c r="U320" s="3">
        <v>3045.09</v>
      </c>
      <c r="V320" s="6">
        <f>VLOOKUP(A320,[2]韩国KOSPI指数历史数据!$A:$B,2,)</f>
        <v>1912.06</v>
      </c>
      <c r="W320" s="6">
        <f>VLOOKUP(A320,[3]日经225指数历史数据!$A:$B,2,)</f>
        <v>17518.3</v>
      </c>
      <c r="X320" s="3">
        <v>1452.17</v>
      </c>
      <c r="Y320" s="6">
        <f>VLOOKUP(A320,[4]上证指数历史数据!$A:$B,2,)</f>
        <v>2737.6</v>
      </c>
      <c r="Z320" s="6">
        <f>VLOOKUP(A320,[5]深证成份指数历史数据!$A:$B,2,)</f>
        <v>9418.2000000000007</v>
      </c>
      <c r="AA320" s="6">
        <f>VLOOKUP(A320,[6]台湾加权指数历史数据!$A:$B,2,)</f>
        <v>8145.21</v>
      </c>
      <c r="AB320" s="3">
        <v>19683.11</v>
      </c>
      <c r="AC320" s="3">
        <v>2629.11</v>
      </c>
      <c r="AD320">
        <v>7563.55</v>
      </c>
      <c r="AE320" s="5">
        <f>VLOOKUP(A320,[7]越南VN30指数历史数据!$A:$B,2,)</f>
        <v>561.61</v>
      </c>
      <c r="AF320">
        <v>44065.55</v>
      </c>
      <c r="AG320" s="9">
        <v>8014.69</v>
      </c>
      <c r="AH320">
        <v>8898.99</v>
      </c>
      <c r="AI320">
        <v>1074.47</v>
      </c>
      <c r="AJ320">
        <v>2291.12</v>
      </c>
    </row>
    <row r="321" spans="1:36" x14ac:dyDescent="0.3">
      <c r="A321" s="2">
        <v>42400</v>
      </c>
      <c r="B321" s="3">
        <v>11400.34</v>
      </c>
      <c r="C321" s="4">
        <v>40592</v>
      </c>
      <c r="D321" s="3">
        <v>4976.2</v>
      </c>
      <c r="E321" s="3">
        <v>16204.97</v>
      </c>
      <c r="F321" s="3">
        <v>12763.99</v>
      </c>
      <c r="G321" s="1">
        <v>985.62</v>
      </c>
      <c r="H321" s="3">
        <v>1880.05</v>
      </c>
      <c r="I321" s="3">
        <v>4363.1400000000003</v>
      </c>
      <c r="J321" s="3">
        <v>43229.67</v>
      </c>
      <c r="K321" s="1">
        <v>17984.740000000002</v>
      </c>
      <c r="L321" s="3">
        <v>1790.87</v>
      </c>
      <c r="M321" s="3">
        <v>9286.23</v>
      </c>
      <c r="N321" s="6">
        <f>VLOOKUP(A321,'[1]俄罗斯交易系统市值加权指数历史数据 (1)'!$A:$B,2,)</f>
        <v>725.91</v>
      </c>
      <c r="O321" s="3">
        <v>4200.67</v>
      </c>
      <c r="P321" s="1">
        <v>413.94</v>
      </c>
      <c r="Q321" s="3">
        <v>7960.13</v>
      </c>
      <c r="R321" s="1">
        <v>742.04</v>
      </c>
      <c r="S321" s="3">
        <v>8499.5</v>
      </c>
      <c r="T321" s="3">
        <v>5848.06</v>
      </c>
      <c r="U321" s="3">
        <v>2879.39</v>
      </c>
      <c r="V321" s="6">
        <f>VLOOKUP(A321,[2]韩国KOSPI指数历史数据!$A:$B,2,)</f>
        <v>1917.79</v>
      </c>
      <c r="W321" s="6">
        <f>VLOOKUP(A321,[3]日经225指数历史数据!$A:$B,2,)</f>
        <v>16819.59</v>
      </c>
      <c r="X321" s="3">
        <v>1454.56</v>
      </c>
      <c r="Y321" s="6">
        <f>VLOOKUP(A321,[4]上证指数历史数据!$A:$B,2,)</f>
        <v>2763.49</v>
      </c>
      <c r="Z321" s="6">
        <f>VLOOKUP(A321,[5]深证成份指数历史数据!$A:$B,2,)</f>
        <v>9673.48</v>
      </c>
      <c r="AA321" s="6">
        <f>VLOOKUP(A321,[6]台湾加权指数历史数据!$A:$B,2,)</f>
        <v>8063</v>
      </c>
      <c r="AB321" s="3">
        <v>19288.169999999998</v>
      </c>
      <c r="AC321" s="3">
        <v>2623.21</v>
      </c>
      <c r="AD321">
        <v>7489.1</v>
      </c>
      <c r="AE321" s="5">
        <f>VLOOKUP(A321,[7]越南VN30指数历史数据!$A:$B,2,)</f>
        <v>563.97</v>
      </c>
      <c r="AF321">
        <v>44453.51</v>
      </c>
      <c r="AG321" s="9">
        <v>8196.1299999999992</v>
      </c>
      <c r="AH321">
        <v>9030.48</v>
      </c>
      <c r="AI321">
        <v>1054.83</v>
      </c>
      <c r="AJ321">
        <v>2371.27</v>
      </c>
    </row>
    <row r="322" spans="1:36" x14ac:dyDescent="0.3">
      <c r="A322" s="2">
        <v>42407</v>
      </c>
      <c r="B322" s="3">
        <v>11276.39</v>
      </c>
      <c r="C322" s="4">
        <v>39808</v>
      </c>
      <c r="D322" s="3">
        <v>4765.3</v>
      </c>
      <c r="E322" s="3">
        <v>15973.84</v>
      </c>
      <c r="F322" s="3">
        <v>12381.24</v>
      </c>
      <c r="G322" s="1">
        <v>971.99</v>
      </c>
      <c r="H322" s="3">
        <v>1864.78</v>
      </c>
      <c r="I322" s="3">
        <v>4337.51</v>
      </c>
      <c r="J322" s="3">
        <v>42416.44</v>
      </c>
      <c r="K322" s="1">
        <v>18031.599999999999</v>
      </c>
      <c r="L322" s="3">
        <v>1765.53</v>
      </c>
      <c r="M322" s="3">
        <v>8967.51</v>
      </c>
      <c r="N322" s="6">
        <f>VLOOKUP(A322,'[1]俄罗斯交易系统市值加权指数历史数据 (1)'!$A:$B,2,)</f>
        <v>689.9</v>
      </c>
      <c r="O322" s="3">
        <v>3995.06</v>
      </c>
      <c r="P322" s="1">
        <v>391.86</v>
      </c>
      <c r="Q322" s="3">
        <v>7656.6</v>
      </c>
      <c r="R322" s="1">
        <v>709.37</v>
      </c>
      <c r="S322" s="3">
        <v>7920.8</v>
      </c>
      <c r="T322" s="3">
        <v>5707.6</v>
      </c>
      <c r="U322" s="3">
        <v>2756.16</v>
      </c>
      <c r="V322" s="6">
        <f>VLOOKUP(A322,[2]韩国KOSPI指数历史数据!$A:$B,2,)</f>
        <v>1835.28</v>
      </c>
      <c r="W322" s="6">
        <f>VLOOKUP(A322,[3]日经225指数历史数据!$A:$B,2,)</f>
        <v>14952.61</v>
      </c>
      <c r="X322" s="3">
        <v>1383.34</v>
      </c>
      <c r="Y322" s="6" t="e">
        <f>VLOOKUP(A322,[4]上证指数历史数据!$A:$B,2,)</f>
        <v>#N/A</v>
      </c>
      <c r="Z322" s="6" t="e">
        <f>VLOOKUP(A322,[5]深证成份指数历史数据!$A:$B,2,)</f>
        <v>#N/A</v>
      </c>
      <c r="AA322" s="6" t="e">
        <f>VLOOKUP(A322,[6]台湾加权指数历史数据!$A:$B,2,)</f>
        <v>#N/A</v>
      </c>
      <c r="AB322" s="3">
        <v>18319.580000000002</v>
      </c>
      <c r="AC322" s="3">
        <v>2539.9499999999998</v>
      </c>
      <c r="AD322">
        <v>6980.95</v>
      </c>
      <c r="AE322" s="5" t="e">
        <f>VLOOKUP(A322,[7]越南VN30指数历史数据!$A:$B,2,)</f>
        <v>#N/A</v>
      </c>
      <c r="AF322">
        <v>43119.66</v>
      </c>
      <c r="AG322" s="9">
        <v>7671.31</v>
      </c>
      <c r="AH322">
        <v>9057.7000000000007</v>
      </c>
      <c r="AI322">
        <v>1093.54</v>
      </c>
      <c r="AJ322">
        <v>2406.7199999999998</v>
      </c>
    </row>
    <row r="323" spans="1:36" x14ac:dyDescent="0.3">
      <c r="A323" s="2">
        <v>42414</v>
      </c>
      <c r="B323" s="3">
        <v>11826.05</v>
      </c>
      <c r="C323" s="4">
        <v>41543</v>
      </c>
      <c r="D323" s="3">
        <v>4952.8</v>
      </c>
      <c r="E323" s="3">
        <v>16391.990000000002</v>
      </c>
      <c r="F323" s="3">
        <v>12813.4</v>
      </c>
      <c r="G323" s="3">
        <v>1010.01</v>
      </c>
      <c r="H323" s="3">
        <v>1917.78</v>
      </c>
      <c r="I323" s="3">
        <v>4504.43</v>
      </c>
      <c r="J323" s="3">
        <v>43375.31</v>
      </c>
      <c r="K323" s="1">
        <v>18411.73</v>
      </c>
      <c r="L323" s="3">
        <v>1841.06</v>
      </c>
      <c r="M323" s="3">
        <v>9388.0499999999993</v>
      </c>
      <c r="N323" s="6">
        <f>VLOOKUP(A323,'[1]俄罗斯交易系统市值加权指数历史数据 (1)'!$A:$B,2,)</f>
        <v>725.98</v>
      </c>
      <c r="O323" s="3">
        <v>4223.04</v>
      </c>
      <c r="P323" s="1">
        <v>411.96</v>
      </c>
      <c r="Q323" s="3">
        <v>7863.36</v>
      </c>
      <c r="R323" s="1">
        <v>730.15</v>
      </c>
      <c r="S323" s="3">
        <v>8194.2000000000007</v>
      </c>
      <c r="T323" s="3">
        <v>5950.23</v>
      </c>
      <c r="U323" s="3">
        <v>2871.05</v>
      </c>
      <c r="V323" s="6">
        <f>VLOOKUP(A323,[2]韩国KOSPI指数历史数据!$A:$B,2,)</f>
        <v>1916.24</v>
      </c>
      <c r="W323" s="6">
        <f>VLOOKUP(A323,[3]日经225指数历史数据!$A:$B,2,)</f>
        <v>15967.17</v>
      </c>
      <c r="X323" s="3">
        <v>1418.22</v>
      </c>
      <c r="Y323" s="6">
        <f>VLOOKUP(A323,[4]上证指数历史数据!$A:$B,2,)</f>
        <v>2860.02</v>
      </c>
      <c r="Z323" s="6">
        <f>VLOOKUP(A323,[5]深证成份指数历史数据!$A:$B,2,)</f>
        <v>10162.32</v>
      </c>
      <c r="AA323" s="6">
        <f>VLOOKUP(A323,[6]台湾加权指数历史数据!$A:$B,2,)</f>
        <v>8325.0400000000009</v>
      </c>
      <c r="AB323" s="3">
        <v>19285.5</v>
      </c>
      <c r="AC323" s="3">
        <v>2656.87</v>
      </c>
      <c r="AD323">
        <v>7210.75</v>
      </c>
      <c r="AE323" s="5">
        <f>VLOOKUP(A323,[7]越南VN30指数历史数据!$A:$B,2,)</f>
        <v>567.51</v>
      </c>
      <c r="AF323">
        <v>43474.46</v>
      </c>
      <c r="AG323" s="9">
        <v>7857.88</v>
      </c>
      <c r="AH323">
        <v>9219.48</v>
      </c>
      <c r="AI323">
        <v>1090.6199999999999</v>
      </c>
      <c r="AJ323">
        <v>2366.42</v>
      </c>
    </row>
    <row r="324" spans="1:36" x14ac:dyDescent="0.3">
      <c r="A324" s="2">
        <v>42421</v>
      </c>
      <c r="B324" s="3">
        <v>12929.23</v>
      </c>
      <c r="C324" s="4">
        <v>41593</v>
      </c>
      <c r="D324" s="3">
        <v>4880</v>
      </c>
      <c r="E324" s="3">
        <v>16639.97</v>
      </c>
      <c r="F324" s="3">
        <v>12797.79</v>
      </c>
      <c r="G324" s="3">
        <v>1037.18</v>
      </c>
      <c r="H324" s="3">
        <v>1948.05</v>
      </c>
      <c r="I324" s="3">
        <v>4590.47</v>
      </c>
      <c r="J324" s="3">
        <v>43473.37</v>
      </c>
      <c r="K324" s="1">
        <v>18239.37</v>
      </c>
      <c r="L324" s="3">
        <v>1844.57</v>
      </c>
      <c r="M324" s="3">
        <v>9513.2999999999993</v>
      </c>
      <c r="N324" s="6">
        <f>VLOOKUP(A324,'[1]俄罗斯交易系统市值加权指数历史数据 (1)'!$A:$B,2,)</f>
        <v>757.45</v>
      </c>
      <c r="O324" s="3">
        <v>4314.57</v>
      </c>
      <c r="P324" s="1">
        <v>422.66</v>
      </c>
      <c r="Q324" s="3">
        <v>7877.03</v>
      </c>
      <c r="R324" s="1">
        <v>749.29</v>
      </c>
      <c r="S324" s="3">
        <v>8349.2000000000007</v>
      </c>
      <c r="T324" s="3">
        <v>6096.01</v>
      </c>
      <c r="U324" s="3">
        <v>2929.16</v>
      </c>
      <c r="V324" s="6">
        <f>VLOOKUP(A324,[2]韩国KOSPI指数历史数据!$A:$B,2,)</f>
        <v>1920.16</v>
      </c>
      <c r="W324" s="6">
        <f>VLOOKUP(A324,[3]日经225指数历史数据!$A:$B,2,)</f>
        <v>16188.41</v>
      </c>
      <c r="X324" s="3">
        <v>1427.09</v>
      </c>
      <c r="Y324" s="6">
        <f>VLOOKUP(A324,[4]上证指数历史数据!$A:$B,2,)</f>
        <v>2767.21</v>
      </c>
      <c r="Z324" s="6">
        <f>VLOOKUP(A324,[5]深证成份指数历史数据!$A:$B,2,)</f>
        <v>9573.7000000000007</v>
      </c>
      <c r="AA324" s="6">
        <f>VLOOKUP(A324,[6]台湾加权指数历史数据!$A:$B,2,)</f>
        <v>8411.16</v>
      </c>
      <c r="AB324" s="3">
        <v>19364.150000000001</v>
      </c>
      <c r="AC324" s="3">
        <v>2649.38</v>
      </c>
      <c r="AD324">
        <v>7029.75</v>
      </c>
      <c r="AE324" s="5">
        <f>VLOOKUP(A324,[7]越南VN30指数历史数据!$A:$B,2,)</f>
        <v>577.71</v>
      </c>
      <c r="AF324">
        <v>43857.79</v>
      </c>
      <c r="AG324" s="9">
        <v>8054.76</v>
      </c>
      <c r="AH324">
        <v>9004.26</v>
      </c>
      <c r="AI324">
        <v>1086.82</v>
      </c>
      <c r="AJ324">
        <v>2392.66</v>
      </c>
    </row>
    <row r="325" spans="1:36" x14ac:dyDescent="0.3">
      <c r="A325" s="2">
        <v>42428</v>
      </c>
      <c r="B325" s="3">
        <v>13269.27</v>
      </c>
      <c r="C325" s="4">
        <v>49085</v>
      </c>
      <c r="D325" s="3">
        <v>5090</v>
      </c>
      <c r="E325" s="3">
        <v>17006.77</v>
      </c>
      <c r="F325" s="3">
        <v>13212.5</v>
      </c>
      <c r="G325" s="3">
        <v>1081.93</v>
      </c>
      <c r="H325" s="3">
        <v>1999.99</v>
      </c>
      <c r="I325" s="3">
        <v>4717.0200000000004</v>
      </c>
      <c r="J325" s="3">
        <v>44849.02</v>
      </c>
      <c r="K325" s="1">
        <v>18796.55</v>
      </c>
      <c r="L325" s="3">
        <v>1873.51</v>
      </c>
      <c r="M325" s="3">
        <v>9824.17</v>
      </c>
      <c r="N325" s="6">
        <f>VLOOKUP(A325,'[1]俄罗斯交易系统市值加权指数历史数据 (1)'!$A:$B,2,)</f>
        <v>818.25</v>
      </c>
      <c r="O325" s="3">
        <v>4456.62</v>
      </c>
      <c r="P325" s="1">
        <v>437.99</v>
      </c>
      <c r="Q325" s="3">
        <v>7982.57</v>
      </c>
      <c r="R325" s="1">
        <v>771.91</v>
      </c>
      <c r="S325" s="3">
        <v>8811.6</v>
      </c>
      <c r="T325" s="3">
        <v>6199.43</v>
      </c>
      <c r="U325" s="3">
        <v>3037.35</v>
      </c>
      <c r="V325" s="6">
        <f>VLOOKUP(A325,[2]韩国KOSPI指数历史数据!$A:$B,2,)</f>
        <v>1955.63</v>
      </c>
      <c r="W325" s="6">
        <f>VLOOKUP(A325,[3]日经225指数历史数据!$A:$B,2,)</f>
        <v>17014.78</v>
      </c>
      <c r="X325" s="3">
        <v>1449.75</v>
      </c>
      <c r="Y325" s="6">
        <f>VLOOKUP(A325,[4]上证指数历史数据!$A:$B,2,)</f>
        <v>2874.15</v>
      </c>
      <c r="Z325" s="6">
        <f>VLOOKUP(A325,[5]深证成份指数历史数据!$A:$B,2,)</f>
        <v>9536.7099999999991</v>
      </c>
      <c r="AA325" s="6">
        <f>VLOOKUP(A325,[6]台湾加权指数历史数据!$A:$B,2,)</f>
        <v>8643.5499999999993</v>
      </c>
      <c r="AB325" s="3">
        <v>20176.7</v>
      </c>
      <c r="AC325" s="3">
        <v>2837</v>
      </c>
      <c r="AD325">
        <v>7485.35</v>
      </c>
      <c r="AE325" s="5">
        <f>VLOOKUP(A325,[7]越南VN30指数历史数据!$A:$B,2,)</f>
        <v>580.94000000000005</v>
      </c>
      <c r="AF325">
        <v>46224.71</v>
      </c>
      <c r="AG325" s="9">
        <v>8052.98</v>
      </c>
      <c r="AH325">
        <v>9099.16</v>
      </c>
      <c r="AI325">
        <v>1134.53</v>
      </c>
      <c r="AJ325">
        <v>2410.5700000000002</v>
      </c>
    </row>
    <row r="326" spans="1:36" x14ac:dyDescent="0.3">
      <c r="A326" s="2">
        <v>42435</v>
      </c>
      <c r="B326" s="3">
        <v>13051.54</v>
      </c>
      <c r="C326" s="4">
        <v>49639</v>
      </c>
      <c r="D326" s="3">
        <v>5166.3999999999996</v>
      </c>
      <c r="E326" s="3">
        <v>17213.310000000001</v>
      </c>
      <c r="F326" s="3">
        <v>13522</v>
      </c>
      <c r="G326" s="3">
        <v>1087.56</v>
      </c>
      <c r="H326" s="3">
        <v>2022.19</v>
      </c>
      <c r="I326" s="3">
        <v>4748.47</v>
      </c>
      <c r="J326" s="3">
        <v>44735.5</v>
      </c>
      <c r="K326" s="1">
        <v>18815.72</v>
      </c>
      <c r="L326" s="3">
        <v>1910.87</v>
      </c>
      <c r="M326" s="3">
        <v>9831.1299999999992</v>
      </c>
      <c r="N326" s="6">
        <f>VLOOKUP(A326,'[1]俄罗斯交易系统市值加权指数历史数据 (1)'!$A:$B,2,)</f>
        <v>845.59</v>
      </c>
      <c r="O326" s="3">
        <v>4492.79</v>
      </c>
      <c r="P326" s="1">
        <v>441.75</v>
      </c>
      <c r="Q326" s="3">
        <v>7998.43</v>
      </c>
      <c r="R326" s="1">
        <v>793.8</v>
      </c>
      <c r="S326" s="3">
        <v>9090.6</v>
      </c>
      <c r="T326" s="3">
        <v>6139.79</v>
      </c>
      <c r="U326" s="3">
        <v>3073.8</v>
      </c>
      <c r="V326" s="6">
        <f>VLOOKUP(A326,[2]韩国KOSPI指数历史数据!$A:$B,2,)</f>
        <v>1971.41</v>
      </c>
      <c r="W326" s="6">
        <f>VLOOKUP(A326,[3]日经225指数历史数据!$A:$B,2,)</f>
        <v>16938.87</v>
      </c>
      <c r="X326" s="3">
        <v>1478.61</v>
      </c>
      <c r="Y326" s="6">
        <f>VLOOKUP(A326,[4]上证指数历史数据!$A:$B,2,)</f>
        <v>2810.31</v>
      </c>
      <c r="Z326" s="6">
        <f>VLOOKUP(A326,[5]深证成份指数历史数据!$A:$B,2,)</f>
        <v>9363.41</v>
      </c>
      <c r="AA326" s="6">
        <f>VLOOKUP(A326,[6]台湾加权指数历史数据!$A:$B,2,)</f>
        <v>8706.14</v>
      </c>
      <c r="AB326" s="3">
        <v>20199.599999999999</v>
      </c>
      <c r="AC326" s="3">
        <v>2828.86</v>
      </c>
      <c r="AD326">
        <v>7510.2</v>
      </c>
      <c r="AE326" s="5">
        <f>VLOOKUP(A326,[7]越南VN30指数历史数据!$A:$B,2,)</f>
        <v>583.89</v>
      </c>
      <c r="AF326">
        <v>45761.25</v>
      </c>
      <c r="AG326" s="9">
        <v>8588.14</v>
      </c>
      <c r="AH326">
        <v>9192.11</v>
      </c>
      <c r="AI326">
        <v>1147.5999999999999</v>
      </c>
      <c r="AJ326">
        <v>2403.92</v>
      </c>
    </row>
    <row r="327" spans="1:36" x14ac:dyDescent="0.3">
      <c r="A327" s="2">
        <v>42442</v>
      </c>
      <c r="B327" s="3">
        <v>12906.43</v>
      </c>
      <c r="C327" s="4">
        <v>50815</v>
      </c>
      <c r="D327" s="3">
        <v>5183.1000000000004</v>
      </c>
      <c r="E327" s="3">
        <v>17602.3</v>
      </c>
      <c r="F327" s="3">
        <v>13497.07</v>
      </c>
      <c r="G327" s="3">
        <v>1101.67</v>
      </c>
      <c r="H327" s="3">
        <v>2049.58</v>
      </c>
      <c r="I327" s="3">
        <v>4795.6499999999996</v>
      </c>
      <c r="J327" s="3">
        <v>45482.39</v>
      </c>
      <c r="K327" s="1">
        <v>19387.73</v>
      </c>
      <c r="L327" s="3">
        <v>1961.97</v>
      </c>
      <c r="M327" s="3">
        <v>9950.7999999999993</v>
      </c>
      <c r="N327" s="6">
        <f>VLOOKUP(A327,'[1]俄罗斯交易系统市值加权指数历史数据 (1)'!$A:$B,2,)</f>
        <v>885.13</v>
      </c>
      <c r="O327" s="3">
        <v>4462.51</v>
      </c>
      <c r="P327" s="1">
        <v>444.79</v>
      </c>
      <c r="Q327" s="3">
        <v>7813.68</v>
      </c>
      <c r="R327" s="1">
        <v>829.43</v>
      </c>
      <c r="S327" s="3">
        <v>9051.1</v>
      </c>
      <c r="T327" s="3">
        <v>6189.64</v>
      </c>
      <c r="U327" s="3">
        <v>3059.77</v>
      </c>
      <c r="V327" s="6">
        <f>VLOOKUP(A327,[2]韩国KOSPI指数历史数据!$A:$B,2,)</f>
        <v>1992.12</v>
      </c>
      <c r="W327" s="6">
        <f>VLOOKUP(A327,[3]日经225指数历史数据!$A:$B,2,)</f>
        <v>16724.810000000001</v>
      </c>
      <c r="X327" s="3">
        <v>1483.21</v>
      </c>
      <c r="Y327" s="6">
        <f>VLOOKUP(A327,[4]上证指数历史数据!$A:$B,2,)</f>
        <v>2955.15</v>
      </c>
      <c r="Z327" s="6">
        <f>VLOOKUP(A327,[5]深证成份指数历史数据!$A:$B,2,)</f>
        <v>10126.59</v>
      </c>
      <c r="AA327" s="6">
        <f>VLOOKUP(A327,[6]台湾加权指数历史数据!$A:$B,2,)</f>
        <v>8810.7099999999991</v>
      </c>
      <c r="AB327" s="3">
        <v>20671.63</v>
      </c>
      <c r="AC327" s="3">
        <v>2906.8</v>
      </c>
      <c r="AD327">
        <v>7604.35</v>
      </c>
      <c r="AE327" s="5">
        <f>VLOOKUP(A327,[7]越南VN30指数历史数据!$A:$B,2,)</f>
        <v>581.95000000000005</v>
      </c>
      <c r="AF327">
        <v>47812.41</v>
      </c>
      <c r="AG327" s="9">
        <v>9948.56</v>
      </c>
      <c r="AH327">
        <v>9297.1299999999992</v>
      </c>
      <c r="AI327">
        <v>1129.28</v>
      </c>
      <c r="AJ327">
        <v>2404.09</v>
      </c>
    </row>
    <row r="328" spans="1:36" x14ac:dyDescent="0.3">
      <c r="A328" s="2">
        <v>42449</v>
      </c>
      <c r="B328" s="3">
        <v>12499.17</v>
      </c>
      <c r="C328" s="4">
        <v>49657</v>
      </c>
      <c r="D328" s="3">
        <v>5084.2</v>
      </c>
      <c r="E328" s="3">
        <v>17515.73</v>
      </c>
      <c r="F328" s="3">
        <v>13358.11</v>
      </c>
      <c r="G328" s="3">
        <v>1079.54</v>
      </c>
      <c r="H328" s="3">
        <v>2035.94</v>
      </c>
      <c r="I328" s="3">
        <v>4773.51</v>
      </c>
      <c r="J328" s="3">
        <v>45647.57</v>
      </c>
      <c r="K328" s="1">
        <v>19054.310000000001</v>
      </c>
      <c r="L328" s="3">
        <v>1936.19</v>
      </c>
      <c r="M328" s="3">
        <v>9851.35</v>
      </c>
      <c r="N328" s="6">
        <f>VLOOKUP(A328,'[1]俄罗斯交易系统市值加权指数历史数据 (1)'!$A:$B,2,)</f>
        <v>862.22</v>
      </c>
      <c r="O328" s="3">
        <v>4329.68</v>
      </c>
      <c r="P328" s="1">
        <v>437.49</v>
      </c>
      <c r="Q328" s="3">
        <v>7775.58</v>
      </c>
      <c r="R328" s="1">
        <v>813.56</v>
      </c>
      <c r="S328" s="3">
        <v>8789.7999999999993</v>
      </c>
      <c r="T328" s="3">
        <v>6106.48</v>
      </c>
      <c r="U328" s="3">
        <v>2986.73</v>
      </c>
      <c r="V328" s="6">
        <f>VLOOKUP(A328,[2]韩国KOSPI指数历史数据!$A:$B,2,)</f>
        <v>1983.81</v>
      </c>
      <c r="W328" s="6">
        <f>VLOOKUP(A328,[3]日经225指数历史数据!$A:$B,2,)</f>
        <v>17002.75</v>
      </c>
      <c r="X328" s="3">
        <v>1485.9</v>
      </c>
      <c r="Y328" s="6">
        <f>VLOOKUP(A328,[4]上证指数历史数据!$A:$B,2,)</f>
        <v>2979.43</v>
      </c>
      <c r="Z328" s="6">
        <f>VLOOKUP(A328,[5]深证成份指数历史数据!$A:$B,2,)</f>
        <v>10339.68</v>
      </c>
      <c r="AA328" s="6">
        <f>VLOOKUP(A328,[6]台湾加权指数历史数据!$A:$B,2,)</f>
        <v>8704.9699999999993</v>
      </c>
      <c r="AB328" s="3">
        <v>20345.61</v>
      </c>
      <c r="AC328" s="3">
        <v>2847.39</v>
      </c>
      <c r="AD328">
        <v>7716.5</v>
      </c>
      <c r="AE328" s="5">
        <f>VLOOKUP(A328,[7]越南VN30指数历史数据!$A:$B,2,)</f>
        <v>578.24</v>
      </c>
      <c r="AF328">
        <v>46349.01</v>
      </c>
      <c r="AG328" s="9">
        <v>10049.44</v>
      </c>
      <c r="AH328">
        <v>9540.0300000000007</v>
      </c>
      <c r="AI328">
        <v>1145.8699999999999</v>
      </c>
      <c r="AJ328">
        <v>2360.66</v>
      </c>
    </row>
    <row r="329" spans="1:36" x14ac:dyDescent="0.3">
      <c r="A329" s="2">
        <v>42456</v>
      </c>
      <c r="B329" s="3">
        <v>13179.84</v>
      </c>
      <c r="C329" s="4">
        <v>50562</v>
      </c>
      <c r="D329" s="3">
        <v>4999.3999999999996</v>
      </c>
      <c r="E329" s="3">
        <v>17792.75</v>
      </c>
      <c r="F329" s="3">
        <v>13440.44</v>
      </c>
      <c r="G329" s="3">
        <v>1117.68</v>
      </c>
      <c r="H329" s="3">
        <v>2072.7800000000002</v>
      </c>
      <c r="I329" s="3">
        <v>4914.54</v>
      </c>
      <c r="J329" s="3">
        <v>46062.92</v>
      </c>
      <c r="K329" s="1">
        <v>19340.64</v>
      </c>
      <c r="L329" s="3">
        <v>1973.24</v>
      </c>
      <c r="M329" s="3">
        <v>9794.64</v>
      </c>
      <c r="N329" s="6">
        <f>VLOOKUP(A329,'[1]俄罗斯交易系统市值加权指数历史数据 (1)'!$A:$B,2,)</f>
        <v>861.96</v>
      </c>
      <c r="O329" s="3">
        <v>4322.24</v>
      </c>
      <c r="P329" s="1">
        <v>434.48</v>
      </c>
      <c r="Q329" s="3">
        <v>7688.34</v>
      </c>
      <c r="R329" s="1">
        <v>823.59</v>
      </c>
      <c r="S329" s="3">
        <v>8602.2999999999993</v>
      </c>
      <c r="T329" s="3">
        <v>6146.05</v>
      </c>
      <c r="U329" s="3">
        <v>2953.28</v>
      </c>
      <c r="V329" s="6">
        <f>VLOOKUP(A329,[2]韩国KOSPI指数历史数据!$A:$B,2,)</f>
        <v>1973.57</v>
      </c>
      <c r="W329" s="6">
        <f>VLOOKUP(A329,[3]日经225指数历史数据!$A:$B,2,)</f>
        <v>16164.16</v>
      </c>
      <c r="X329" s="3">
        <v>1450.39</v>
      </c>
      <c r="Y329" s="6">
        <f>VLOOKUP(A329,[4]上证指数历史数据!$A:$B,2,)</f>
        <v>3009.53</v>
      </c>
      <c r="Z329" s="6">
        <f>VLOOKUP(A329,[5]深证成份指数历史数据!$A:$B,2,)</f>
        <v>10379.65</v>
      </c>
      <c r="AA329" s="6">
        <f>VLOOKUP(A329,[6]台湾加权指数历史数据!$A:$B,2,)</f>
        <v>8657.5499999999993</v>
      </c>
      <c r="AB329" s="3">
        <v>20498.919999999998</v>
      </c>
      <c r="AC329" s="3">
        <v>2818.49</v>
      </c>
      <c r="AD329">
        <v>7713.05</v>
      </c>
      <c r="AE329" s="5">
        <f>VLOOKUP(A329,[7]越南VN30指数历史数据!$A:$B,2,)</f>
        <v>568.27</v>
      </c>
      <c r="AF329">
        <v>45485.3</v>
      </c>
      <c r="AG329" s="9">
        <v>10163.700000000001</v>
      </c>
      <c r="AH329">
        <v>9307.16</v>
      </c>
      <c r="AI329">
        <v>1115.92</v>
      </c>
      <c r="AJ329">
        <v>2427.98</v>
      </c>
    </row>
    <row r="330" spans="1:36" x14ac:dyDescent="0.3">
      <c r="A330" s="2">
        <v>42463</v>
      </c>
      <c r="B330" s="3">
        <v>12221.87</v>
      </c>
      <c r="C330" s="4">
        <v>50293</v>
      </c>
      <c r="D330" s="3">
        <v>4937.6000000000004</v>
      </c>
      <c r="E330" s="3">
        <v>17576.96</v>
      </c>
      <c r="F330" s="3">
        <v>13396.73</v>
      </c>
      <c r="G330" s="3">
        <v>1097.31</v>
      </c>
      <c r="H330" s="3">
        <v>2047.6</v>
      </c>
      <c r="I330" s="3">
        <v>4850.6899999999996</v>
      </c>
      <c r="J330" s="3">
        <v>44859.49</v>
      </c>
      <c r="K330" s="1">
        <v>19256.07</v>
      </c>
      <c r="L330" s="3">
        <v>1919.42</v>
      </c>
      <c r="M330" s="3">
        <v>9622.26</v>
      </c>
      <c r="N330" s="6">
        <f>VLOOKUP(A330,'[1]俄罗斯交易系统市值加权指数历史数据 (1)'!$A:$B,2,)</f>
        <v>879.07</v>
      </c>
      <c r="O330" s="3">
        <v>4303.12</v>
      </c>
      <c r="P330" s="1">
        <v>434.16</v>
      </c>
      <c r="Q330" s="3">
        <v>7817.55</v>
      </c>
      <c r="R330" s="1">
        <v>825.02</v>
      </c>
      <c r="S330" s="3">
        <v>8427.6</v>
      </c>
      <c r="T330" s="3">
        <v>6204.41</v>
      </c>
      <c r="U330" s="3">
        <v>2911.98</v>
      </c>
      <c r="V330" s="6">
        <f>VLOOKUP(A330,[2]韩国KOSPI指数历史数据!$A:$B,2,)</f>
        <v>1972.05</v>
      </c>
      <c r="W330" s="6">
        <f>VLOOKUP(A330,[3]日经225指数历史数据!$A:$B,2,)</f>
        <v>15821.52</v>
      </c>
      <c r="X330" s="3">
        <v>1443.5</v>
      </c>
      <c r="Y330" s="6">
        <f>VLOOKUP(A330,[4]上证指数历史数据!$A:$B,2,)</f>
        <v>2984.96</v>
      </c>
      <c r="Z330" s="6">
        <f>VLOOKUP(A330,[5]深证成份指数历史数据!$A:$B,2,)</f>
        <v>10413.540000000001</v>
      </c>
      <c r="AA330" s="6">
        <f>VLOOKUP(A330,[6]台湾加权指数历史数据!$A:$B,2,)</f>
        <v>8541.5</v>
      </c>
      <c r="AB330" s="3">
        <v>20370.400000000001</v>
      </c>
      <c r="AC330" s="3">
        <v>2808.32</v>
      </c>
      <c r="AD330">
        <v>7555.2</v>
      </c>
      <c r="AE330" s="5">
        <f>VLOOKUP(A330,[7]越南VN30指数历史数据!$A:$B,2,)</f>
        <v>578.97</v>
      </c>
      <c r="AF330">
        <v>45252.36</v>
      </c>
      <c r="AG330" s="9">
        <v>9979.65</v>
      </c>
      <c r="AH330">
        <v>9383.7199999999993</v>
      </c>
      <c r="AI330">
        <v>1109.4100000000001</v>
      </c>
      <c r="AJ330">
        <v>2443.17</v>
      </c>
    </row>
    <row r="331" spans="1:36" x14ac:dyDescent="0.3">
      <c r="A331" s="2">
        <v>42470</v>
      </c>
      <c r="B331" s="3">
        <v>13237.87</v>
      </c>
      <c r="C331" s="4">
        <v>53228</v>
      </c>
      <c r="D331" s="3">
        <v>5157.5</v>
      </c>
      <c r="E331" s="3">
        <v>17897.46</v>
      </c>
      <c r="F331" s="3">
        <v>13637.2</v>
      </c>
      <c r="G331" s="3">
        <v>1130.92</v>
      </c>
      <c r="H331" s="3">
        <v>2080.73</v>
      </c>
      <c r="I331" s="3">
        <v>4938.22</v>
      </c>
      <c r="J331" s="3">
        <v>45536.52</v>
      </c>
      <c r="K331" s="1">
        <v>19434.77</v>
      </c>
      <c r="L331" s="3">
        <v>1939.95</v>
      </c>
      <c r="M331" s="3">
        <v>10051.57</v>
      </c>
      <c r="N331" s="6">
        <f>VLOOKUP(A331,'[1]俄罗斯交易系统市值加权指数历史数据 (1)'!$A:$B,2,)</f>
        <v>905.1</v>
      </c>
      <c r="O331" s="3">
        <v>4495.17</v>
      </c>
      <c r="P331" s="1">
        <v>450.59</v>
      </c>
      <c r="Q331" s="3">
        <v>8014.6</v>
      </c>
      <c r="R331" s="1">
        <v>855.73</v>
      </c>
      <c r="S331" s="3">
        <v>8850.9</v>
      </c>
      <c r="T331" s="3">
        <v>6343.75</v>
      </c>
      <c r="U331" s="3">
        <v>3054.34</v>
      </c>
      <c r="V331" s="6">
        <f>VLOOKUP(A331,[2]韩国KOSPI指数历史数据!$A:$B,2,)</f>
        <v>2014.71</v>
      </c>
      <c r="W331" s="6">
        <f>VLOOKUP(A331,[3]日经225指数历史数据!$A:$B,2,)</f>
        <v>16848.03</v>
      </c>
      <c r="X331" s="3">
        <v>1474.23</v>
      </c>
      <c r="Y331" s="6">
        <f>VLOOKUP(A331,[4]上证指数历史数据!$A:$B,2,)</f>
        <v>3078.12</v>
      </c>
      <c r="Z331" s="6">
        <f>VLOOKUP(A331,[5]深证成份指数历史数据!$A:$B,2,)</f>
        <v>10733.64</v>
      </c>
      <c r="AA331" s="6">
        <f>VLOOKUP(A331,[6]台湾加权指数历史数据!$A:$B,2,)</f>
        <v>8700.39</v>
      </c>
      <c r="AB331" s="3">
        <v>21316.47</v>
      </c>
      <c r="AC331" s="3">
        <v>2923.94</v>
      </c>
      <c r="AD331">
        <v>7850.45</v>
      </c>
      <c r="AE331" s="5">
        <f>VLOOKUP(A331,[7]越南VN30指数历史数据!$A:$B,2,)</f>
        <v>584.47</v>
      </c>
      <c r="AF331">
        <v>46763.08</v>
      </c>
      <c r="AG331" s="9">
        <v>9948.2999999999993</v>
      </c>
      <c r="AH331">
        <v>9541.0499999999993</v>
      </c>
      <c r="AI331">
        <v>1085.1400000000001</v>
      </c>
      <c r="AJ331">
        <v>2459.31</v>
      </c>
    </row>
    <row r="332" spans="1:36" x14ac:dyDescent="0.3">
      <c r="A332" s="2">
        <v>42477</v>
      </c>
      <c r="B332" s="3">
        <v>13915.48</v>
      </c>
      <c r="C332" s="4">
        <v>52908</v>
      </c>
      <c r="D332" s="3">
        <v>5236.3999999999996</v>
      </c>
      <c r="E332" s="3">
        <v>18003.75</v>
      </c>
      <c r="F332" s="3">
        <v>13874</v>
      </c>
      <c r="G332" s="3">
        <v>1146.69</v>
      </c>
      <c r="H332" s="3">
        <v>2091.58</v>
      </c>
      <c r="I332" s="3">
        <v>4906.2299999999996</v>
      </c>
      <c r="J332" s="3">
        <v>45613.21</v>
      </c>
      <c r="K332" s="1">
        <v>19515.63</v>
      </c>
      <c r="L332" s="3">
        <v>1943.03</v>
      </c>
      <c r="M332" s="3">
        <v>10373.49</v>
      </c>
      <c r="N332" s="6">
        <f>VLOOKUP(A332,'[1]俄罗斯交易系统市值加权指数历史数据 (1)'!$A:$B,2,)</f>
        <v>931.46</v>
      </c>
      <c r="O332" s="3">
        <v>4569.66</v>
      </c>
      <c r="P332" s="1">
        <v>451.54</v>
      </c>
      <c r="Q332" s="3">
        <v>8109.44</v>
      </c>
      <c r="R332" s="1">
        <v>858.29</v>
      </c>
      <c r="S332" s="3">
        <v>9232.7999999999993</v>
      </c>
      <c r="T332" s="3">
        <v>6310.44</v>
      </c>
      <c r="U332" s="3">
        <v>3141.12</v>
      </c>
      <c r="V332" s="6">
        <f>VLOOKUP(A332,[2]韩国KOSPI指数历史数据!$A:$B,2,)</f>
        <v>2015.49</v>
      </c>
      <c r="W332" s="6">
        <f>VLOOKUP(A332,[3]日经225指数历史数据!$A:$B,2,)</f>
        <v>17572.490000000002</v>
      </c>
      <c r="X332" s="3">
        <v>1496.41</v>
      </c>
      <c r="Y332" s="6">
        <f>VLOOKUP(A332,[4]上证指数历史数据!$A:$B,2,)</f>
        <v>2959.24</v>
      </c>
      <c r="Z332" s="6">
        <f>VLOOKUP(A332,[5]深证成份指数历史数据!$A:$B,2,)</f>
        <v>10151.76</v>
      </c>
      <c r="AA332" s="6">
        <f>VLOOKUP(A332,[6]台湾加权指数历史数据!$A:$B,2,)</f>
        <v>8535.75</v>
      </c>
      <c r="AB332" s="3">
        <v>21467.040000000001</v>
      </c>
      <c r="AC332" s="3">
        <v>2940.43</v>
      </c>
      <c r="AD332">
        <v>7899.3</v>
      </c>
      <c r="AE332" s="5">
        <f>VLOOKUP(A332,[7]越南VN30指数历史数据!$A:$B,2,)</f>
        <v>595.38</v>
      </c>
      <c r="AF332">
        <v>46505.48</v>
      </c>
      <c r="AG332" s="9">
        <v>10254.299999999999</v>
      </c>
      <c r="AH332">
        <v>9519.32</v>
      </c>
      <c r="AI332">
        <v>1092.3</v>
      </c>
      <c r="AJ332">
        <v>2517.04</v>
      </c>
    </row>
    <row r="333" spans="1:36" x14ac:dyDescent="0.3">
      <c r="A333" s="2">
        <v>42484</v>
      </c>
      <c r="B333" s="3">
        <v>13724.07</v>
      </c>
      <c r="C333" s="4">
        <v>53911</v>
      </c>
      <c r="D333" s="3">
        <v>5252.2</v>
      </c>
      <c r="E333" s="3">
        <v>17773.64</v>
      </c>
      <c r="F333" s="3">
        <v>13951.45</v>
      </c>
      <c r="G333" s="3">
        <v>1130.8399999999999</v>
      </c>
      <c r="H333" s="3">
        <v>2065.3000000000002</v>
      </c>
      <c r="I333" s="3">
        <v>4775.3599999999997</v>
      </c>
      <c r="J333" s="3">
        <v>45784.77</v>
      </c>
      <c r="K333" s="1">
        <v>19655.14</v>
      </c>
      <c r="L333" s="3">
        <v>1896.64</v>
      </c>
      <c r="M333" s="3">
        <v>10038.969999999999</v>
      </c>
      <c r="N333" s="6">
        <f>VLOOKUP(A333,'[1]俄罗斯交易系统市值加权指数历史数据 (1)'!$A:$B,2,)</f>
        <v>951.11</v>
      </c>
      <c r="O333" s="3">
        <v>4428.96</v>
      </c>
      <c r="P333" s="1">
        <v>439.68</v>
      </c>
      <c r="Q333" s="3">
        <v>7960.85</v>
      </c>
      <c r="R333" s="1">
        <v>853.28</v>
      </c>
      <c r="S333" s="3">
        <v>9025.7000000000007</v>
      </c>
      <c r="T333" s="3">
        <v>6241.89</v>
      </c>
      <c r="U333" s="3">
        <v>3028.21</v>
      </c>
      <c r="V333" s="6">
        <f>VLOOKUP(A333,[2]韩国KOSPI指数历史数据!$A:$B,2,)</f>
        <v>1994.15</v>
      </c>
      <c r="W333" s="6">
        <f>VLOOKUP(A333,[3]日经225指数历史数据!$A:$B,2,)</f>
        <v>16666.05</v>
      </c>
      <c r="X333" s="3">
        <v>1438.66</v>
      </c>
      <c r="Y333" s="6">
        <f>VLOOKUP(A333,[4]上证指数历史数据!$A:$B,2,)</f>
        <v>2938.32</v>
      </c>
      <c r="Z333" s="6">
        <f>VLOOKUP(A333,[5]深证成份指数历史数据!$A:$B,2,)</f>
        <v>10141.540000000001</v>
      </c>
      <c r="AA333" s="6">
        <f>VLOOKUP(A333,[6]台湾加权指数历史数据!$A:$B,2,)</f>
        <v>8377.9</v>
      </c>
      <c r="AB333" s="3">
        <v>21067.05</v>
      </c>
      <c r="AC333" s="3">
        <v>2838.52</v>
      </c>
      <c r="AD333">
        <v>7849.8</v>
      </c>
      <c r="AE333" s="5">
        <f>VLOOKUP(A333,[7]越南VN30指数历史数据!$A:$B,2,)</f>
        <v>601.25</v>
      </c>
      <c r="AF333">
        <v>46471</v>
      </c>
      <c r="AG333" s="9">
        <v>10063.69</v>
      </c>
      <c r="AH333">
        <v>9975.7199999999993</v>
      </c>
      <c r="AI333">
        <v>1098.2</v>
      </c>
      <c r="AJ333">
        <v>2559.31</v>
      </c>
    </row>
    <row r="334" spans="1:36" x14ac:dyDescent="0.3">
      <c r="A334" s="2">
        <v>42491</v>
      </c>
      <c r="B334" s="3">
        <v>13453.91</v>
      </c>
      <c r="C334" s="4">
        <v>51718</v>
      </c>
      <c r="D334" s="3">
        <v>5292</v>
      </c>
      <c r="E334" s="3">
        <v>17740.63</v>
      </c>
      <c r="F334" s="3">
        <v>13701.47</v>
      </c>
      <c r="G334" s="3">
        <v>1114.72</v>
      </c>
      <c r="H334" s="3">
        <v>2057.14</v>
      </c>
      <c r="I334" s="3">
        <v>4736.1499999999996</v>
      </c>
      <c r="J334" s="3">
        <v>45209.85</v>
      </c>
      <c r="K334" s="1">
        <v>19689.439999999999</v>
      </c>
      <c r="L334" s="3">
        <v>1852.71</v>
      </c>
      <c r="M334" s="3">
        <v>9869.9500000000007</v>
      </c>
      <c r="N334" s="6">
        <f>VLOOKUP(A334,'[1]俄罗斯交易系统市值加权指数历史数据 (1)'!$A:$B,2,)</f>
        <v>912.02</v>
      </c>
      <c r="O334" s="3">
        <v>4301.24</v>
      </c>
      <c r="P334" s="1">
        <v>431.32</v>
      </c>
      <c r="Q334" s="3">
        <v>7735.6</v>
      </c>
      <c r="R334" s="1">
        <v>783.68</v>
      </c>
      <c r="S334" s="3">
        <v>8702.1</v>
      </c>
      <c r="T334" s="3">
        <v>6125.7</v>
      </c>
      <c r="U334" s="3">
        <v>2936.84</v>
      </c>
      <c r="V334" s="6">
        <f>VLOOKUP(A334,[2]韩国KOSPI指数历史数据!$A:$B,2,)</f>
        <v>1976.71</v>
      </c>
      <c r="W334" s="6">
        <f>VLOOKUP(A334,[3]日经225指数历史数据!$A:$B,2,)</f>
        <v>16106.72</v>
      </c>
      <c r="X334" s="3">
        <v>1410.84</v>
      </c>
      <c r="Y334" s="6">
        <f>VLOOKUP(A334,[4]上证指数历史数据!$A:$B,2,)</f>
        <v>2913.25</v>
      </c>
      <c r="Z334" s="6">
        <f>VLOOKUP(A334,[5]深证成份指数历史数据!$A:$B,2,)</f>
        <v>10100.530000000001</v>
      </c>
      <c r="AA334" s="6">
        <f>VLOOKUP(A334,[6]台湾加权指数历史数据!$A:$B,2,)</f>
        <v>8146.43</v>
      </c>
      <c r="AB334" s="3">
        <v>20109.87</v>
      </c>
      <c r="AC334" s="3">
        <v>2730.8</v>
      </c>
      <c r="AD334">
        <v>7733.45</v>
      </c>
      <c r="AE334" s="5">
        <f>VLOOKUP(A334,[7]越南VN30指数历史数据!$A:$B,2,)</f>
        <v>607.54999999999995</v>
      </c>
      <c r="AF334">
        <v>45101.87</v>
      </c>
      <c r="AG334" s="9">
        <v>9781.6299999999992</v>
      </c>
      <c r="AH334">
        <v>10157.290000000001</v>
      </c>
      <c r="AI334">
        <v>1127.76</v>
      </c>
      <c r="AJ334">
        <v>2488.4899999999998</v>
      </c>
    </row>
    <row r="335" spans="1:36" x14ac:dyDescent="0.3">
      <c r="A335" s="2">
        <v>42498</v>
      </c>
      <c r="B335" s="3">
        <v>13121.56</v>
      </c>
      <c r="C335" s="4">
        <v>51804</v>
      </c>
      <c r="D335" s="3">
        <v>5329</v>
      </c>
      <c r="E335" s="3">
        <v>17535.32</v>
      </c>
      <c r="F335" s="3">
        <v>13748.58</v>
      </c>
      <c r="G335" s="3">
        <v>1102.44</v>
      </c>
      <c r="H335" s="3">
        <v>2046.61</v>
      </c>
      <c r="I335" s="3">
        <v>4717.68</v>
      </c>
      <c r="J335" s="3">
        <v>45402.47</v>
      </c>
      <c r="K335" s="1">
        <v>19662.29</v>
      </c>
      <c r="L335" s="3">
        <v>1815.38</v>
      </c>
      <c r="M335" s="3">
        <v>9952.9</v>
      </c>
      <c r="N335" s="6">
        <f>VLOOKUP(A335,'[1]俄罗斯交易系统市值加权指数历史数据 (1)'!$A:$B,2,)</f>
        <v>921.88</v>
      </c>
      <c r="O335" s="3">
        <v>4319.99</v>
      </c>
      <c r="P335" s="1">
        <v>433.52</v>
      </c>
      <c r="Q335" s="3">
        <v>7925.76</v>
      </c>
      <c r="R335" s="1">
        <v>778.08</v>
      </c>
      <c r="S335" s="3">
        <v>8721.5</v>
      </c>
      <c r="T335" s="3">
        <v>6138.5</v>
      </c>
      <c r="U335" s="3">
        <v>2956.63</v>
      </c>
      <c r="V335" s="6">
        <f>VLOOKUP(A335,[2]韩国KOSPI指数历史数据!$A:$B,2,)</f>
        <v>1966.99</v>
      </c>
      <c r="W335" s="6">
        <f>VLOOKUP(A335,[3]日经225指数历史数据!$A:$B,2,)</f>
        <v>16412.21</v>
      </c>
      <c r="X335" s="3">
        <v>1420.9</v>
      </c>
      <c r="Y335" s="6">
        <f>VLOOKUP(A335,[4]上证指数历史数据!$A:$B,2,)</f>
        <v>2827.11</v>
      </c>
      <c r="Z335" s="6">
        <f>VLOOKUP(A335,[5]深证成份指数历史数据!$A:$B,2,)</f>
        <v>9759.27</v>
      </c>
      <c r="AA335" s="6">
        <f>VLOOKUP(A335,[6]台湾加权指数历史数据!$A:$B,2,)</f>
        <v>8053.69</v>
      </c>
      <c r="AB335" s="3">
        <v>19719.29</v>
      </c>
      <c r="AC335" s="3">
        <v>2734.91</v>
      </c>
      <c r="AD335">
        <v>7814.9</v>
      </c>
      <c r="AE335" s="5">
        <f>VLOOKUP(A335,[7]越南VN30指数历史数据!$A:$B,2,)</f>
        <v>609.97</v>
      </c>
      <c r="AF335">
        <v>45403.15</v>
      </c>
      <c r="AG335" s="9">
        <v>9713.26</v>
      </c>
      <c r="AH335">
        <v>10100.57</v>
      </c>
      <c r="AI335">
        <v>1171.04</v>
      </c>
      <c r="AJ335">
        <v>2512.79</v>
      </c>
    </row>
    <row r="336" spans="1:36" x14ac:dyDescent="0.3">
      <c r="A336" s="2">
        <v>42505</v>
      </c>
      <c r="B336" s="3">
        <v>12656.28</v>
      </c>
      <c r="C336" s="4">
        <v>49723</v>
      </c>
      <c r="D336" s="3">
        <v>5351.3</v>
      </c>
      <c r="E336" s="3">
        <v>17500.939999999999</v>
      </c>
      <c r="F336" s="3">
        <v>13919.58</v>
      </c>
      <c r="G336" s="3">
        <v>1112.28</v>
      </c>
      <c r="H336" s="3">
        <v>2052.3200000000002</v>
      </c>
      <c r="I336" s="3">
        <v>4769.5600000000004</v>
      </c>
      <c r="J336" s="3">
        <v>45155.91</v>
      </c>
      <c r="K336" s="1">
        <v>19404.240000000002</v>
      </c>
      <c r="L336" s="3">
        <v>1806.38</v>
      </c>
      <c r="M336" s="3">
        <v>9916.02</v>
      </c>
      <c r="N336" s="6">
        <f>VLOOKUP(A336,'[1]俄罗斯交易系统市值加权指数历史数据 (1)'!$A:$B,2,)</f>
        <v>893.09</v>
      </c>
      <c r="O336" s="3">
        <v>4353.8999999999996</v>
      </c>
      <c r="P336" s="1">
        <v>434.36</v>
      </c>
      <c r="Q336" s="3">
        <v>7997.3</v>
      </c>
      <c r="R336" s="1">
        <v>763.58</v>
      </c>
      <c r="S336" s="3">
        <v>8771.2000000000007</v>
      </c>
      <c r="T336" s="3">
        <v>6156.32</v>
      </c>
      <c r="U336" s="3">
        <v>2962.16</v>
      </c>
      <c r="V336" s="6">
        <f>VLOOKUP(A336,[2]韩国KOSPI指数历史数据!$A:$B,2,)</f>
        <v>1947.67</v>
      </c>
      <c r="W336" s="6">
        <f>VLOOKUP(A336,[3]日经225指数历史数据!$A:$B,2,)</f>
        <v>16736.349999999999</v>
      </c>
      <c r="X336" s="3">
        <v>1398.45</v>
      </c>
      <c r="Y336" s="6">
        <f>VLOOKUP(A336,[4]上证指数历史数据!$A:$B,2,)</f>
        <v>2825.48</v>
      </c>
      <c r="Z336" s="6">
        <f>VLOOKUP(A336,[5]深证成份指数历史数据!$A:$B,2,)</f>
        <v>9816.75</v>
      </c>
      <c r="AA336" s="6">
        <f>VLOOKUP(A336,[6]台湾加权指数历史数据!$A:$B,2,)</f>
        <v>8131.26</v>
      </c>
      <c r="AB336" s="3">
        <v>19852.2</v>
      </c>
      <c r="AC336" s="3">
        <v>2763.82</v>
      </c>
      <c r="AD336">
        <v>7749.7</v>
      </c>
      <c r="AE336" s="5">
        <f>VLOOKUP(A336,[7]越南VN30指数历史数据!$A:$B,2,)</f>
        <v>616.4</v>
      </c>
      <c r="AF336">
        <v>46531.45</v>
      </c>
      <c r="AG336" s="9">
        <v>9702.27</v>
      </c>
      <c r="AH336">
        <v>9940.25</v>
      </c>
      <c r="AI336">
        <v>1207.02</v>
      </c>
      <c r="AJ336">
        <v>2507.19</v>
      </c>
    </row>
    <row r="337" spans="1:36" x14ac:dyDescent="0.3">
      <c r="A337" s="2">
        <v>42512</v>
      </c>
      <c r="B337" s="3">
        <v>12727.46</v>
      </c>
      <c r="C337" s="4">
        <v>49051</v>
      </c>
      <c r="D337" s="3">
        <v>5405.9</v>
      </c>
      <c r="E337" s="3">
        <v>17873.22</v>
      </c>
      <c r="F337" s="3">
        <v>14105.23</v>
      </c>
      <c r="G337" s="3">
        <v>1150.45</v>
      </c>
      <c r="H337" s="3">
        <v>2099.06</v>
      </c>
      <c r="I337" s="3">
        <v>4933.51</v>
      </c>
      <c r="J337" s="3">
        <v>46124.15</v>
      </c>
      <c r="K337" s="1">
        <v>19479.52</v>
      </c>
      <c r="L337" s="3">
        <v>1839.22</v>
      </c>
      <c r="M337" s="3">
        <v>10286.31</v>
      </c>
      <c r="N337" s="6">
        <f>VLOOKUP(A337,'[1]俄罗斯交易系统市值加权指数历史数据 (1)'!$A:$B,2,)</f>
        <v>917.52</v>
      </c>
      <c r="O337" s="3">
        <v>4514.74</v>
      </c>
      <c r="P337" s="1">
        <v>450.94</v>
      </c>
      <c r="Q337" s="3">
        <v>8292.4500000000007</v>
      </c>
      <c r="R337" s="1">
        <v>780.29</v>
      </c>
      <c r="S337" s="3">
        <v>9107.2999999999993</v>
      </c>
      <c r="T337" s="3">
        <v>6270.79</v>
      </c>
      <c r="U337" s="3">
        <v>3078.48</v>
      </c>
      <c r="V337" s="6">
        <f>VLOOKUP(A337,[2]韩国KOSPI指数历史数据!$A:$B,2,)</f>
        <v>1969.17</v>
      </c>
      <c r="W337" s="6">
        <f>VLOOKUP(A337,[3]日经225指数历史数据!$A:$B,2,)</f>
        <v>16834.84</v>
      </c>
      <c r="X337" s="3">
        <v>1430.5</v>
      </c>
      <c r="Y337" s="6">
        <f>VLOOKUP(A337,[4]上证指数历史数据!$A:$B,2,)</f>
        <v>2821.05</v>
      </c>
      <c r="Z337" s="6">
        <f>VLOOKUP(A337,[5]深证成份指数历史数据!$A:$B,2,)</f>
        <v>9813.6299999999992</v>
      </c>
      <c r="AA337" s="6">
        <f>VLOOKUP(A337,[6]台湾加权指数历史数据!$A:$B,2,)</f>
        <v>8463.61</v>
      </c>
      <c r="AB337" s="3">
        <v>20576.77</v>
      </c>
      <c r="AC337" s="3">
        <v>2802.51</v>
      </c>
      <c r="AD337">
        <v>8156.65</v>
      </c>
      <c r="AE337" s="5">
        <f>VLOOKUP(A337,[7]越南VN30指数历史数据!$A:$B,2,)</f>
        <v>611</v>
      </c>
      <c r="AF337">
        <v>48069.78</v>
      </c>
      <c r="AG337" s="9">
        <v>9839.61</v>
      </c>
      <c r="AH337">
        <v>9751.02</v>
      </c>
      <c r="AI337">
        <v>1292.24</v>
      </c>
      <c r="AJ337">
        <v>2520.23</v>
      </c>
    </row>
    <row r="338" spans="1:36" x14ac:dyDescent="0.3">
      <c r="A338" s="2">
        <v>42519</v>
      </c>
      <c r="B338" s="3">
        <v>12791.08</v>
      </c>
      <c r="C338" s="4">
        <v>50620</v>
      </c>
      <c r="D338" s="3">
        <v>5318.9</v>
      </c>
      <c r="E338" s="3">
        <v>17807.060000000001</v>
      </c>
      <c r="F338" s="3">
        <v>14226.78</v>
      </c>
      <c r="G338" s="3">
        <v>1164.1400000000001</v>
      </c>
      <c r="H338" s="3">
        <v>2099.13</v>
      </c>
      <c r="I338" s="3">
        <v>4942.5200000000004</v>
      </c>
      <c r="J338" s="3">
        <v>45928.23</v>
      </c>
      <c r="K338" s="1">
        <v>19481.8</v>
      </c>
      <c r="L338" s="3">
        <v>1793.43</v>
      </c>
      <c r="M338" s="3">
        <v>10103.26</v>
      </c>
      <c r="N338" s="6">
        <f>VLOOKUP(A338,'[1]俄罗斯交易系统市值加权指数历史数据 (1)'!$A:$B,2,)</f>
        <v>902.64</v>
      </c>
      <c r="O338" s="3">
        <v>4421.78</v>
      </c>
      <c r="P338" s="1">
        <v>445.31</v>
      </c>
      <c r="Q338" s="3">
        <v>8148.4</v>
      </c>
      <c r="R338" s="1">
        <v>781.39</v>
      </c>
      <c r="S338" s="3">
        <v>8801.6</v>
      </c>
      <c r="T338" s="3">
        <v>6209.63</v>
      </c>
      <c r="U338" s="3">
        <v>2997.55</v>
      </c>
      <c r="V338" s="6">
        <f>VLOOKUP(A338,[2]韩国KOSPI指数历史数据!$A:$B,2,)</f>
        <v>1985.84</v>
      </c>
      <c r="W338" s="6">
        <f>VLOOKUP(A338,[3]日经225指数历史数据!$A:$B,2,)</f>
        <v>16642.23</v>
      </c>
      <c r="X338" s="3">
        <v>1444.86</v>
      </c>
      <c r="Y338" s="6">
        <f>VLOOKUP(A338,[4]上证指数历史数据!$A:$B,2,)</f>
        <v>2938.68</v>
      </c>
      <c r="Z338" s="6">
        <f>VLOOKUP(A338,[5]深证成份指数历史数据!$A:$B,2,)</f>
        <v>10344.91</v>
      </c>
      <c r="AA338" s="6">
        <f>VLOOKUP(A338,[6]台湾加权指数历史数据!$A:$B,2,)</f>
        <v>8591.57</v>
      </c>
      <c r="AB338" s="3">
        <v>20947.240000000002</v>
      </c>
      <c r="AC338" s="3">
        <v>2809.23</v>
      </c>
      <c r="AD338">
        <v>8220.7999999999993</v>
      </c>
      <c r="AE338" s="5">
        <f>VLOOKUP(A338,[7]越南VN30指数历史数据!$A:$B,2,)</f>
        <v>621.04999999999995</v>
      </c>
      <c r="AF338">
        <v>48083.54</v>
      </c>
      <c r="AG338" s="9">
        <v>9970.4500000000007</v>
      </c>
      <c r="AH338">
        <v>9832.64</v>
      </c>
      <c r="AI338">
        <v>1229.25</v>
      </c>
      <c r="AJ338">
        <v>2424.86</v>
      </c>
    </row>
    <row r="339" spans="1:36" x14ac:dyDescent="0.3">
      <c r="A339" s="2">
        <v>42526</v>
      </c>
      <c r="B339" s="3">
        <v>13324.43</v>
      </c>
      <c r="C339" s="4">
        <v>49422</v>
      </c>
      <c r="D339" s="3">
        <v>5312.6</v>
      </c>
      <c r="E339" s="3">
        <v>17865.34</v>
      </c>
      <c r="F339" s="3">
        <v>14037.54</v>
      </c>
      <c r="G339" s="3">
        <v>1163.93</v>
      </c>
      <c r="H339" s="3">
        <v>2096.0700000000002</v>
      </c>
      <c r="I339" s="3">
        <v>4894.55</v>
      </c>
      <c r="J339" s="3">
        <v>45177.5</v>
      </c>
      <c r="K339" s="1">
        <v>19572.98</v>
      </c>
      <c r="L339" s="3">
        <v>1782.02</v>
      </c>
      <c r="M339" s="3">
        <v>9834.6200000000008</v>
      </c>
      <c r="N339" s="6">
        <f>VLOOKUP(A339,'[1]俄罗斯交易系统市值加权指数历史数据 (1)'!$A:$B,2,)</f>
        <v>924.65</v>
      </c>
      <c r="O339" s="3">
        <v>4306.72</v>
      </c>
      <c r="P339" s="1">
        <v>435.77</v>
      </c>
      <c r="Q339" s="3">
        <v>7922.71</v>
      </c>
      <c r="R339" s="1">
        <v>768.87</v>
      </c>
      <c r="S339" s="3">
        <v>8490.5</v>
      </c>
      <c r="T339" s="3">
        <v>6115.76</v>
      </c>
      <c r="U339" s="3">
        <v>2911.11</v>
      </c>
      <c r="V339" s="6">
        <f>VLOOKUP(A339,[2]韩国KOSPI指数历史数据!$A:$B,2,)</f>
        <v>2017.63</v>
      </c>
      <c r="W339" s="6">
        <f>VLOOKUP(A339,[3]日经225指数历史数据!$A:$B,2,)</f>
        <v>16601.36</v>
      </c>
      <c r="X339" s="3">
        <v>1430.44</v>
      </c>
      <c r="Y339" s="6">
        <f>VLOOKUP(A339,[4]上证指数历史数据!$A:$B,2,)</f>
        <v>2927.16</v>
      </c>
      <c r="Z339" s="6">
        <f>VLOOKUP(A339,[5]深证成份指数历史数据!$A:$B,2,)</f>
        <v>10316.82</v>
      </c>
      <c r="AA339" s="6">
        <f>VLOOKUP(A339,[6]台湾加权指数历史数据!$A:$B,2,)</f>
        <v>8715.48</v>
      </c>
      <c r="AB339" s="3">
        <v>21042.639999999999</v>
      </c>
      <c r="AC339" s="3">
        <v>2822.97</v>
      </c>
      <c r="AD339">
        <v>8170.05</v>
      </c>
      <c r="AE339" s="5">
        <f>VLOOKUP(A339,[7]越南VN30指数历史数据!$A:$B,2,)</f>
        <v>629.27</v>
      </c>
      <c r="AF339">
        <v>47028.08</v>
      </c>
      <c r="AG339" s="9">
        <v>10123.200000000001</v>
      </c>
      <c r="AH339">
        <v>9753.4</v>
      </c>
      <c r="AI339">
        <v>1210.68</v>
      </c>
      <c r="AJ339">
        <v>2485.7800000000002</v>
      </c>
    </row>
    <row r="340" spans="1:36" x14ac:dyDescent="0.3">
      <c r="A340" s="2">
        <v>42533</v>
      </c>
      <c r="B340" s="3">
        <v>13073.38</v>
      </c>
      <c r="C340" s="4">
        <v>49534</v>
      </c>
      <c r="D340" s="3">
        <v>5162.7</v>
      </c>
      <c r="E340" s="3">
        <v>17675.16</v>
      </c>
      <c r="F340" s="3">
        <v>13901.77</v>
      </c>
      <c r="G340" s="3">
        <v>1144.7</v>
      </c>
      <c r="H340" s="3">
        <v>2071.2199999999998</v>
      </c>
      <c r="I340" s="3">
        <v>4800.34</v>
      </c>
      <c r="J340" s="3">
        <v>45306.22</v>
      </c>
      <c r="K340" s="1">
        <v>19651.22</v>
      </c>
      <c r="L340" s="3">
        <v>1754.45</v>
      </c>
      <c r="M340" s="3">
        <v>9631.36</v>
      </c>
      <c r="N340" s="6">
        <f>VLOOKUP(A340,'[1]俄罗斯交易系统市值加权指数历史数据 (1)'!$A:$B,2,)</f>
        <v>910.28</v>
      </c>
      <c r="O340" s="3">
        <v>4193.83</v>
      </c>
      <c r="P340" s="1">
        <v>421.77</v>
      </c>
      <c r="Q340" s="3">
        <v>7713.61</v>
      </c>
      <c r="R340" s="1">
        <v>754.31</v>
      </c>
      <c r="S340" s="3">
        <v>8362</v>
      </c>
      <c r="T340" s="3">
        <v>6021.09</v>
      </c>
      <c r="U340" s="3">
        <v>2849.17</v>
      </c>
      <c r="V340" s="6">
        <f>VLOOKUP(A340,[2]韩国KOSPI指数历史数据!$A:$B,2,)</f>
        <v>1953.4</v>
      </c>
      <c r="W340" s="6">
        <f>VLOOKUP(A340,[3]日经225指数历史数据!$A:$B,2,)</f>
        <v>15599.66</v>
      </c>
      <c r="X340" s="3">
        <v>1408.68</v>
      </c>
      <c r="Y340" s="6">
        <f>VLOOKUP(A340,[4]上证指数历史数据!$A:$B,2,)</f>
        <v>2885.11</v>
      </c>
      <c r="Z340" s="6">
        <f>VLOOKUP(A340,[5]深证成份指数历史数据!$A:$B,2,)</f>
        <v>10182.530000000001</v>
      </c>
      <c r="AA340" s="6">
        <f>VLOOKUP(A340,[6]台湾加权指数历史数据!$A:$B,2,)</f>
        <v>8568.08</v>
      </c>
      <c r="AB340" s="3">
        <v>20169.98</v>
      </c>
      <c r="AC340" s="3">
        <v>2763.42</v>
      </c>
      <c r="AD340">
        <v>8170.2</v>
      </c>
      <c r="AE340" s="5">
        <f>VLOOKUP(A340,[7]越南VN30指数历史数据!$A:$B,2,)</f>
        <v>615.75</v>
      </c>
      <c r="AF340">
        <v>46136.89</v>
      </c>
      <c r="AG340" s="9">
        <v>9703.75</v>
      </c>
      <c r="AH340">
        <v>9649.6</v>
      </c>
      <c r="AI340">
        <v>1297.6500000000001</v>
      </c>
      <c r="AJ340">
        <v>2436.6799999999998</v>
      </c>
    </row>
    <row r="341" spans="1:36" x14ac:dyDescent="0.3">
      <c r="A341" s="2">
        <v>42540</v>
      </c>
      <c r="B341" s="3">
        <v>13924.54</v>
      </c>
      <c r="C341" s="4">
        <v>50105</v>
      </c>
      <c r="D341" s="3">
        <v>5113.2</v>
      </c>
      <c r="E341" s="3">
        <v>17400.75</v>
      </c>
      <c r="F341" s="3">
        <v>13891.88</v>
      </c>
      <c r="G341" s="3">
        <v>1127.54</v>
      </c>
      <c r="H341" s="3">
        <v>2037.41</v>
      </c>
      <c r="I341" s="3">
        <v>4707.9799999999996</v>
      </c>
      <c r="J341" s="3">
        <v>44885.82</v>
      </c>
      <c r="K341" s="1">
        <v>19588.259999999998</v>
      </c>
      <c r="L341" s="3">
        <v>1769.67</v>
      </c>
      <c r="M341" s="3">
        <v>9557.16</v>
      </c>
      <c r="N341" s="6">
        <f>VLOOKUP(A341,'[1]俄罗斯交易系统市值加权指数历史数据 (1)'!$A:$B,2,)</f>
        <v>912.49</v>
      </c>
      <c r="O341" s="3">
        <v>4106.7299999999996</v>
      </c>
      <c r="P341" s="1">
        <v>424.2</v>
      </c>
      <c r="Q341" s="3">
        <v>7747.18</v>
      </c>
      <c r="R341" s="1">
        <v>753.66</v>
      </c>
      <c r="S341" s="3">
        <v>7787.7</v>
      </c>
      <c r="T341" s="3">
        <v>6138.69</v>
      </c>
      <c r="U341" s="3">
        <v>2776.09</v>
      </c>
      <c r="V341" s="6">
        <f>VLOOKUP(A341,[2]韩国KOSPI指数历史数据!$A:$B,2,)</f>
        <v>1925.24</v>
      </c>
      <c r="W341" s="6">
        <f>VLOOKUP(A341,[3]日经225指数历史数据!$A:$B,2,)</f>
        <v>14952.02</v>
      </c>
      <c r="X341" s="3">
        <v>1432.64</v>
      </c>
      <c r="Y341" s="6">
        <f>VLOOKUP(A341,[4]上证指数历史数据!$A:$B,2,)</f>
        <v>2854.29</v>
      </c>
      <c r="Z341" s="6">
        <f>VLOOKUP(A341,[5]深证成份指数历史数据!$A:$B,2,)</f>
        <v>10147.700000000001</v>
      </c>
      <c r="AA341" s="6">
        <f>VLOOKUP(A341,[6]台湾加权指数历史数据!$A:$B,2,)</f>
        <v>8476.99</v>
      </c>
      <c r="AB341" s="3">
        <v>20259.13</v>
      </c>
      <c r="AC341" s="3">
        <v>2735.39</v>
      </c>
      <c r="AD341">
        <v>8088.6</v>
      </c>
      <c r="AE341" s="5">
        <f>VLOOKUP(A341,[7]越南VN30指数历史数据!$A:$B,2,)</f>
        <v>612.69000000000005</v>
      </c>
      <c r="AF341">
        <v>45570.39</v>
      </c>
      <c r="AG341" s="9">
        <v>9437.9500000000007</v>
      </c>
      <c r="AH341">
        <v>9603.16</v>
      </c>
      <c r="AI341">
        <v>1362.48</v>
      </c>
      <c r="AJ341">
        <v>2495.46</v>
      </c>
    </row>
    <row r="342" spans="1:36" x14ac:dyDescent="0.3">
      <c r="A342" s="2">
        <v>42547</v>
      </c>
      <c r="B342" s="3">
        <v>15111.69</v>
      </c>
      <c r="C342" s="4">
        <v>52233</v>
      </c>
      <c r="D342" s="3">
        <v>5246.6</v>
      </c>
      <c r="E342" s="3">
        <v>17949.37</v>
      </c>
      <c r="F342" s="3">
        <v>14064.54</v>
      </c>
      <c r="G342" s="3">
        <v>1156.77</v>
      </c>
      <c r="H342" s="3">
        <v>2102.9499999999998</v>
      </c>
      <c r="I342" s="3">
        <v>4862.57</v>
      </c>
      <c r="J342" s="3">
        <v>46213.27</v>
      </c>
      <c r="K342" s="1">
        <v>19875.22</v>
      </c>
      <c r="L342" s="3">
        <v>1744.56</v>
      </c>
      <c r="M342" s="3">
        <v>9776.1200000000008</v>
      </c>
      <c r="N342" s="6">
        <f>VLOOKUP(A342,'[1]俄罗斯交易系统市值加权指数历史数据 (1)'!$A:$B,2,)</f>
        <v>933.32</v>
      </c>
      <c r="O342" s="3">
        <v>4273.96</v>
      </c>
      <c r="P342" s="1">
        <v>438.85</v>
      </c>
      <c r="Q342" s="3">
        <v>8085.21</v>
      </c>
      <c r="R342" s="1">
        <v>779.52</v>
      </c>
      <c r="S342" s="3">
        <v>8268.9</v>
      </c>
      <c r="T342" s="3">
        <v>6577.83</v>
      </c>
      <c r="U342" s="3">
        <v>2883.06</v>
      </c>
      <c r="V342" s="6">
        <f>VLOOKUP(A342,[2]韩国KOSPI指数历史数据!$A:$B,2,)</f>
        <v>1987.32</v>
      </c>
      <c r="W342" s="6">
        <f>VLOOKUP(A342,[3]日经225指数历史数据!$A:$B,2,)</f>
        <v>15682.48</v>
      </c>
      <c r="X342" s="3">
        <v>1397.95</v>
      </c>
      <c r="Y342" s="6">
        <f>VLOOKUP(A342,[4]上证指数历史数据!$A:$B,2,)</f>
        <v>2932.48</v>
      </c>
      <c r="Z342" s="6">
        <f>VLOOKUP(A342,[5]深证成份指数历史数据!$A:$B,2,)</f>
        <v>10458.43</v>
      </c>
      <c r="AA342" s="6">
        <f>VLOOKUP(A342,[6]台湾加权指数历史数据!$A:$B,2,)</f>
        <v>8738.24</v>
      </c>
      <c r="AB342" s="3">
        <v>20794.37</v>
      </c>
      <c r="AC342" s="3">
        <v>2846.37</v>
      </c>
      <c r="AD342">
        <v>8328.35</v>
      </c>
      <c r="AE342" s="5">
        <f>VLOOKUP(A342,[7]越南VN30指数历史数据!$A:$B,2,)</f>
        <v>626.34</v>
      </c>
      <c r="AF342">
        <v>46015.54</v>
      </c>
      <c r="AG342" s="9">
        <v>9031.6299999999992</v>
      </c>
      <c r="AH342">
        <v>9512.7099999999991</v>
      </c>
      <c r="AI342">
        <v>1299.23</v>
      </c>
      <c r="AJ342">
        <v>2479.7800000000002</v>
      </c>
    </row>
    <row r="343" spans="1:36" x14ac:dyDescent="0.3">
      <c r="A343" s="2">
        <v>42554</v>
      </c>
      <c r="B343" s="3">
        <v>14689.61</v>
      </c>
      <c r="C343" s="4">
        <v>53141</v>
      </c>
      <c r="D343" s="3">
        <v>5230.5</v>
      </c>
      <c r="E343" s="3">
        <v>18146.740000000002</v>
      </c>
      <c r="F343" s="3">
        <v>14259.84</v>
      </c>
      <c r="G343" s="3">
        <v>1177.3599999999999</v>
      </c>
      <c r="H343" s="3">
        <v>2129.9</v>
      </c>
      <c r="I343" s="3">
        <v>4956.76</v>
      </c>
      <c r="J343" s="3">
        <v>45744.29</v>
      </c>
      <c r="K343" s="1">
        <v>19898.490000000002</v>
      </c>
      <c r="L343" s="3">
        <v>1705.43</v>
      </c>
      <c r="M343" s="3">
        <v>9629.66</v>
      </c>
      <c r="N343" s="6">
        <f>VLOOKUP(A343,'[1]俄罗斯交易系统市值加权指数历史数据 (1)'!$A:$B,2,)</f>
        <v>934.35</v>
      </c>
      <c r="O343" s="3">
        <v>4190.68</v>
      </c>
      <c r="P343" s="1">
        <v>433.77</v>
      </c>
      <c r="Q343" s="3">
        <v>8037.94</v>
      </c>
      <c r="R343" s="1">
        <v>780.19</v>
      </c>
      <c r="S343" s="3">
        <v>8185.9</v>
      </c>
      <c r="T343" s="3">
        <v>6590.64</v>
      </c>
      <c r="U343" s="3">
        <v>2838.01</v>
      </c>
      <c r="V343" s="6">
        <f>VLOOKUP(A343,[2]韩国KOSPI指数历史数据!$A:$B,2,)</f>
        <v>1963.1</v>
      </c>
      <c r="W343" s="6">
        <f>VLOOKUP(A343,[3]日经225指数历史数据!$A:$B,2,)</f>
        <v>15106.98</v>
      </c>
      <c r="X343" s="3">
        <v>1412.44</v>
      </c>
      <c r="Y343" s="6">
        <f>VLOOKUP(A343,[4]上证指数历史数据!$A:$B,2,)</f>
        <v>2988.09</v>
      </c>
      <c r="Z343" s="6">
        <f>VLOOKUP(A343,[5]深证成份指数历史数据!$A:$B,2,)</f>
        <v>10611.8</v>
      </c>
      <c r="AA343" s="6">
        <f>VLOOKUP(A343,[6]台湾加权指数历史数据!$A:$B,2,)</f>
        <v>8640.91</v>
      </c>
      <c r="AB343" s="3">
        <v>20564.169999999998</v>
      </c>
      <c r="AC343" s="3">
        <v>2847.04</v>
      </c>
      <c r="AD343">
        <v>8323.2000000000007</v>
      </c>
      <c r="AE343" s="5">
        <f>VLOOKUP(A343,[7]越南VN30指数历史数据!$A:$B,2,)</f>
        <v>643.55999999999995</v>
      </c>
      <c r="AF343">
        <v>44920.65</v>
      </c>
      <c r="AG343" s="9">
        <v>9401.17</v>
      </c>
      <c r="AH343">
        <v>9620.44</v>
      </c>
      <c r="AI343">
        <v>1276.3599999999999</v>
      </c>
      <c r="AJ343">
        <v>2673.14</v>
      </c>
    </row>
    <row r="344" spans="1:36" x14ac:dyDescent="0.3">
      <c r="A344" s="2">
        <v>42561</v>
      </c>
      <c r="B344" s="3">
        <v>15643.26</v>
      </c>
      <c r="C344" s="4">
        <v>55578</v>
      </c>
      <c r="D344" s="3">
        <v>5429.6</v>
      </c>
      <c r="E344" s="3">
        <v>18516.55</v>
      </c>
      <c r="F344" s="3">
        <v>14482.42</v>
      </c>
      <c r="G344" s="3">
        <v>1205.31</v>
      </c>
      <c r="H344" s="3">
        <v>2161.7399999999998</v>
      </c>
      <c r="I344" s="3">
        <v>5029.59</v>
      </c>
      <c r="J344" s="3">
        <v>46713.43</v>
      </c>
      <c r="K344" s="1">
        <v>20228.03</v>
      </c>
      <c r="L344" s="3">
        <v>1759.41</v>
      </c>
      <c r="M344" s="3">
        <v>10066.9</v>
      </c>
      <c r="N344" s="6">
        <f>VLOOKUP(A344,'[1]俄罗斯交易系统市值加权指数历史数据 (1)'!$A:$B,2,)</f>
        <v>963.7</v>
      </c>
      <c r="O344" s="3">
        <v>4372.51</v>
      </c>
      <c r="P344" s="1">
        <v>447.51</v>
      </c>
      <c r="Q344" s="3">
        <v>8156.26</v>
      </c>
      <c r="R344" s="1">
        <v>828.25</v>
      </c>
      <c r="S344" s="3">
        <v>8531</v>
      </c>
      <c r="T344" s="3">
        <v>6669.24</v>
      </c>
      <c r="U344" s="3">
        <v>2958.65</v>
      </c>
      <c r="V344" s="6">
        <f>VLOOKUP(A344,[2]韩国KOSPI指数历史数据!$A:$B,2,)</f>
        <v>2017.26</v>
      </c>
      <c r="W344" s="6">
        <f>VLOOKUP(A344,[3]日经225指数历史数据!$A:$B,2,)</f>
        <v>16497.849999999999</v>
      </c>
      <c r="X344" s="3">
        <v>1460.97</v>
      </c>
      <c r="Y344" s="6">
        <f>VLOOKUP(A344,[4]上证指数历史数据!$A:$B,2,)</f>
        <v>3054.3</v>
      </c>
      <c r="Z344" s="6">
        <f>VLOOKUP(A344,[5]深证成份指数历史数据!$A:$B,2,)</f>
        <v>10823.21</v>
      </c>
      <c r="AA344" s="6">
        <f>VLOOKUP(A344,[6]台湾加权指数历史数据!$A:$B,2,)</f>
        <v>8949.85</v>
      </c>
      <c r="AB344" s="3">
        <v>21659.25</v>
      </c>
      <c r="AC344" s="3">
        <v>2925.35</v>
      </c>
      <c r="AD344">
        <v>8541.4</v>
      </c>
      <c r="AE344" s="5">
        <f>VLOOKUP(A344,[7]越南VN30指数历史数据!$A:$B,2,)</f>
        <v>653.63</v>
      </c>
      <c r="AF344">
        <v>46454.35</v>
      </c>
      <c r="AG344" s="9">
        <v>9933.66</v>
      </c>
      <c r="AH344">
        <v>9794.68</v>
      </c>
      <c r="AI344">
        <v>1278.52</v>
      </c>
      <c r="AJ344">
        <v>2619.66</v>
      </c>
    </row>
    <row r="345" spans="1:36" x14ac:dyDescent="0.3">
      <c r="A345" s="2">
        <v>42568</v>
      </c>
      <c r="B345" s="3">
        <v>15846.54</v>
      </c>
      <c r="C345" s="4">
        <v>57002</v>
      </c>
      <c r="D345" s="3">
        <v>5498.2</v>
      </c>
      <c r="E345" s="3">
        <v>18570.849999999999</v>
      </c>
      <c r="F345" s="3">
        <v>14600.66</v>
      </c>
      <c r="G345" s="3">
        <v>1212.8900000000001</v>
      </c>
      <c r="H345" s="3">
        <v>2175.0300000000002</v>
      </c>
      <c r="I345" s="3">
        <v>5100.16</v>
      </c>
      <c r="J345" s="3">
        <v>47537.279999999999</v>
      </c>
      <c r="K345" s="1">
        <v>20450.849999999999</v>
      </c>
      <c r="L345" s="3">
        <v>1792.97</v>
      </c>
      <c r="M345" s="3">
        <v>10147.459999999999</v>
      </c>
      <c r="N345" s="6">
        <f>VLOOKUP(A345,'[1]俄罗斯交易系统市值加权指数历史数据 (1)'!$A:$B,2,)</f>
        <v>935.98</v>
      </c>
      <c r="O345" s="3">
        <v>4381.1000000000004</v>
      </c>
      <c r="P345" s="1">
        <v>453.35</v>
      </c>
      <c r="Q345" s="3">
        <v>8194.73</v>
      </c>
      <c r="R345" s="1">
        <v>717.38</v>
      </c>
      <c r="S345" s="3">
        <v>8599.9</v>
      </c>
      <c r="T345" s="3">
        <v>6730.48</v>
      </c>
      <c r="U345" s="3">
        <v>2972.23</v>
      </c>
      <c r="V345" s="6">
        <f>VLOOKUP(A345,[2]韩国KOSPI指数历史数据!$A:$B,2,)</f>
        <v>2010.34</v>
      </c>
      <c r="W345" s="6">
        <f>VLOOKUP(A345,[3]日经225指数历史数据!$A:$B,2,)</f>
        <v>16627.25</v>
      </c>
      <c r="X345" s="3">
        <v>1467.68</v>
      </c>
      <c r="Y345" s="6">
        <f>VLOOKUP(A345,[4]上证指数历史数据!$A:$B,2,)</f>
        <v>3012.82</v>
      </c>
      <c r="Z345" s="6">
        <f>VLOOKUP(A345,[5]深证成份指数历史数据!$A:$B,2,)</f>
        <v>10709.07</v>
      </c>
      <c r="AA345" s="6">
        <f>VLOOKUP(A345,[6]台湾加权指数历史数据!$A:$B,2,)</f>
        <v>9013.14</v>
      </c>
      <c r="AB345" s="3">
        <v>21964.27</v>
      </c>
      <c r="AC345" s="3">
        <v>2945.35</v>
      </c>
      <c r="AD345">
        <v>8541.2000000000007</v>
      </c>
      <c r="AE345" s="5">
        <f>VLOOKUP(A345,[7]越南VN30指数历史数据!$A:$B,2,)</f>
        <v>634.34</v>
      </c>
      <c r="AF345">
        <v>46285.24</v>
      </c>
      <c r="AG345" s="9">
        <v>9705.5499999999993</v>
      </c>
      <c r="AH345">
        <v>9814.73</v>
      </c>
      <c r="AI345">
        <v>1228.8</v>
      </c>
      <c r="AJ345">
        <v>2689.1</v>
      </c>
    </row>
    <row r="346" spans="1:36" x14ac:dyDescent="0.3">
      <c r="A346" s="2">
        <v>42575</v>
      </c>
      <c r="B346" s="3">
        <v>15803.5</v>
      </c>
      <c r="C346" s="4">
        <v>57308</v>
      </c>
      <c r="D346" s="3">
        <v>5562.4</v>
      </c>
      <c r="E346" s="3">
        <v>18432.240000000002</v>
      </c>
      <c r="F346" s="3">
        <v>14582.74</v>
      </c>
      <c r="G346" s="3">
        <v>1219.94</v>
      </c>
      <c r="H346" s="3">
        <v>2173.6</v>
      </c>
      <c r="I346" s="3">
        <v>5162.13</v>
      </c>
      <c r="J346" s="3">
        <v>46660.67</v>
      </c>
      <c r="K346" s="1">
        <v>20368.48</v>
      </c>
      <c r="L346" s="3">
        <v>1759.74</v>
      </c>
      <c r="M346" s="3">
        <v>10337.5</v>
      </c>
      <c r="N346" s="6">
        <f>VLOOKUP(A346,'[1]俄罗斯交易系统市值加权指数历史数据 (1)'!$A:$B,2,)</f>
        <v>927.57</v>
      </c>
      <c r="O346" s="3">
        <v>4439.8100000000004</v>
      </c>
      <c r="P346" s="1">
        <v>449.83</v>
      </c>
      <c r="Q346" s="3">
        <v>8127.2</v>
      </c>
      <c r="R346" s="1">
        <v>754.06</v>
      </c>
      <c r="S346" s="3">
        <v>8587.2000000000007</v>
      </c>
      <c r="T346" s="3">
        <v>6724.43</v>
      </c>
      <c r="U346" s="3">
        <v>2990.76</v>
      </c>
      <c r="V346" s="6">
        <f>VLOOKUP(A346,[2]韩国KOSPI指数历史数据!$A:$B,2,)</f>
        <v>2016.19</v>
      </c>
      <c r="W346" s="6">
        <f>VLOOKUP(A346,[3]日经225指数历史数据!$A:$B,2,)</f>
        <v>16569.27</v>
      </c>
      <c r="X346" s="3">
        <v>1452.07</v>
      </c>
      <c r="Y346" s="6">
        <f>VLOOKUP(A346,[4]上证指数历史数据!$A:$B,2,)</f>
        <v>2979.34</v>
      </c>
      <c r="Z346" s="6">
        <f>VLOOKUP(A346,[5]深证成份指数历史数据!$A:$B,2,)</f>
        <v>10329.43</v>
      </c>
      <c r="AA346" s="6">
        <f>VLOOKUP(A346,[6]台湾加权指数历史数据!$A:$B,2,)</f>
        <v>8984.41</v>
      </c>
      <c r="AB346" s="3">
        <v>21891.37</v>
      </c>
      <c r="AC346" s="3">
        <v>2868.69</v>
      </c>
      <c r="AD346">
        <v>8638.5</v>
      </c>
      <c r="AE346" s="5">
        <f>VLOOKUP(A346,[7]越南VN30指数历史数据!$A:$B,2,)</f>
        <v>639.16999999999996</v>
      </c>
      <c r="AF346">
        <v>45916.480000000003</v>
      </c>
      <c r="AG346" s="9">
        <v>10319.799999999999</v>
      </c>
      <c r="AH346">
        <v>9882.2000000000007</v>
      </c>
      <c r="AI346">
        <v>1245.81</v>
      </c>
      <c r="AJ346">
        <v>2743.39</v>
      </c>
    </row>
    <row r="347" spans="1:36" x14ac:dyDescent="0.3">
      <c r="A347" s="2">
        <v>42582</v>
      </c>
      <c r="B347" s="3">
        <v>15394.31</v>
      </c>
      <c r="C347" s="4">
        <v>57661</v>
      </c>
      <c r="D347" s="3">
        <v>5497.4</v>
      </c>
      <c r="E347" s="3">
        <v>18543.53</v>
      </c>
      <c r="F347" s="3">
        <v>14648.77</v>
      </c>
      <c r="G347" s="3">
        <v>1231.3</v>
      </c>
      <c r="H347" s="3">
        <v>2182.87</v>
      </c>
      <c r="I347" s="3">
        <v>5221.12</v>
      </c>
      <c r="J347" s="3">
        <v>47194.15</v>
      </c>
      <c r="K347" s="1">
        <v>20369.099999999999</v>
      </c>
      <c r="L347" s="3">
        <v>1825.45</v>
      </c>
      <c r="M347" s="3">
        <v>10367.209999999999</v>
      </c>
      <c r="N347" s="6">
        <f>VLOOKUP(A347,'[1]俄罗斯交易系统市值加权指数历史数据 (1)'!$A:$B,2,)</f>
        <v>935.46</v>
      </c>
      <c r="O347" s="3">
        <v>4410.55</v>
      </c>
      <c r="P347" s="1">
        <v>448.12</v>
      </c>
      <c r="Q347" s="3">
        <v>8194.34</v>
      </c>
      <c r="R347" s="1">
        <v>760.66</v>
      </c>
      <c r="S347" s="3">
        <v>8539.4</v>
      </c>
      <c r="T347" s="3">
        <v>6793.47</v>
      </c>
      <c r="U347" s="3">
        <v>2973.71</v>
      </c>
      <c r="V347" s="6">
        <f>VLOOKUP(A347,[2]韩国KOSPI指数历史数据!$A:$B,2,)</f>
        <v>2017.94</v>
      </c>
      <c r="W347" s="6">
        <f>VLOOKUP(A347,[3]日经225指数历史数据!$A:$B,2,)</f>
        <v>16254.45</v>
      </c>
      <c r="X347" s="3">
        <v>1456.41</v>
      </c>
      <c r="Y347" s="6">
        <f>VLOOKUP(A347,[4]上证指数历史数据!$A:$B,2,)</f>
        <v>2976.7</v>
      </c>
      <c r="Z347" s="6">
        <f>VLOOKUP(A347,[5]深证成份指数历史数据!$A:$B,2,)</f>
        <v>10342.280000000001</v>
      </c>
      <c r="AA347" s="6">
        <f>VLOOKUP(A347,[6]台湾加权指数历史数据!$A:$B,2,)</f>
        <v>9092.1200000000008</v>
      </c>
      <c r="AB347" s="3">
        <v>22146.09</v>
      </c>
      <c r="AC347" s="3">
        <v>2828.17</v>
      </c>
      <c r="AD347">
        <v>8683.15</v>
      </c>
      <c r="AE347" s="5">
        <f>VLOOKUP(A347,[7]越南VN30指数历史数据!$A:$B,2,)</f>
        <v>615.05999999999995</v>
      </c>
      <c r="AF347">
        <v>45385.74</v>
      </c>
      <c r="AG347" s="9">
        <v>10579.7</v>
      </c>
      <c r="AH347">
        <v>9918.23</v>
      </c>
      <c r="AI347">
        <v>1211.99</v>
      </c>
      <c r="AJ347">
        <v>2818.36</v>
      </c>
    </row>
    <row r="348" spans="1:36" x14ac:dyDescent="0.3">
      <c r="A348" s="2">
        <v>42589</v>
      </c>
      <c r="B348" s="3">
        <v>15165.61</v>
      </c>
      <c r="C348" s="4">
        <v>58298</v>
      </c>
      <c r="D348" s="3">
        <v>5530.9</v>
      </c>
      <c r="E348" s="3">
        <v>18576.47</v>
      </c>
      <c r="F348" s="3">
        <v>14747.45</v>
      </c>
      <c r="G348" s="3">
        <v>1229.82</v>
      </c>
      <c r="H348" s="3">
        <v>2184.0500000000002</v>
      </c>
      <c r="I348" s="3">
        <v>5232.8999999999996</v>
      </c>
      <c r="J348" s="3">
        <v>48363.89</v>
      </c>
      <c r="K348" s="1">
        <v>20560.14</v>
      </c>
      <c r="L348" s="3">
        <v>1857.7</v>
      </c>
      <c r="M348" s="3">
        <v>10713.43</v>
      </c>
      <c r="N348" s="6">
        <f>VLOOKUP(A348,'[1]俄罗斯交易系统市值加权指数历史数据 (1)'!$A:$B,2,)</f>
        <v>954.58</v>
      </c>
      <c r="O348" s="3">
        <v>4500.1899999999996</v>
      </c>
      <c r="P348" s="1">
        <v>454.09</v>
      </c>
      <c r="Q348" s="3">
        <v>8295.0400000000009</v>
      </c>
      <c r="R348" s="1">
        <v>782.29</v>
      </c>
      <c r="S348" s="3">
        <v>8716.4</v>
      </c>
      <c r="T348" s="3">
        <v>6916.02</v>
      </c>
      <c r="U348" s="3">
        <v>3044.94</v>
      </c>
      <c r="V348" s="6">
        <f>VLOOKUP(A348,[2]韩国KOSPI指数历史数据!$A:$B,2,)</f>
        <v>2050.4699999999998</v>
      </c>
      <c r="W348" s="6">
        <f>VLOOKUP(A348,[3]日经225指数历史数据!$A:$B,2,)</f>
        <v>16919.919999999998</v>
      </c>
      <c r="X348" s="3">
        <v>1467.44</v>
      </c>
      <c r="Y348" s="6">
        <f>VLOOKUP(A348,[4]上证指数历史数据!$A:$B,2,)</f>
        <v>3050.67</v>
      </c>
      <c r="Z348" s="6">
        <f>VLOOKUP(A348,[5]深证成份指数历史数据!$A:$B,2,)</f>
        <v>10528.1</v>
      </c>
      <c r="AA348" s="6">
        <f>VLOOKUP(A348,[6]台湾加权指数历史数据!$A:$B,2,)</f>
        <v>9150.39</v>
      </c>
      <c r="AB348" s="3">
        <v>22766.91</v>
      </c>
      <c r="AC348" s="3">
        <v>2867.4</v>
      </c>
      <c r="AD348">
        <v>8672.15</v>
      </c>
      <c r="AE348" s="5">
        <f>VLOOKUP(A348,[7]越南VN30指数历史数据!$A:$B,2,)</f>
        <v>641.11</v>
      </c>
      <c r="AF348">
        <v>45703.18</v>
      </c>
      <c r="AG348" s="9">
        <v>10665.61</v>
      </c>
      <c r="AH348">
        <v>9948.26</v>
      </c>
      <c r="AI348">
        <v>1202.77</v>
      </c>
      <c r="AJ348">
        <v>2668.75</v>
      </c>
    </row>
    <row r="349" spans="1:36" x14ac:dyDescent="0.3">
      <c r="A349" s="2">
        <v>42596</v>
      </c>
      <c r="B349" s="3">
        <v>15598.22</v>
      </c>
      <c r="C349" s="4">
        <v>59099</v>
      </c>
      <c r="D349" s="3">
        <v>5526.7</v>
      </c>
      <c r="E349" s="3">
        <v>18552.57</v>
      </c>
      <c r="F349" s="3">
        <v>14687.46</v>
      </c>
      <c r="G349" s="3">
        <v>1236.77</v>
      </c>
      <c r="H349" s="3">
        <v>2183.87</v>
      </c>
      <c r="I349" s="3">
        <v>5238.38</v>
      </c>
      <c r="J349" s="3">
        <v>48297.46</v>
      </c>
      <c r="K349" s="1">
        <v>20493.650000000001</v>
      </c>
      <c r="L349" s="3">
        <v>1800.17</v>
      </c>
      <c r="M349" s="3">
        <v>10544.36</v>
      </c>
      <c r="N349" s="6">
        <f>VLOOKUP(A349,'[1]俄罗斯交易系统市值加权指数历史数据 (1)'!$A:$B,2,)</f>
        <v>965.68</v>
      </c>
      <c r="O349" s="3">
        <v>4400.5200000000004</v>
      </c>
      <c r="P349" s="1">
        <v>448.72</v>
      </c>
      <c r="Q349" s="3">
        <v>8127.28</v>
      </c>
      <c r="R349" s="1">
        <v>781.46</v>
      </c>
      <c r="S349" s="3">
        <v>8450.6</v>
      </c>
      <c r="T349" s="3">
        <v>6858.95</v>
      </c>
      <c r="U349" s="3">
        <v>2968.2</v>
      </c>
      <c r="V349" s="6">
        <f>VLOOKUP(A349,[2]韩国KOSPI指数历史数据!$A:$B,2,)</f>
        <v>2056.2399999999998</v>
      </c>
      <c r="W349" s="6">
        <f>VLOOKUP(A349,[3]日经225指数历史数据!$A:$B,2,)</f>
        <v>16545.82</v>
      </c>
      <c r="X349" s="3">
        <v>1468.41</v>
      </c>
      <c r="Y349" s="6">
        <f>VLOOKUP(A349,[4]上证指数历史数据!$A:$B,2,)</f>
        <v>3108.1</v>
      </c>
      <c r="Z349" s="6">
        <f>VLOOKUP(A349,[5]深证成份指数历史数据!$A:$B,2,)</f>
        <v>10872.71</v>
      </c>
      <c r="AA349" s="6">
        <f>VLOOKUP(A349,[6]台湾加权指数历史数据!$A:$B,2,)</f>
        <v>9034.27</v>
      </c>
      <c r="AB349" s="3">
        <v>22937.22</v>
      </c>
      <c r="AC349" s="3">
        <v>2844.02</v>
      </c>
      <c r="AD349">
        <v>8666.9</v>
      </c>
      <c r="AE349" s="5">
        <f>VLOOKUP(A349,[7]越南VN30指数历史数据!$A:$B,2,)</f>
        <v>654.41999999999996</v>
      </c>
      <c r="AF349">
        <v>45877.01</v>
      </c>
      <c r="AG349" s="9">
        <v>10583.36</v>
      </c>
      <c r="AH349">
        <v>9951.61</v>
      </c>
      <c r="AI349">
        <v>1225.72</v>
      </c>
      <c r="AJ349">
        <v>2686.73</v>
      </c>
    </row>
    <row r="350" spans="1:36" x14ac:dyDescent="0.3">
      <c r="A350" s="2">
        <v>42603</v>
      </c>
      <c r="B350" s="3">
        <v>15764.02</v>
      </c>
      <c r="C350" s="4">
        <v>57716</v>
      </c>
      <c r="D350" s="3">
        <v>5515.5</v>
      </c>
      <c r="E350" s="3">
        <v>18395.400000000001</v>
      </c>
      <c r="F350" s="3">
        <v>14639.88</v>
      </c>
      <c r="G350" s="3">
        <v>1238.03</v>
      </c>
      <c r="H350" s="3">
        <v>2169.04</v>
      </c>
      <c r="I350" s="3">
        <v>5218.92</v>
      </c>
      <c r="J350" s="3">
        <v>47369.57</v>
      </c>
      <c r="K350" s="1">
        <v>20531.05</v>
      </c>
      <c r="L350" s="3">
        <v>1775.9</v>
      </c>
      <c r="M350" s="3">
        <v>10587.77</v>
      </c>
      <c r="N350" s="6">
        <f>VLOOKUP(A350,'[1]俄罗斯交易系统市值加权指数历史数据 (1)'!$A:$B,2,)</f>
        <v>973.43</v>
      </c>
      <c r="O350" s="3">
        <v>4441.87</v>
      </c>
      <c r="P350" s="1">
        <v>453.01</v>
      </c>
      <c r="Q350" s="3">
        <v>8168.32</v>
      </c>
      <c r="R350" s="1">
        <v>771.2</v>
      </c>
      <c r="S350" s="3">
        <v>8659.5</v>
      </c>
      <c r="T350" s="3">
        <v>6838.05</v>
      </c>
      <c r="U350" s="3">
        <v>3010.36</v>
      </c>
      <c r="V350" s="6">
        <f>VLOOKUP(A350,[2]韩国KOSPI指数历史数据!$A:$B,2,)</f>
        <v>2037.5</v>
      </c>
      <c r="W350" s="6">
        <f>VLOOKUP(A350,[3]日经225指数历史数据!$A:$B,2,)</f>
        <v>16360.71</v>
      </c>
      <c r="X350" s="3">
        <v>1453.84</v>
      </c>
      <c r="Y350" s="6">
        <f>VLOOKUP(A350,[4]上证指数历史数据!$A:$B,2,)</f>
        <v>3070.31</v>
      </c>
      <c r="Z350" s="6">
        <f>VLOOKUP(A350,[5]深证成份指数历史数据!$A:$B,2,)</f>
        <v>10693.75</v>
      </c>
      <c r="AA350" s="6">
        <f>VLOOKUP(A350,[6]台湾加权指数历史数据!$A:$B,2,)</f>
        <v>9131.7199999999993</v>
      </c>
      <c r="AB350" s="3">
        <v>22909.54</v>
      </c>
      <c r="AC350" s="3">
        <v>2857.65</v>
      </c>
      <c r="AD350">
        <v>8572.5499999999993</v>
      </c>
      <c r="AE350" s="5">
        <f>VLOOKUP(A350,[7]越南VN30指数历史数据!$A:$B,2,)</f>
        <v>656.71</v>
      </c>
      <c r="AF350">
        <v>46806.74</v>
      </c>
      <c r="AG350" s="9">
        <v>10382.07</v>
      </c>
      <c r="AH350">
        <v>9954.8799999999992</v>
      </c>
      <c r="AI350">
        <v>1229.75</v>
      </c>
      <c r="AJ350">
        <v>2616.9</v>
      </c>
    </row>
    <row r="351" spans="1:36" x14ac:dyDescent="0.3">
      <c r="A351" s="2">
        <v>42610</v>
      </c>
      <c r="B351" s="3">
        <v>15965.65</v>
      </c>
      <c r="C351" s="4">
        <v>59616</v>
      </c>
      <c r="D351" s="3">
        <v>5372.8</v>
      </c>
      <c r="E351" s="3">
        <v>18491.96</v>
      </c>
      <c r="F351" s="3">
        <v>14795.7</v>
      </c>
      <c r="G351" s="3">
        <v>1251.83</v>
      </c>
      <c r="H351" s="3">
        <v>2179.98</v>
      </c>
      <c r="I351" s="3">
        <v>5249.9</v>
      </c>
      <c r="J351" s="3">
        <v>47787.99</v>
      </c>
      <c r="K351" s="1">
        <v>20543.599999999999</v>
      </c>
      <c r="L351" s="3">
        <v>1767.55</v>
      </c>
      <c r="M351" s="3">
        <v>10683.82</v>
      </c>
      <c r="N351" s="6">
        <f>VLOOKUP(A351,'[1]俄罗斯交易系统市值加权指数历史数据 (1)'!$A:$B,2,)</f>
        <v>969.86</v>
      </c>
      <c r="O351" s="3">
        <v>4542.17</v>
      </c>
      <c r="P351" s="1">
        <v>463.6</v>
      </c>
      <c r="Q351" s="3">
        <v>8294.2999999999993</v>
      </c>
      <c r="R351" s="1">
        <v>768.84</v>
      </c>
      <c r="S351" s="3">
        <v>8908.9</v>
      </c>
      <c r="T351" s="3">
        <v>6894.6</v>
      </c>
      <c r="U351" s="3">
        <v>3079.74</v>
      </c>
      <c r="V351" s="6">
        <f>VLOOKUP(A351,[2]韩国KOSPI指数历史数据!$A:$B,2,)</f>
        <v>2038.31</v>
      </c>
      <c r="W351" s="6">
        <f>VLOOKUP(A351,[3]日经225指数历史数据!$A:$B,2,)</f>
        <v>16925.68</v>
      </c>
      <c r="X351" s="3">
        <v>1445.08</v>
      </c>
      <c r="Y351" s="6">
        <f>VLOOKUP(A351,[4]上证指数历史数据!$A:$B,2,)</f>
        <v>3067.35</v>
      </c>
      <c r="Z351" s="6">
        <f>VLOOKUP(A351,[5]深证成份指数历史数据!$A:$B,2,)</f>
        <v>10640.42</v>
      </c>
      <c r="AA351" s="6">
        <f>VLOOKUP(A351,[6]台湾加权指数历史数据!$A:$B,2,)</f>
        <v>8987.5499999999993</v>
      </c>
      <c r="AB351" s="3">
        <v>23266.7</v>
      </c>
      <c r="AC351" s="3">
        <v>2803.92</v>
      </c>
      <c r="AD351">
        <v>8809.65</v>
      </c>
      <c r="AE351" s="5">
        <f>VLOOKUP(A351,[7]越南VN30指数历史数据!$A:$B,2,)</f>
        <v>659.09</v>
      </c>
      <c r="AF351">
        <v>46972.62</v>
      </c>
      <c r="AG351" s="9">
        <v>10421.459999999999</v>
      </c>
      <c r="AH351">
        <v>9933.4599999999991</v>
      </c>
      <c r="AI351">
        <v>1240.1199999999999</v>
      </c>
      <c r="AJ351">
        <v>2393.92</v>
      </c>
    </row>
    <row r="352" spans="1:36" x14ac:dyDescent="0.3">
      <c r="A352" s="2">
        <v>42617</v>
      </c>
      <c r="B352" s="3">
        <v>15975.57</v>
      </c>
      <c r="C352" s="4">
        <v>58000</v>
      </c>
      <c r="D352" s="3">
        <v>5339.2</v>
      </c>
      <c r="E352" s="3">
        <v>18085.45</v>
      </c>
      <c r="F352" s="3">
        <v>14540</v>
      </c>
      <c r="G352" s="3">
        <v>1219.21</v>
      </c>
      <c r="H352" s="3">
        <v>2127.81</v>
      </c>
      <c r="I352" s="3">
        <v>5125.91</v>
      </c>
      <c r="J352" s="3">
        <v>46459.17</v>
      </c>
      <c r="K352" s="1">
        <v>20347.080000000002</v>
      </c>
      <c r="L352" s="3">
        <v>1754.12</v>
      </c>
      <c r="M352" s="3">
        <v>10573.44</v>
      </c>
      <c r="N352" s="6">
        <f>VLOOKUP(A352,'[1]俄罗斯交易系统市值加权指数历史数据 (1)'!$A:$B,2,)</f>
        <v>987.87</v>
      </c>
      <c r="O352" s="3">
        <v>4491.3999999999996</v>
      </c>
      <c r="P352" s="1">
        <v>452.88</v>
      </c>
      <c r="Q352" s="3">
        <v>8264.1299999999992</v>
      </c>
      <c r="R352" s="1">
        <v>770.54</v>
      </c>
      <c r="S352" s="3">
        <v>9025.5</v>
      </c>
      <c r="T352" s="3">
        <v>6776.95</v>
      </c>
      <c r="U352" s="3">
        <v>3053.2</v>
      </c>
      <c r="V352" s="6">
        <f>VLOOKUP(A352,[2]韩国KOSPI指数历史数据!$A:$B,2,)</f>
        <v>2037.87</v>
      </c>
      <c r="W352" s="6">
        <f>VLOOKUP(A352,[3]日经225指数历史数据!$A:$B,2,)</f>
        <v>16965.759999999998</v>
      </c>
      <c r="X352" s="3">
        <v>1458.46</v>
      </c>
      <c r="Y352" s="6">
        <f>VLOOKUP(A352,[4]上证指数历史数据!$A:$B,2,)</f>
        <v>3078.85</v>
      </c>
      <c r="Z352" s="6">
        <f>VLOOKUP(A352,[5]深证成份指数历史数据!$A:$B,2,)</f>
        <v>10762.79</v>
      </c>
      <c r="AA352" s="6">
        <f>VLOOKUP(A352,[6]台湾加权指数历史数据!$A:$B,2,)</f>
        <v>9053.69</v>
      </c>
      <c r="AB352" s="3">
        <v>24099.7</v>
      </c>
      <c r="AC352" s="3">
        <v>2873.33</v>
      </c>
      <c r="AD352">
        <v>8866.7000000000007</v>
      </c>
      <c r="AE352" s="5">
        <f>VLOOKUP(A352,[7]越南VN30指数历史数据!$A:$B,2,)</f>
        <v>658.66</v>
      </c>
      <c r="AF352">
        <v>46734.92</v>
      </c>
      <c r="AG352" s="9">
        <v>10428.799999999999</v>
      </c>
      <c r="AH352">
        <v>9995.19</v>
      </c>
      <c r="AI352">
        <v>1233.78</v>
      </c>
      <c r="AJ352">
        <v>2453.35</v>
      </c>
    </row>
    <row r="353" spans="1:36" x14ac:dyDescent="0.3">
      <c r="A353" s="2">
        <v>42624</v>
      </c>
      <c r="B353" s="3">
        <v>15828.16</v>
      </c>
      <c r="C353" s="4">
        <v>57080</v>
      </c>
      <c r="D353" s="3">
        <v>5296.7</v>
      </c>
      <c r="E353" s="3">
        <v>18123.8</v>
      </c>
      <c r="F353" s="3">
        <v>14450.69</v>
      </c>
      <c r="G353" s="3">
        <v>1224.78</v>
      </c>
      <c r="H353" s="3">
        <v>2139.16</v>
      </c>
      <c r="I353" s="3">
        <v>5244.57</v>
      </c>
      <c r="J353" s="3">
        <v>45922.91</v>
      </c>
      <c r="K353" s="1">
        <v>20154.38</v>
      </c>
      <c r="L353" s="3">
        <v>1734.26</v>
      </c>
      <c r="M353" s="3">
        <v>10276.17</v>
      </c>
      <c r="N353" s="6">
        <f>VLOOKUP(A353,'[1]俄罗斯交易系统市值加权指数历史数据 (1)'!$A:$B,2,)</f>
        <v>961.41</v>
      </c>
      <c r="O353" s="3">
        <v>4332.45</v>
      </c>
      <c r="P353" s="1">
        <v>439.07</v>
      </c>
      <c r="Q353" s="3">
        <v>8130.44</v>
      </c>
      <c r="R353" s="1">
        <v>760.2</v>
      </c>
      <c r="S353" s="3">
        <v>8633.4</v>
      </c>
      <c r="T353" s="3">
        <v>6710.28</v>
      </c>
      <c r="U353" s="3">
        <v>2935.25</v>
      </c>
      <c r="V353" s="6">
        <f>VLOOKUP(A353,[2]韩国KOSPI指数历史数据!$A:$B,2,)</f>
        <v>1999.36</v>
      </c>
      <c r="W353" s="6">
        <f>VLOOKUP(A353,[3]日经225指数历史数据!$A:$B,2,)</f>
        <v>16519.29</v>
      </c>
      <c r="X353" s="3">
        <v>1434.6</v>
      </c>
      <c r="Y353" s="6">
        <f>VLOOKUP(A353,[4]上证指数历史数据!$A:$B,2,)</f>
        <v>3002.85</v>
      </c>
      <c r="Z353" s="6">
        <f>VLOOKUP(A353,[5]深证成份指数历史数据!$A:$B,2,)</f>
        <v>10454.24</v>
      </c>
      <c r="AA353" s="6">
        <f>VLOOKUP(A353,[6]台湾加权指数历史数据!$A:$B,2,)</f>
        <v>8902.2999999999993</v>
      </c>
      <c r="AB353" s="3">
        <v>23335.59</v>
      </c>
      <c r="AC353" s="3">
        <v>2827.45</v>
      </c>
      <c r="AD353">
        <v>8779.85</v>
      </c>
      <c r="AE353" s="5">
        <f>VLOOKUP(A353,[7]越南VN30指数历史数据!$A:$B,2,)</f>
        <v>639.37</v>
      </c>
      <c r="AF353">
        <v>45430.38</v>
      </c>
      <c r="AG353" s="9">
        <v>10180.44</v>
      </c>
      <c r="AH353">
        <v>9992.27</v>
      </c>
      <c r="AI353">
        <v>1244.3699999999999</v>
      </c>
      <c r="AJ353">
        <v>2384.8000000000002</v>
      </c>
    </row>
    <row r="354" spans="1:36" x14ac:dyDescent="0.3">
      <c r="A354" s="2">
        <v>42631</v>
      </c>
      <c r="B354" s="3">
        <v>16441.71</v>
      </c>
      <c r="C354" s="4">
        <v>58697</v>
      </c>
      <c r="D354" s="3">
        <v>5431.3</v>
      </c>
      <c r="E354" s="3">
        <v>18261.45</v>
      </c>
      <c r="F354" s="3">
        <v>14697.93</v>
      </c>
      <c r="G354" s="3">
        <v>1254.6199999999999</v>
      </c>
      <c r="H354" s="3">
        <v>2164.69</v>
      </c>
      <c r="I354" s="3">
        <v>5305.75</v>
      </c>
      <c r="J354" s="3">
        <v>47778.48</v>
      </c>
      <c r="K354" s="1">
        <v>20370.060000000001</v>
      </c>
      <c r="L354" s="3">
        <v>1762.48</v>
      </c>
      <c r="M354" s="3">
        <v>10626.97</v>
      </c>
      <c r="N354" s="6">
        <f>VLOOKUP(A354,'[1]俄罗斯交易系统市值加权指数历史数据 (1)'!$A:$B,2,)</f>
        <v>993.94</v>
      </c>
      <c r="O354" s="3">
        <v>4488.6899999999996</v>
      </c>
      <c r="P354" s="1">
        <v>454.48</v>
      </c>
      <c r="Q354" s="3">
        <v>8272.89</v>
      </c>
      <c r="R354" s="1">
        <v>797.56</v>
      </c>
      <c r="S354" s="3">
        <v>8823.6</v>
      </c>
      <c r="T354" s="3">
        <v>6909.43</v>
      </c>
      <c r="U354" s="3">
        <v>3032.31</v>
      </c>
      <c r="V354" s="6">
        <f>VLOOKUP(A354,[2]韩国KOSPI指数历史数据!$A:$B,2,)</f>
        <v>2054.0700000000002</v>
      </c>
      <c r="W354" s="6">
        <f>VLOOKUP(A354,[3]日经225指数历史数据!$A:$B,2,)</f>
        <v>16754.02</v>
      </c>
      <c r="X354" s="3">
        <v>1461.56</v>
      </c>
      <c r="Y354" s="6">
        <f>VLOOKUP(A354,[4]上证指数历史数据!$A:$B,2,)</f>
        <v>3033.9</v>
      </c>
      <c r="Z354" s="6">
        <f>VLOOKUP(A354,[5]深证成份指数历史数据!$A:$B,2,)</f>
        <v>10609.7</v>
      </c>
      <c r="AA354" s="6">
        <f>VLOOKUP(A354,[6]台湾加权指数历史数据!$A:$B,2,)</f>
        <v>9284.6200000000008</v>
      </c>
      <c r="AB354" s="3">
        <v>23686.48</v>
      </c>
      <c r="AC354" s="3">
        <v>2856.95</v>
      </c>
      <c r="AD354">
        <v>8831.5499999999993</v>
      </c>
      <c r="AE354" s="5">
        <f>VLOOKUP(A354,[7]越南VN30指数历史数据!$A:$B,2,)</f>
        <v>664.31</v>
      </c>
      <c r="AF354">
        <v>45440.23</v>
      </c>
      <c r="AG354" s="9">
        <v>10073.44</v>
      </c>
      <c r="AH354">
        <v>10000.049999999999</v>
      </c>
      <c r="AI354">
        <v>1255.71</v>
      </c>
      <c r="AJ354">
        <v>2478.81</v>
      </c>
    </row>
    <row r="355" spans="1:36" x14ac:dyDescent="0.3">
      <c r="A355" s="2">
        <v>42638</v>
      </c>
      <c r="B355" s="3">
        <v>16675.68</v>
      </c>
      <c r="C355" s="4">
        <v>58367</v>
      </c>
      <c r="D355" s="3">
        <v>5435.9</v>
      </c>
      <c r="E355" s="3">
        <v>18308.150000000001</v>
      </c>
      <c r="F355" s="3">
        <v>14725.86</v>
      </c>
      <c r="G355" s="3">
        <v>1251.6500000000001</v>
      </c>
      <c r="H355" s="3">
        <v>2168.27</v>
      </c>
      <c r="I355" s="3">
        <v>5312</v>
      </c>
      <c r="J355" s="3">
        <v>47245.8</v>
      </c>
      <c r="K355" s="1">
        <v>20046.48</v>
      </c>
      <c r="L355" s="3">
        <v>1709.51</v>
      </c>
      <c r="M355" s="3">
        <v>10511.02</v>
      </c>
      <c r="N355" s="6">
        <f>VLOOKUP(A355,'[1]俄罗斯交易系统市值加权指数历史数据 (1)'!$A:$B,2,)</f>
        <v>990.88</v>
      </c>
      <c r="O355" s="3">
        <v>4448.26</v>
      </c>
      <c r="P355" s="1">
        <v>452.33</v>
      </c>
      <c r="Q355" s="3">
        <v>8139.01</v>
      </c>
      <c r="R355" s="1">
        <v>764.88</v>
      </c>
      <c r="S355" s="3">
        <v>8779.4</v>
      </c>
      <c r="T355" s="3">
        <v>6899.33</v>
      </c>
      <c r="U355" s="3">
        <v>3002.24</v>
      </c>
      <c r="V355" s="6">
        <f>VLOOKUP(A355,[2]韩国KOSPI指数历史数据!$A:$B,2,)</f>
        <v>2043.63</v>
      </c>
      <c r="W355" s="6">
        <f>VLOOKUP(A355,[3]日经225指数历史数据!$A:$B,2,)</f>
        <v>16449.84</v>
      </c>
      <c r="X355" s="3">
        <v>1442.93</v>
      </c>
      <c r="Y355" s="6">
        <f>VLOOKUP(A355,[4]上证指数历史数据!$A:$B,2,)</f>
        <v>3004.7</v>
      </c>
      <c r="Z355" s="6">
        <f>VLOOKUP(A355,[5]深证成份指数历史数据!$A:$B,2,)</f>
        <v>10567.58</v>
      </c>
      <c r="AA355" s="6">
        <f>VLOOKUP(A355,[6]台湾加权指数历史数据!$A:$B,2,)</f>
        <v>9166.85</v>
      </c>
      <c r="AB355" s="3">
        <v>23297.15</v>
      </c>
      <c r="AC355" s="3">
        <v>2869.47</v>
      </c>
      <c r="AD355">
        <v>8611.15</v>
      </c>
      <c r="AE355" s="5">
        <f>VLOOKUP(A355,[7]越南VN30指数历史数据!$A:$B,2,)</f>
        <v>668.44</v>
      </c>
      <c r="AF355">
        <v>45425.59</v>
      </c>
      <c r="AG355" s="9">
        <v>10012.57</v>
      </c>
      <c r="AH355">
        <v>10039.14</v>
      </c>
      <c r="AI355">
        <v>1261.73</v>
      </c>
      <c r="AJ355">
        <v>2477.2399999999998</v>
      </c>
    </row>
    <row r="356" spans="1:36" x14ac:dyDescent="0.3">
      <c r="A356" s="2">
        <v>42645</v>
      </c>
      <c r="B356" s="3">
        <v>17136.22</v>
      </c>
      <c r="C356" s="4">
        <v>61109</v>
      </c>
      <c r="D356" s="3">
        <v>5467.4</v>
      </c>
      <c r="E356" s="3">
        <v>18240.490000000002</v>
      </c>
      <c r="F356" s="3">
        <v>14566.26</v>
      </c>
      <c r="G356" s="3">
        <v>1236.56</v>
      </c>
      <c r="H356" s="3">
        <v>2153.7399999999998</v>
      </c>
      <c r="I356" s="3">
        <v>5292.4</v>
      </c>
      <c r="J356" s="3">
        <v>47596.6</v>
      </c>
      <c r="K356" s="1">
        <v>20317.349999999999</v>
      </c>
      <c r="L356" s="3">
        <v>1751.72</v>
      </c>
      <c r="M356" s="3">
        <v>10490.86</v>
      </c>
      <c r="N356" s="6">
        <f>VLOOKUP(A356,'[1]俄罗斯交易系统市值加权指数历史数据 (1)'!$A:$B,2,)</f>
        <v>1002.07</v>
      </c>
      <c r="O356" s="3">
        <v>4449.91</v>
      </c>
      <c r="P356" s="1">
        <v>450.06</v>
      </c>
      <c r="Q356" s="3">
        <v>8124.59</v>
      </c>
      <c r="R356" s="1">
        <v>779.76</v>
      </c>
      <c r="S356" s="3">
        <v>8624.2999999999993</v>
      </c>
      <c r="T356" s="3">
        <v>7044.39</v>
      </c>
      <c r="U356" s="3">
        <v>3000.57</v>
      </c>
      <c r="V356" s="6">
        <f>VLOOKUP(A356,[2]韩国KOSPI指数历史数据!$A:$B,2,)</f>
        <v>2053.8000000000002</v>
      </c>
      <c r="W356" s="6">
        <f>VLOOKUP(A356,[3]日经225指数历史数据!$A:$B,2,)</f>
        <v>16860.09</v>
      </c>
      <c r="X356" s="3">
        <v>1435.24</v>
      </c>
      <c r="Y356" s="6" t="e">
        <f>VLOOKUP(A356,[4]上证指数历史数据!$A:$B,2,)</f>
        <v>#N/A</v>
      </c>
      <c r="Z356" s="6" t="e">
        <f>VLOOKUP(A356,[5]深证成份指数历史数据!$A:$B,2,)</f>
        <v>#N/A</v>
      </c>
      <c r="AA356" s="6">
        <f>VLOOKUP(A356,[6]台湾加权指数历史数据!$A:$B,2,)</f>
        <v>9265.81</v>
      </c>
      <c r="AB356" s="3">
        <v>23851.82</v>
      </c>
      <c r="AC356" s="3">
        <v>2875.24</v>
      </c>
      <c r="AD356">
        <v>8697.6</v>
      </c>
      <c r="AE356" s="5">
        <f>VLOOKUP(A356,[7]越南VN30指数历史数据!$A:$B,2,)</f>
        <v>657.54</v>
      </c>
      <c r="AF356">
        <v>45112.11</v>
      </c>
      <c r="AG356" s="9">
        <v>10560.14</v>
      </c>
      <c r="AH356">
        <v>10209.049999999999</v>
      </c>
      <c r="AI356">
        <v>1232.25</v>
      </c>
      <c r="AJ356">
        <v>2467.14</v>
      </c>
    </row>
    <row r="357" spans="1:36" x14ac:dyDescent="0.3">
      <c r="A357" s="2">
        <v>42652</v>
      </c>
      <c r="B357" s="3">
        <v>17414.89</v>
      </c>
      <c r="C357" s="4">
        <v>61767</v>
      </c>
      <c r="D357" s="3">
        <v>5434</v>
      </c>
      <c r="E357" s="3">
        <v>18138.38</v>
      </c>
      <c r="F357" s="3">
        <v>14584.99</v>
      </c>
      <c r="G357" s="3">
        <v>1212.4100000000001</v>
      </c>
      <c r="H357" s="3">
        <v>2132.98</v>
      </c>
      <c r="I357" s="3">
        <v>5214.16</v>
      </c>
      <c r="J357" s="3">
        <v>47701.45</v>
      </c>
      <c r="K357" s="1">
        <v>20746.2</v>
      </c>
      <c r="L357" s="3">
        <v>1719.64</v>
      </c>
      <c r="M357" s="3">
        <v>10580.38</v>
      </c>
      <c r="N357" s="6">
        <f>VLOOKUP(A357,'[1]俄罗斯交易系统市值加权指数历史数据 (1)'!$A:$B,2,)</f>
        <v>983.04</v>
      </c>
      <c r="O357" s="3">
        <v>4470.92</v>
      </c>
      <c r="P357" s="1">
        <v>450.5</v>
      </c>
      <c r="Q357" s="3">
        <v>8089.91</v>
      </c>
      <c r="R357" s="1">
        <v>775.54</v>
      </c>
      <c r="S357" s="3">
        <v>8767.9</v>
      </c>
      <c r="T357" s="3">
        <v>7013.55</v>
      </c>
      <c r="U357" s="3">
        <v>3025.19</v>
      </c>
      <c r="V357" s="6">
        <f>VLOOKUP(A357,[2]韩国KOSPI指数历史数据!$A:$B,2,)</f>
        <v>2022.66</v>
      </c>
      <c r="W357" s="6">
        <f>VLOOKUP(A357,[3]日经225指数历史数据!$A:$B,2,)</f>
        <v>16856.37</v>
      </c>
      <c r="X357" s="3">
        <v>1416.23</v>
      </c>
      <c r="Y357" s="6">
        <f>VLOOKUP(A357,[4]上证指数历史数据!$A:$B,2,)</f>
        <v>3063.81</v>
      </c>
      <c r="Z357" s="6">
        <f>VLOOKUP(A357,[5]深证成份指数历史数据!$A:$B,2,)</f>
        <v>10759.68</v>
      </c>
      <c r="AA357" s="6">
        <f>VLOOKUP(A357,[6]台湾加权指数历史数据!$A:$B,2,)</f>
        <v>9165.17</v>
      </c>
      <c r="AB357" s="3">
        <v>23233.31</v>
      </c>
      <c r="AC357" s="3">
        <v>2815.24</v>
      </c>
      <c r="AD357">
        <v>8583.4</v>
      </c>
      <c r="AE357" s="5">
        <f>VLOOKUP(A357,[7]越南VN30指数历史数据!$A:$B,2,)</f>
        <v>657.59</v>
      </c>
      <c r="AF357">
        <v>44658.61</v>
      </c>
      <c r="AG357" s="9">
        <v>10688.95</v>
      </c>
      <c r="AH357">
        <v>10282.14</v>
      </c>
      <c r="AI357">
        <v>1235.3800000000001</v>
      </c>
      <c r="AJ357">
        <v>2395.1</v>
      </c>
    </row>
    <row r="358" spans="1:36" x14ac:dyDescent="0.3">
      <c r="A358" s="2">
        <v>42659</v>
      </c>
      <c r="B358" s="3">
        <v>18257.28</v>
      </c>
      <c r="C358" s="4">
        <v>64108</v>
      </c>
      <c r="D358" s="3">
        <v>5430.3</v>
      </c>
      <c r="E358" s="3">
        <v>18145.71</v>
      </c>
      <c r="F358" s="3">
        <v>14939.04</v>
      </c>
      <c r="G358" s="3">
        <v>1218.0999999999999</v>
      </c>
      <c r="H358" s="3">
        <v>2141.16</v>
      </c>
      <c r="I358" s="3">
        <v>5257.4</v>
      </c>
      <c r="J358" s="3">
        <v>48418.400000000001</v>
      </c>
      <c r="K358" s="1">
        <v>21267.66</v>
      </c>
      <c r="L358" s="3">
        <v>1752.25</v>
      </c>
      <c r="M358" s="3">
        <v>10710.73</v>
      </c>
      <c r="N358" s="6">
        <f>VLOOKUP(A358,'[1]俄罗斯交易系统市值加权指数历史数据 (1)'!$A:$B,2,)</f>
        <v>986.37</v>
      </c>
      <c r="O358" s="3">
        <v>4536.07</v>
      </c>
      <c r="P358" s="1">
        <v>457.4</v>
      </c>
      <c r="Q358" s="3">
        <v>8034.86</v>
      </c>
      <c r="R358" s="1">
        <v>788.44</v>
      </c>
      <c r="S358" s="3">
        <v>9100.4</v>
      </c>
      <c r="T358" s="3">
        <v>7020.47</v>
      </c>
      <c r="U358" s="3">
        <v>3077.65</v>
      </c>
      <c r="V358" s="6">
        <f>VLOOKUP(A358,[2]韩国KOSPI指数历史数据!$A:$B,2,)</f>
        <v>2033</v>
      </c>
      <c r="W358" s="6">
        <f>VLOOKUP(A358,[3]日经225指数历史数据!$A:$B,2,)</f>
        <v>17184.59</v>
      </c>
      <c r="X358" s="3">
        <v>1429.76</v>
      </c>
      <c r="Y358" s="6">
        <f>VLOOKUP(A358,[4]上证指数历史数据!$A:$B,2,)</f>
        <v>3090.94</v>
      </c>
      <c r="Z358" s="6">
        <f>VLOOKUP(A358,[5]深证成份指数历史数据!$A:$B,2,)</f>
        <v>10748.9</v>
      </c>
      <c r="AA358" s="6">
        <f>VLOOKUP(A358,[6]台湾加权指数历史数据!$A:$B,2,)</f>
        <v>9306.57</v>
      </c>
      <c r="AB358" s="3">
        <v>23374.400000000001</v>
      </c>
      <c r="AC358" s="3">
        <v>2831.06</v>
      </c>
      <c r="AD358">
        <v>8693.0499999999993</v>
      </c>
      <c r="AE358" s="5">
        <f>VLOOKUP(A358,[7]越南VN30指数历史数据!$A:$B,2,)</f>
        <v>655.16999999999996</v>
      </c>
      <c r="AF358">
        <v>45069.02</v>
      </c>
      <c r="AG358" s="9">
        <v>10391.040000000001</v>
      </c>
      <c r="AH358">
        <v>10378.76</v>
      </c>
      <c r="AI358">
        <v>1222.21</v>
      </c>
      <c r="AJ358">
        <v>2479.23</v>
      </c>
    </row>
    <row r="359" spans="1:36" x14ac:dyDescent="0.3">
      <c r="A359" s="2">
        <v>42666</v>
      </c>
      <c r="B359" s="3">
        <v>17869.060000000001</v>
      </c>
      <c r="C359" s="4">
        <v>64308</v>
      </c>
      <c r="D359" s="3">
        <v>5283.8</v>
      </c>
      <c r="E359" s="3">
        <v>18161.189999999999</v>
      </c>
      <c r="F359" s="3">
        <v>14785.29</v>
      </c>
      <c r="G359" s="3">
        <v>1187.6099999999999</v>
      </c>
      <c r="H359" s="3">
        <v>2126.41</v>
      </c>
      <c r="I359" s="3">
        <v>5190.1000000000004</v>
      </c>
      <c r="J359" s="3">
        <v>48007.199999999997</v>
      </c>
      <c r="K359" s="1">
        <v>21423.49</v>
      </c>
      <c r="L359" s="3">
        <v>1817.79</v>
      </c>
      <c r="M359" s="3">
        <v>10696.19</v>
      </c>
      <c r="N359" s="6">
        <f>VLOOKUP(A359,'[1]俄罗斯交易系统市值加权指数历史数据 (1)'!$A:$B,2,)</f>
        <v>992.23</v>
      </c>
      <c r="O359" s="3">
        <v>4548.58</v>
      </c>
      <c r="P359" s="1">
        <v>455.38</v>
      </c>
      <c r="Q359" s="3">
        <v>7908.57</v>
      </c>
      <c r="R359" s="1">
        <v>783.33</v>
      </c>
      <c r="S359" s="3">
        <v>9201.2999999999993</v>
      </c>
      <c r="T359" s="3">
        <v>6996.26</v>
      </c>
      <c r="U359" s="3">
        <v>3079.24</v>
      </c>
      <c r="V359" s="6">
        <f>VLOOKUP(A359,[2]韩国KOSPI指数历史数据!$A:$B,2,)</f>
        <v>2019.42</v>
      </c>
      <c r="W359" s="6">
        <f>VLOOKUP(A359,[3]日经225指数历史数据!$A:$B,2,)</f>
        <v>17446.41</v>
      </c>
      <c r="X359" s="3">
        <v>1423.46</v>
      </c>
      <c r="Y359" s="6">
        <f>VLOOKUP(A359,[4]上证指数历史数据!$A:$B,2,)</f>
        <v>3104.27</v>
      </c>
      <c r="Z359" s="6">
        <f>VLOOKUP(A359,[5]深证成份指数历史数据!$A:$B,2,)</f>
        <v>10711.04</v>
      </c>
      <c r="AA359" s="6">
        <f>VLOOKUP(A359,[6]台湾加权指数历史数据!$A:$B,2,)</f>
        <v>9306.92</v>
      </c>
      <c r="AB359" s="3">
        <v>22954.81</v>
      </c>
      <c r="AC359" s="3">
        <v>2816.26</v>
      </c>
      <c r="AD359">
        <v>8638</v>
      </c>
      <c r="AE359" s="5">
        <f>VLOOKUP(A359,[7]越南VN30指数历史数据!$A:$B,2,)</f>
        <v>649.27</v>
      </c>
      <c r="AF359">
        <v>44308.17</v>
      </c>
      <c r="AG359" s="9">
        <v>10522.93</v>
      </c>
      <c r="AH359">
        <v>10482.299999999999</v>
      </c>
      <c r="AI359">
        <v>1216.95</v>
      </c>
      <c r="AJ359">
        <v>2501.5700000000002</v>
      </c>
    </row>
    <row r="360" spans="1:36" x14ac:dyDescent="0.3">
      <c r="A360" s="2">
        <v>42673</v>
      </c>
      <c r="B360" s="3">
        <v>16754.93</v>
      </c>
      <c r="C360" s="4">
        <v>61598</v>
      </c>
      <c r="D360" s="3">
        <v>5180.8</v>
      </c>
      <c r="E360" s="3">
        <v>17888.28</v>
      </c>
      <c r="F360" s="3">
        <v>14509.25</v>
      </c>
      <c r="G360" s="3">
        <v>1163.44</v>
      </c>
      <c r="H360" s="3">
        <v>2085.1799999999998</v>
      </c>
      <c r="I360" s="3">
        <v>5046.37</v>
      </c>
      <c r="J360" s="3">
        <v>46694.81</v>
      </c>
      <c r="K360" s="1">
        <v>21073.75</v>
      </c>
      <c r="L360" s="3">
        <v>1758.22</v>
      </c>
      <c r="M360" s="3">
        <v>10259.129999999999</v>
      </c>
      <c r="N360" s="6">
        <f>VLOOKUP(A360,'[1]俄罗斯交易系统市值加权指数历史数据 (1)'!$A:$B,2,)</f>
        <v>971.2</v>
      </c>
      <c r="O360" s="3">
        <v>4377.46</v>
      </c>
      <c r="P360" s="1">
        <v>440.51</v>
      </c>
      <c r="Q360" s="3">
        <v>7593.2</v>
      </c>
      <c r="R360" s="1">
        <v>742.67</v>
      </c>
      <c r="S360" s="3">
        <v>8791.6</v>
      </c>
      <c r="T360" s="3">
        <v>6693.26</v>
      </c>
      <c r="U360" s="3">
        <v>2954.53</v>
      </c>
      <c r="V360" s="6">
        <f>VLOOKUP(A360,[2]韩国KOSPI指数历史数据!$A:$B,2,)</f>
        <v>1982.02</v>
      </c>
      <c r="W360" s="6">
        <f>VLOOKUP(A360,[3]日经225指数历史数据!$A:$B,2,)</f>
        <v>16905.36</v>
      </c>
      <c r="X360" s="3">
        <v>1387.6</v>
      </c>
      <c r="Y360" s="6">
        <f>VLOOKUP(A360,[4]上证指数历史数据!$A:$B,2,)</f>
        <v>3125.32</v>
      </c>
      <c r="Z360" s="6">
        <f>VLOOKUP(A360,[5]深证成份指数历史数据!$A:$B,2,)</f>
        <v>10702.57</v>
      </c>
      <c r="AA360" s="6">
        <f>VLOOKUP(A360,[6]台湾加权指数历史数据!$A:$B,2,)</f>
        <v>9068.15</v>
      </c>
      <c r="AB360" s="3">
        <v>22642.62</v>
      </c>
      <c r="AC360" s="3">
        <v>2788.8</v>
      </c>
      <c r="AD360">
        <v>8433.75</v>
      </c>
      <c r="AE360" s="5">
        <f>VLOOKUP(A360,[7]越南VN30指数历史数据!$A:$B,2,)</f>
        <v>632.54</v>
      </c>
      <c r="AF360">
        <v>43229.65</v>
      </c>
      <c r="AG360" s="9">
        <v>11076.2</v>
      </c>
      <c r="AH360">
        <v>10522.42</v>
      </c>
      <c r="AI360">
        <v>1201.51</v>
      </c>
      <c r="AJ360">
        <v>2512.0100000000002</v>
      </c>
    </row>
    <row r="361" spans="1:36" x14ac:dyDescent="0.3">
      <c r="A361" s="2">
        <v>42680</v>
      </c>
      <c r="B361" s="3">
        <v>15659.74</v>
      </c>
      <c r="C361" s="4">
        <v>59184</v>
      </c>
      <c r="D361" s="3">
        <v>5370.7</v>
      </c>
      <c r="E361" s="3">
        <v>18847.66</v>
      </c>
      <c r="F361" s="3">
        <v>14555.41</v>
      </c>
      <c r="G361" s="3">
        <v>1282.3900000000001</v>
      </c>
      <c r="H361" s="3">
        <v>2164.4499999999998</v>
      </c>
      <c r="I361" s="3">
        <v>5237.1099999999997</v>
      </c>
      <c r="J361" s="3">
        <v>44978.25</v>
      </c>
      <c r="K361" s="1">
        <v>20792.95</v>
      </c>
      <c r="L361" s="3">
        <v>1796.75</v>
      </c>
      <c r="M361" s="3">
        <v>10667.95</v>
      </c>
      <c r="N361" s="6">
        <f>VLOOKUP(A361,'[1]俄罗斯交易系统市值加权指数历史数据 (1)'!$A:$B,2,)</f>
        <v>970.15</v>
      </c>
      <c r="O361" s="3">
        <v>4489.2700000000004</v>
      </c>
      <c r="P361" s="1">
        <v>445.41</v>
      </c>
      <c r="Q361" s="3">
        <v>7880.29</v>
      </c>
      <c r="R361" s="1">
        <v>751.74</v>
      </c>
      <c r="S361" s="3">
        <v>8639.2000000000007</v>
      </c>
      <c r="T361" s="3">
        <v>6730.43</v>
      </c>
      <c r="U361" s="3">
        <v>3030.02</v>
      </c>
      <c r="V361" s="6">
        <f>VLOOKUP(A361,[2]韩国KOSPI指数历史数据!$A:$B,2,)</f>
        <v>1984.43</v>
      </c>
      <c r="W361" s="6">
        <f>VLOOKUP(A361,[3]日经225指数历史数据!$A:$B,2,)</f>
        <v>17374.79</v>
      </c>
      <c r="X361" s="3">
        <v>1424.94</v>
      </c>
      <c r="Y361" s="6">
        <f>VLOOKUP(A361,[4]上证指数历史数据!$A:$B,2,)</f>
        <v>3196.04</v>
      </c>
      <c r="Z361" s="6">
        <f>VLOOKUP(A361,[5]深证成份指数历史数据!$A:$B,2,)</f>
        <v>10878.14</v>
      </c>
      <c r="AA361" s="6">
        <f>VLOOKUP(A361,[6]台湾加权指数历史数据!$A:$B,2,)</f>
        <v>8957.76</v>
      </c>
      <c r="AB361" s="3">
        <v>22531.09</v>
      </c>
      <c r="AC361" s="3">
        <v>2814.6</v>
      </c>
      <c r="AD361">
        <v>8296.2999999999993</v>
      </c>
      <c r="AE361" s="5">
        <f>VLOOKUP(A361,[7]越南VN30指数历史数据!$A:$B,2,)</f>
        <v>642</v>
      </c>
      <c r="AF361">
        <v>43995.65</v>
      </c>
      <c r="AG361" s="9">
        <v>13129.18</v>
      </c>
      <c r="AH361">
        <v>10551.43</v>
      </c>
      <c r="AI361">
        <v>1168.7</v>
      </c>
      <c r="AJ361">
        <v>2457.92</v>
      </c>
    </row>
    <row r="362" spans="1:36" x14ac:dyDescent="0.3">
      <c r="A362" s="2">
        <v>42687</v>
      </c>
      <c r="B362" s="3">
        <v>16385.12</v>
      </c>
      <c r="C362" s="4">
        <v>59962</v>
      </c>
      <c r="D362" s="3">
        <v>5359.4</v>
      </c>
      <c r="E362" s="3">
        <v>18867.93</v>
      </c>
      <c r="F362" s="3">
        <v>14864.03</v>
      </c>
      <c r="G362" s="3">
        <v>1315.64</v>
      </c>
      <c r="H362" s="3">
        <v>2181.9</v>
      </c>
      <c r="I362" s="3">
        <v>5321.51</v>
      </c>
      <c r="J362" s="3">
        <v>44364.17</v>
      </c>
      <c r="K362" s="1">
        <v>20935.63</v>
      </c>
      <c r="L362" s="3">
        <v>1725.74</v>
      </c>
      <c r="M362" s="3">
        <v>10664.56</v>
      </c>
      <c r="N362" s="6">
        <f>VLOOKUP(A362,'[1]俄罗斯交易系统市值加权指数历史数据 (1)'!$A:$B,2,)</f>
        <v>990.77</v>
      </c>
      <c r="O362" s="3">
        <v>4504.3500000000004</v>
      </c>
      <c r="P362" s="1">
        <v>450.68</v>
      </c>
      <c r="Q362" s="3">
        <v>7904.55</v>
      </c>
      <c r="R362" s="1">
        <v>756.39</v>
      </c>
      <c r="S362" s="3">
        <v>8622.9</v>
      </c>
      <c r="T362" s="3">
        <v>6775.77</v>
      </c>
      <c r="U362" s="3">
        <v>3020.83</v>
      </c>
      <c r="V362" s="6">
        <f>VLOOKUP(A362,[2]韩国KOSPI指数历史数据!$A:$B,2,)</f>
        <v>1974.58</v>
      </c>
      <c r="W362" s="6">
        <f>VLOOKUP(A362,[3]日经225指数历史数据!$A:$B,2,)</f>
        <v>17967.41</v>
      </c>
      <c r="X362" s="3">
        <v>1432.48</v>
      </c>
      <c r="Y362" s="6">
        <f>VLOOKUP(A362,[4]上证指数历史数据!$A:$B,2,)</f>
        <v>3192.86</v>
      </c>
      <c r="Z362" s="6">
        <f>VLOOKUP(A362,[5]深证成份指数历史数据!$A:$B,2,)</f>
        <v>10889.11</v>
      </c>
      <c r="AA362" s="6">
        <f>VLOOKUP(A362,[6]台湾加权指数历史数据!$A:$B,2,)</f>
        <v>9008.7900000000009</v>
      </c>
      <c r="AB362" s="3">
        <v>22344.21</v>
      </c>
      <c r="AC362" s="3">
        <v>2838.65</v>
      </c>
      <c r="AD362">
        <v>8074.1</v>
      </c>
      <c r="AE362" s="5">
        <f>VLOOKUP(A362,[7]越南VN30指数历史数据!$A:$B,2,)</f>
        <v>634.35</v>
      </c>
      <c r="AF362">
        <v>44216.56</v>
      </c>
      <c r="AG362" s="9">
        <v>13988.28</v>
      </c>
      <c r="AH362">
        <v>10697.55</v>
      </c>
      <c r="AI362">
        <v>1137.32</v>
      </c>
      <c r="AJ362">
        <v>2398.11</v>
      </c>
    </row>
    <row r="363" spans="1:36" x14ac:dyDescent="0.3">
      <c r="A363" s="2">
        <v>42694</v>
      </c>
      <c r="B363" s="3">
        <v>17168.64</v>
      </c>
      <c r="C363" s="4">
        <v>61559</v>
      </c>
      <c r="D363" s="3">
        <v>5507.8</v>
      </c>
      <c r="E363" s="3">
        <v>19152.14</v>
      </c>
      <c r="F363" s="3">
        <v>15075.44</v>
      </c>
      <c r="G363" s="3">
        <v>1347.2</v>
      </c>
      <c r="H363" s="3">
        <v>2213.35</v>
      </c>
      <c r="I363" s="3">
        <v>5398.92</v>
      </c>
      <c r="J363" s="3">
        <v>45357.85</v>
      </c>
      <c r="K363" s="1">
        <v>21025.34</v>
      </c>
      <c r="L363" s="3">
        <v>1796.3</v>
      </c>
      <c r="M363" s="3">
        <v>10699.27</v>
      </c>
      <c r="N363" s="6">
        <f>VLOOKUP(A363,'[1]俄罗斯交易系统市值加权指数历史数据 (1)'!$A:$B,2,)</f>
        <v>1018.51</v>
      </c>
      <c r="O363" s="3">
        <v>4550.2700000000004</v>
      </c>
      <c r="P363" s="1">
        <v>457.99</v>
      </c>
      <c r="Q363" s="3">
        <v>7881.53</v>
      </c>
      <c r="R363" s="1">
        <v>743.63</v>
      </c>
      <c r="S363" s="3">
        <v>8674.4</v>
      </c>
      <c r="T363" s="3">
        <v>6840.75</v>
      </c>
      <c r="U363" s="3">
        <v>3048.38</v>
      </c>
      <c r="V363" s="6">
        <f>VLOOKUP(A363,[2]韩国KOSPI指数历史数据!$A:$B,2,)</f>
        <v>1974.46</v>
      </c>
      <c r="W363" s="6">
        <f>VLOOKUP(A363,[3]日经225指数历史数据!$A:$B,2,)</f>
        <v>18381.22</v>
      </c>
      <c r="X363" s="3">
        <v>1450</v>
      </c>
      <c r="Y363" s="6">
        <f>VLOOKUP(A363,[4]上证指数历史数据!$A:$B,2,)</f>
        <v>3261.94</v>
      </c>
      <c r="Z363" s="6">
        <f>VLOOKUP(A363,[5]深证成份指数历史数据!$A:$B,2,)</f>
        <v>11036.53</v>
      </c>
      <c r="AA363" s="6">
        <f>VLOOKUP(A363,[6]台湾加权指数历史数据!$A:$B,2,)</f>
        <v>9159.07</v>
      </c>
      <c r="AB363" s="3">
        <v>22723.45</v>
      </c>
      <c r="AC363" s="3">
        <v>2859.33</v>
      </c>
      <c r="AD363">
        <v>8114.3</v>
      </c>
      <c r="AE363" s="5">
        <f>VLOOKUP(A363,[7]越南VN30指数历史数据!$A:$B,2,)</f>
        <v>643.38</v>
      </c>
      <c r="AF363">
        <v>44208.66</v>
      </c>
      <c r="AG363" s="9">
        <v>14259.21</v>
      </c>
      <c r="AH363">
        <v>10642.47</v>
      </c>
      <c r="AI363">
        <v>1126.8800000000001</v>
      </c>
      <c r="AJ363">
        <v>2335.6</v>
      </c>
    </row>
    <row r="364" spans="1:36" x14ac:dyDescent="0.3">
      <c r="A364" s="2">
        <v>42701</v>
      </c>
      <c r="B364" s="3">
        <v>16947.759999999998</v>
      </c>
      <c r="C364" s="4">
        <v>60316</v>
      </c>
      <c r="D364" s="3">
        <v>5444</v>
      </c>
      <c r="E364" s="3">
        <v>19170.419999999998</v>
      </c>
      <c r="F364" s="3">
        <v>15052.52</v>
      </c>
      <c r="G364" s="3">
        <v>1314.25</v>
      </c>
      <c r="H364" s="3">
        <v>2191.9499999999998</v>
      </c>
      <c r="I364" s="3">
        <v>5255.65</v>
      </c>
      <c r="J364" s="3">
        <v>44555.26</v>
      </c>
      <c r="K364" s="1">
        <v>20991.27</v>
      </c>
      <c r="L364" s="3">
        <v>1783.57</v>
      </c>
      <c r="M364" s="3">
        <v>10513.35</v>
      </c>
      <c r="N364" s="6">
        <f>VLOOKUP(A364,'[1]俄罗斯交易系统市值加权指数历史数据 (1)'!$A:$B,2,)</f>
        <v>1050.21</v>
      </c>
      <c r="O364" s="3">
        <v>4528.82</v>
      </c>
      <c r="P364" s="1">
        <v>449.6</v>
      </c>
      <c r="Q364" s="3">
        <v>7784.01</v>
      </c>
      <c r="R364" s="1">
        <v>733.91</v>
      </c>
      <c r="S364" s="3">
        <v>8607.1</v>
      </c>
      <c r="T364" s="3">
        <v>6730.72</v>
      </c>
      <c r="U364" s="3">
        <v>3015.13</v>
      </c>
      <c r="V364" s="6">
        <f>VLOOKUP(A364,[2]韩国KOSPI指数历史数据!$A:$B,2,)</f>
        <v>1970.61</v>
      </c>
      <c r="W364" s="6">
        <f>VLOOKUP(A364,[3]日经225指数历史数据!$A:$B,2,)</f>
        <v>18426.080000000002</v>
      </c>
      <c r="X364" s="3">
        <v>1438.25</v>
      </c>
      <c r="Y364" s="6">
        <f>VLOOKUP(A364,[4]上证指数历史数据!$A:$B,2,)</f>
        <v>3243.84</v>
      </c>
      <c r="Z364" s="6">
        <f>VLOOKUP(A364,[5]深证成份指数历史数据!$A:$B,2,)</f>
        <v>10912.63</v>
      </c>
      <c r="AA364" s="6">
        <f>VLOOKUP(A364,[6]台湾加权指数历史数据!$A:$B,2,)</f>
        <v>9189.49</v>
      </c>
      <c r="AB364" s="3">
        <v>22564.82</v>
      </c>
      <c r="AC364" s="3">
        <v>2919.37</v>
      </c>
      <c r="AD364">
        <v>8086.8</v>
      </c>
      <c r="AE364" s="5">
        <f>VLOOKUP(A364,[7]越南VN30指数历史数据!$A:$B,2,)</f>
        <v>629.64</v>
      </c>
      <c r="AF364">
        <v>42822.16</v>
      </c>
      <c r="AG364" s="9">
        <v>14406.03</v>
      </c>
      <c r="AH364">
        <v>10621.99</v>
      </c>
      <c r="AI364">
        <v>1151.8699999999999</v>
      </c>
      <c r="AJ364">
        <v>2288.62</v>
      </c>
    </row>
    <row r="365" spans="1:36" x14ac:dyDescent="0.3">
      <c r="A365" s="2">
        <v>42708</v>
      </c>
      <c r="B365" s="3">
        <v>17196.77</v>
      </c>
      <c r="C365" s="4">
        <v>60501</v>
      </c>
      <c r="D365" s="3">
        <v>5560.6</v>
      </c>
      <c r="E365" s="3">
        <v>19756.849999999999</v>
      </c>
      <c r="F365" s="3">
        <v>15312.2</v>
      </c>
      <c r="G365" s="3">
        <v>1388.07</v>
      </c>
      <c r="H365" s="3">
        <v>2259.5300000000002</v>
      </c>
      <c r="I365" s="3">
        <v>5444.5</v>
      </c>
      <c r="J365" s="3">
        <v>46913.47</v>
      </c>
      <c r="K365" s="1">
        <v>21321.77</v>
      </c>
      <c r="L365" s="3">
        <v>1899.76</v>
      </c>
      <c r="M365" s="3">
        <v>11203.63</v>
      </c>
      <c r="N365" s="6">
        <f>VLOOKUP(A365,'[1]俄罗斯交易系统市值加权指数历史数据 (1)'!$A:$B,2,)</f>
        <v>1110.1400000000001</v>
      </c>
      <c r="O365" s="3">
        <v>4764.07</v>
      </c>
      <c r="P365" s="1">
        <v>469.77</v>
      </c>
      <c r="Q365" s="3">
        <v>8099.63</v>
      </c>
      <c r="R365" s="1">
        <v>757.27</v>
      </c>
      <c r="S365" s="3">
        <v>9169.6</v>
      </c>
      <c r="T365" s="3">
        <v>6954.21</v>
      </c>
      <c r="U365" s="3">
        <v>3197.54</v>
      </c>
      <c r="V365" s="6">
        <f>VLOOKUP(A365,[2]韩国KOSPI指数历史数据!$A:$B,2,)</f>
        <v>2024.69</v>
      </c>
      <c r="W365" s="6">
        <f>VLOOKUP(A365,[3]日经225指数历史数据!$A:$B,2,)</f>
        <v>18996.37</v>
      </c>
      <c r="X365" s="3">
        <v>1445.54</v>
      </c>
      <c r="Y365" s="6">
        <f>VLOOKUP(A365,[4]上证指数历史数据!$A:$B,2,)</f>
        <v>3232.88</v>
      </c>
      <c r="Z365" s="6">
        <f>VLOOKUP(A365,[5]深证成份指数历史数据!$A:$B,2,)</f>
        <v>10789.62</v>
      </c>
      <c r="AA365" s="6">
        <f>VLOOKUP(A365,[6]台湾加权指数历史数据!$A:$B,2,)</f>
        <v>9392.68</v>
      </c>
      <c r="AB365" s="3">
        <v>22760.98</v>
      </c>
      <c r="AC365" s="3">
        <v>2956.13</v>
      </c>
      <c r="AD365">
        <v>8261.75</v>
      </c>
      <c r="AE365" s="5">
        <f>VLOOKUP(A365,[7]越南VN30指数历史数据!$A:$B,2,)</f>
        <v>619.64</v>
      </c>
      <c r="AF365">
        <v>44220.24</v>
      </c>
      <c r="AG365" s="9">
        <v>14089.92</v>
      </c>
      <c r="AH365">
        <v>10957.24</v>
      </c>
      <c r="AI365">
        <v>1156.9100000000001</v>
      </c>
      <c r="AJ365">
        <v>2277.37</v>
      </c>
    </row>
    <row r="366" spans="1:36" x14ac:dyDescent="0.3">
      <c r="A366" s="2">
        <v>42715</v>
      </c>
      <c r="B366" s="3">
        <v>16563.5</v>
      </c>
      <c r="C366" s="4">
        <v>58389</v>
      </c>
      <c r="D366" s="3">
        <v>5532.9</v>
      </c>
      <c r="E366" s="3">
        <v>19843.41</v>
      </c>
      <c r="F366" s="3">
        <v>15252.2</v>
      </c>
      <c r="G366" s="3">
        <v>1364.19</v>
      </c>
      <c r="H366" s="3">
        <v>2258.0700000000002</v>
      </c>
      <c r="I366" s="3">
        <v>5437.16</v>
      </c>
      <c r="J366" s="3">
        <v>45121.39</v>
      </c>
      <c r="K366" s="1">
        <v>21056.36</v>
      </c>
      <c r="L366" s="3">
        <v>1918.54</v>
      </c>
      <c r="M366" s="3">
        <v>11404.01</v>
      </c>
      <c r="N366" s="6">
        <f>VLOOKUP(A366,'[1]俄罗斯交易系统市值加权指数历史数据 (1)'!$A:$B,2,)</f>
        <v>1135.56</v>
      </c>
      <c r="O366" s="3">
        <v>4833.2700000000004</v>
      </c>
      <c r="P366" s="1">
        <v>477.7</v>
      </c>
      <c r="Q366" s="3">
        <v>8227.7199999999993</v>
      </c>
      <c r="R366" s="1">
        <v>775.9</v>
      </c>
      <c r="S366" s="3">
        <v>9412.7999999999993</v>
      </c>
      <c r="T366" s="3">
        <v>7011.64</v>
      </c>
      <c r="U366" s="3">
        <v>3259.24</v>
      </c>
      <c r="V366" s="6">
        <f>VLOOKUP(A366,[2]韩国KOSPI指数历史数据!$A:$B,2,)</f>
        <v>2042.24</v>
      </c>
      <c r="W366" s="6">
        <f>VLOOKUP(A366,[3]日经225指数历史数据!$A:$B,2,)</f>
        <v>19401.150000000001</v>
      </c>
      <c r="X366" s="3">
        <v>1455.92</v>
      </c>
      <c r="Y366" s="6">
        <f>VLOOKUP(A366,[4]上证指数历史数据!$A:$B,2,)</f>
        <v>3122.98</v>
      </c>
      <c r="Z366" s="6">
        <f>VLOOKUP(A366,[5]深证成份指数历史数据!$A:$B,2,)</f>
        <v>10334.76</v>
      </c>
      <c r="AA366" s="6">
        <f>VLOOKUP(A366,[6]台湾加权指数历史数据!$A:$B,2,)</f>
        <v>9326.7800000000007</v>
      </c>
      <c r="AB366" s="3">
        <v>22020.75</v>
      </c>
      <c r="AC366" s="3">
        <v>2937.86</v>
      </c>
      <c r="AD366">
        <v>8139.45</v>
      </c>
      <c r="AE366" s="5">
        <f>VLOOKUP(A366,[7]越南VN30指数历史数据!$A:$B,2,)</f>
        <v>621.04</v>
      </c>
      <c r="AF366">
        <v>43165.26</v>
      </c>
      <c r="AG366" s="9">
        <v>14196.59</v>
      </c>
      <c r="AH366">
        <v>11304.83</v>
      </c>
      <c r="AI366">
        <v>1192.2</v>
      </c>
      <c r="AJ366">
        <v>2225.61</v>
      </c>
    </row>
    <row r="367" spans="1:36" x14ac:dyDescent="0.3">
      <c r="A367" s="2">
        <v>42722</v>
      </c>
      <c r="B367" s="3">
        <v>16354.52</v>
      </c>
      <c r="C367" s="4">
        <v>57937</v>
      </c>
      <c r="D367" s="3">
        <v>5627.9</v>
      </c>
      <c r="E367" s="3">
        <v>19933.810000000001</v>
      </c>
      <c r="F367" s="3">
        <v>15328.15</v>
      </c>
      <c r="G367" s="3">
        <v>1371.51</v>
      </c>
      <c r="H367" s="3">
        <v>2263.79</v>
      </c>
      <c r="I367" s="3">
        <v>5462.69</v>
      </c>
      <c r="J367" s="3">
        <v>45173.54</v>
      </c>
      <c r="K367" s="1">
        <v>20308.650000000001</v>
      </c>
      <c r="L367" s="3">
        <v>1933.6</v>
      </c>
      <c r="M367" s="3">
        <v>11449.93</v>
      </c>
      <c r="N367" s="6">
        <f>VLOOKUP(A367,'[1]俄罗斯交易系统市值加权指数历史数据 (1)'!$A:$B,2,)</f>
        <v>1117.92</v>
      </c>
      <c r="O367" s="3">
        <v>4839.68</v>
      </c>
      <c r="P367" s="1">
        <v>482.86</v>
      </c>
      <c r="Q367" s="3">
        <v>8232.64</v>
      </c>
      <c r="R367" s="1">
        <v>769.72</v>
      </c>
      <c r="S367" s="3">
        <v>9367.7000000000007</v>
      </c>
      <c r="T367" s="3">
        <v>7068.17</v>
      </c>
      <c r="U367" s="3">
        <v>3273.97</v>
      </c>
      <c r="V367" s="6">
        <f>VLOOKUP(A367,[2]韩国KOSPI指数历史数据!$A:$B,2,)</f>
        <v>2035.9</v>
      </c>
      <c r="W367" s="6">
        <f>VLOOKUP(A367,[3]日经225指数历史数据!$A:$B,2,)</f>
        <v>19427.669999999998</v>
      </c>
      <c r="X367" s="3">
        <v>1463.47</v>
      </c>
      <c r="Y367" s="6">
        <f>VLOOKUP(A367,[4]上证指数历史数据!$A:$B,2,)</f>
        <v>3110.15</v>
      </c>
      <c r="Z367" s="6">
        <f>VLOOKUP(A367,[5]深证成份指数历史数据!$A:$B,2,)</f>
        <v>10199.86</v>
      </c>
      <c r="AA367" s="6">
        <f>VLOOKUP(A367,[6]台湾加权指数历史数据!$A:$B,2,)</f>
        <v>9078.64</v>
      </c>
      <c r="AB367" s="3">
        <v>21574.76</v>
      </c>
      <c r="AC367" s="3">
        <v>2871.05</v>
      </c>
      <c r="AD367">
        <v>7985.75</v>
      </c>
      <c r="AE367" s="5">
        <f>VLOOKUP(A367,[7]越南VN30指数历史数据!$A:$B,2,)</f>
        <v>620.75</v>
      </c>
      <c r="AF367">
        <v>42860.5</v>
      </c>
      <c r="AG367" s="9">
        <v>15676.36</v>
      </c>
      <c r="AH367">
        <v>11927.19</v>
      </c>
      <c r="AI367">
        <v>1174.07</v>
      </c>
      <c r="AJ367">
        <v>2250.96</v>
      </c>
    </row>
    <row r="368" spans="1:36" x14ac:dyDescent="0.3">
      <c r="A368" s="2">
        <v>42729</v>
      </c>
      <c r="B368" s="3">
        <v>16917.86</v>
      </c>
      <c r="C368" s="4">
        <v>60227</v>
      </c>
      <c r="D368" s="3">
        <v>5665.8</v>
      </c>
      <c r="E368" s="3">
        <v>19762.599999999999</v>
      </c>
      <c r="F368" s="3">
        <v>15287.59</v>
      </c>
      <c r="G368" s="3">
        <v>1357.13</v>
      </c>
      <c r="H368" s="3">
        <v>2238.83</v>
      </c>
      <c r="I368" s="3">
        <v>5383.12</v>
      </c>
      <c r="J368" s="3">
        <v>45642.9</v>
      </c>
      <c r="K368" s="1">
        <v>20734.169999999998</v>
      </c>
      <c r="L368" s="3">
        <v>1947.92</v>
      </c>
      <c r="M368" s="3">
        <v>11481.06</v>
      </c>
      <c r="N368" s="6">
        <f>VLOOKUP(A368,'[1]俄罗斯交易系统市值加权指数历史数据 (1)'!$A:$B,2,)</f>
        <v>1152.33</v>
      </c>
      <c r="O368" s="3">
        <v>4862.3100000000004</v>
      </c>
      <c r="P368" s="1">
        <v>483.17</v>
      </c>
      <c r="Q368" s="3">
        <v>8219.8700000000008</v>
      </c>
      <c r="R368" s="1">
        <v>781.39</v>
      </c>
      <c r="S368" s="3">
        <v>9352.1</v>
      </c>
      <c r="T368" s="3">
        <v>7142.83</v>
      </c>
      <c r="U368" s="3">
        <v>3290.52</v>
      </c>
      <c r="V368" s="6">
        <f>VLOOKUP(A368,[2]韩国KOSPI指数历史数据!$A:$B,2,)</f>
        <v>2026.46</v>
      </c>
      <c r="W368" s="6">
        <f>VLOOKUP(A368,[3]日经225指数历史数据!$A:$B,2,)</f>
        <v>19114.37</v>
      </c>
      <c r="X368" s="3">
        <v>1470.78</v>
      </c>
      <c r="Y368" s="6">
        <f>VLOOKUP(A368,[4]上证指数历史数据!$A:$B,2,)</f>
        <v>3103.64</v>
      </c>
      <c r="Z368" s="6">
        <f>VLOOKUP(A368,[5]深证成份指数历史数据!$A:$B,2,)</f>
        <v>10177.14</v>
      </c>
      <c r="AA368" s="6">
        <f>VLOOKUP(A368,[6]台湾加权指数历史数据!$A:$B,2,)</f>
        <v>9253.5</v>
      </c>
      <c r="AB368" s="3">
        <v>22000.560000000001</v>
      </c>
      <c r="AC368" s="3">
        <v>2880.76</v>
      </c>
      <c r="AD368">
        <v>8185.8</v>
      </c>
      <c r="AE368" s="5">
        <f>VLOOKUP(A368,[7]越南VN30指数历史数据!$A:$B,2,)</f>
        <v>628.21</v>
      </c>
      <c r="AF368">
        <v>43901.99</v>
      </c>
      <c r="AG368" s="9">
        <v>15462.95</v>
      </c>
      <c r="AH368">
        <v>11644.22</v>
      </c>
      <c r="AI368">
        <v>1195.2</v>
      </c>
      <c r="AJ368">
        <v>2198.4</v>
      </c>
    </row>
    <row r="369" spans="1:36" x14ac:dyDescent="0.3">
      <c r="A369" s="2">
        <v>42736</v>
      </c>
      <c r="B369" s="3">
        <v>18284.28</v>
      </c>
      <c r="C369" s="4">
        <v>61665</v>
      </c>
      <c r="D369" s="3">
        <v>5755.6</v>
      </c>
      <c r="E369" s="3">
        <v>19963.8</v>
      </c>
      <c r="F369" s="3">
        <v>15496.05</v>
      </c>
      <c r="G369" s="3">
        <v>1367.28</v>
      </c>
      <c r="H369" s="3">
        <v>2276.98</v>
      </c>
      <c r="I369" s="3">
        <v>5521.06</v>
      </c>
      <c r="J369" s="3">
        <v>46071.57</v>
      </c>
      <c r="K369" s="1">
        <v>20818.330000000002</v>
      </c>
      <c r="L369" s="3">
        <v>1998.76</v>
      </c>
      <c r="M369" s="3">
        <v>11599.01</v>
      </c>
      <c r="N369" s="6">
        <f>VLOOKUP(A369,'[1]俄罗斯交易系统市值加权指数历史数据 (1)'!$A:$B,2,)</f>
        <v>1172.5899999999999</v>
      </c>
      <c r="O369" s="3">
        <v>4909.84</v>
      </c>
      <c r="P369" s="1">
        <v>487</v>
      </c>
      <c r="Q369" s="3">
        <v>8417.4599999999991</v>
      </c>
      <c r="R369" s="1">
        <v>771.07</v>
      </c>
      <c r="S369" s="3">
        <v>9515.9</v>
      </c>
      <c r="T369" s="3">
        <v>7210.05</v>
      </c>
      <c r="U369" s="3">
        <v>3321.17</v>
      </c>
      <c r="V369" s="6">
        <f>VLOOKUP(A369,[2]韩国KOSPI指数历史数据!$A:$B,2,)</f>
        <v>2049.12</v>
      </c>
      <c r="W369" s="6">
        <f>VLOOKUP(A369,[3]日经225指数历史数据!$A:$B,2,)</f>
        <v>19454.330000000002</v>
      </c>
      <c r="X369" s="3">
        <v>1467.83</v>
      </c>
      <c r="Y369" s="6">
        <f>VLOOKUP(A369,[4]上证指数历史数据!$A:$B,2,)</f>
        <v>3154.32</v>
      </c>
      <c r="Z369" s="6">
        <f>VLOOKUP(A369,[5]深证成份指数历史数据!$A:$B,2,)</f>
        <v>10289.36</v>
      </c>
      <c r="AA369" s="6">
        <f>VLOOKUP(A369,[6]台湾加权指数历史数据!$A:$B,2,)</f>
        <v>9372.2199999999993</v>
      </c>
      <c r="AB369" s="3">
        <v>22503.01</v>
      </c>
      <c r="AC369" s="3">
        <v>2962.63</v>
      </c>
      <c r="AD369">
        <v>8243.7999999999993</v>
      </c>
      <c r="AE369" s="5">
        <f>VLOOKUP(A369,[7]越南VN30指数历史数据!$A:$B,2,)</f>
        <v>636.34</v>
      </c>
      <c r="AF369">
        <v>44456.49</v>
      </c>
      <c r="AG369" s="9">
        <v>16261.72</v>
      </c>
      <c r="AH369">
        <v>12572.94</v>
      </c>
      <c r="AI369">
        <v>1170.68</v>
      </c>
      <c r="AJ369">
        <v>2144.63</v>
      </c>
    </row>
    <row r="370" spans="1:36" x14ac:dyDescent="0.3">
      <c r="A370" s="2">
        <v>42743</v>
      </c>
      <c r="B370" s="3">
        <v>18885.09</v>
      </c>
      <c r="C370" s="4">
        <v>63652</v>
      </c>
      <c r="D370" s="3">
        <v>5721.1</v>
      </c>
      <c r="E370" s="3">
        <v>19885.73</v>
      </c>
      <c r="F370" s="3">
        <v>15497.28</v>
      </c>
      <c r="G370" s="3">
        <v>1372.05</v>
      </c>
      <c r="H370" s="3">
        <v>2274.64</v>
      </c>
      <c r="I370" s="3">
        <v>5574.12</v>
      </c>
      <c r="J370" s="3">
        <v>46182.43</v>
      </c>
      <c r="K370" s="1">
        <v>21109.82</v>
      </c>
      <c r="L370" s="3">
        <v>2015.89</v>
      </c>
      <c r="M370" s="3">
        <v>11629.18</v>
      </c>
      <c r="N370" s="6">
        <f>VLOOKUP(A370,'[1]俄罗斯交易系统市值加权指数历史数据 (1)'!$A:$B,2,)</f>
        <v>1158.19</v>
      </c>
      <c r="O370" s="3">
        <v>4922.49</v>
      </c>
      <c r="P370" s="1">
        <v>488.09</v>
      </c>
      <c r="Q370" s="3">
        <v>8452.19</v>
      </c>
      <c r="R370" s="1">
        <v>815.24</v>
      </c>
      <c r="S370" s="3">
        <v>9511.6</v>
      </c>
      <c r="T370" s="3">
        <v>7337.81</v>
      </c>
      <c r="U370" s="3">
        <v>3324.34</v>
      </c>
      <c r="V370" s="6">
        <f>VLOOKUP(A370,[2]韩国KOSPI指数历史数据!$A:$B,2,)</f>
        <v>2076.79</v>
      </c>
      <c r="W370" s="6">
        <f>VLOOKUP(A370,[3]日经225指数历史数据!$A:$B,2,)</f>
        <v>19287.28</v>
      </c>
      <c r="X370" s="3">
        <v>1450.06</v>
      </c>
      <c r="Y370" s="6">
        <f>VLOOKUP(A370,[4]上证指数历史数据!$A:$B,2,)</f>
        <v>3112.76</v>
      </c>
      <c r="Z370" s="6">
        <f>VLOOKUP(A370,[5]深证成份指数历史数据!$A:$B,2,)</f>
        <v>10008.299999999999</v>
      </c>
      <c r="AA370" s="6">
        <f>VLOOKUP(A370,[6]台湾加权指数历史数据!$A:$B,2,)</f>
        <v>9378.83</v>
      </c>
      <c r="AB370" s="3">
        <v>22937.38</v>
      </c>
      <c r="AC370" s="3">
        <v>3025.07</v>
      </c>
      <c r="AD370">
        <v>8400.35</v>
      </c>
      <c r="AE370" s="5">
        <f>VLOOKUP(A370,[7]越南VN30指数历史数据!$A:$B,2,)</f>
        <v>640.07000000000005</v>
      </c>
      <c r="AF370">
        <v>46067.199999999997</v>
      </c>
      <c r="AG370" s="9">
        <v>16740.5</v>
      </c>
      <c r="AH370">
        <v>12722.6</v>
      </c>
      <c r="AI370">
        <v>1171.95</v>
      </c>
      <c r="AJ370">
        <v>2197.8200000000002</v>
      </c>
    </row>
    <row r="371" spans="1:36" x14ac:dyDescent="0.3">
      <c r="A371" s="2">
        <v>42750</v>
      </c>
      <c r="B371" s="3">
        <v>19039.490000000002</v>
      </c>
      <c r="C371" s="4">
        <v>64521</v>
      </c>
      <c r="D371" s="3">
        <v>5654.8</v>
      </c>
      <c r="E371" s="3">
        <v>19827.25</v>
      </c>
      <c r="F371" s="3">
        <v>15547.88</v>
      </c>
      <c r="G371" s="3">
        <v>1351.85</v>
      </c>
      <c r="H371" s="3">
        <v>2271.31</v>
      </c>
      <c r="I371" s="3">
        <v>5555.33</v>
      </c>
      <c r="J371" s="3">
        <v>46331.6</v>
      </c>
      <c r="K371" s="1">
        <v>21221.43</v>
      </c>
      <c r="L371" s="3">
        <v>2006.01</v>
      </c>
      <c r="M371" s="3">
        <v>11630.13</v>
      </c>
      <c r="N371" s="6">
        <f>VLOOKUP(A371,'[1]俄罗斯交易系统市值加权指数历史数据 (1)'!$A:$B,2,)</f>
        <v>1138.99</v>
      </c>
      <c r="O371" s="3">
        <v>4850.67</v>
      </c>
      <c r="P371" s="1">
        <v>485.98</v>
      </c>
      <c r="Q371" s="3">
        <v>8275.1299999999992</v>
      </c>
      <c r="R371" s="1">
        <v>830.67</v>
      </c>
      <c r="S371" s="3">
        <v>9380.1</v>
      </c>
      <c r="T371" s="3">
        <v>7198.44</v>
      </c>
      <c r="U371" s="3">
        <v>3299.44</v>
      </c>
      <c r="V371" s="6">
        <f>VLOOKUP(A371,[2]韩国KOSPI指数历史数据!$A:$B,2,)</f>
        <v>2065.61</v>
      </c>
      <c r="W371" s="6">
        <f>VLOOKUP(A371,[3]日经225指数历史数据!$A:$B,2,)</f>
        <v>19137.91</v>
      </c>
      <c r="X371" s="3">
        <v>1421.47</v>
      </c>
      <c r="Y371" s="6">
        <f>VLOOKUP(A371,[4]上证指数历史数据!$A:$B,2,)</f>
        <v>3123.14</v>
      </c>
      <c r="Z371" s="6">
        <f>VLOOKUP(A371,[5]深证成份指数历史数据!$A:$B,2,)</f>
        <v>9906.14</v>
      </c>
      <c r="AA371" s="6">
        <f>VLOOKUP(A371,[6]台湾加权指数历史数据!$A:$B,2,)</f>
        <v>9331.4599999999991</v>
      </c>
      <c r="AB371" s="3">
        <v>22885.91</v>
      </c>
      <c r="AC371" s="3">
        <v>3011.08</v>
      </c>
      <c r="AD371">
        <v>8349.35</v>
      </c>
      <c r="AE371" s="5">
        <f>VLOOKUP(A371,[7]越南VN30指数历史数据!$A:$B,2,)</f>
        <v>634.28</v>
      </c>
      <c r="AF371">
        <v>45780.79</v>
      </c>
      <c r="AG371" s="9">
        <v>16051.72</v>
      </c>
      <c r="AH371">
        <v>12592.53</v>
      </c>
      <c r="AI371">
        <v>1167.1199999999999</v>
      </c>
      <c r="AJ371">
        <v>2147.08</v>
      </c>
    </row>
    <row r="372" spans="1:36" x14ac:dyDescent="0.3">
      <c r="A372" s="2">
        <v>42757</v>
      </c>
      <c r="B372" s="3">
        <v>19215.78</v>
      </c>
      <c r="C372" s="4">
        <v>66034</v>
      </c>
      <c r="D372" s="3">
        <v>5714</v>
      </c>
      <c r="E372" s="3">
        <v>20093.78</v>
      </c>
      <c r="F372" s="3">
        <v>15575.81</v>
      </c>
      <c r="G372" s="3">
        <v>1370.7</v>
      </c>
      <c r="H372" s="3">
        <v>2294.69</v>
      </c>
      <c r="I372" s="3">
        <v>5660.78</v>
      </c>
      <c r="J372" s="3">
        <v>47421.120000000003</v>
      </c>
      <c r="K372" s="1">
        <v>21323.88</v>
      </c>
      <c r="L372" s="3">
        <v>2084.0500000000002</v>
      </c>
      <c r="M372" s="3">
        <v>11814.27</v>
      </c>
      <c r="N372" s="6">
        <f>VLOOKUP(A372,'[1]俄罗斯交易系统市值加权指数历史数据 (1)'!$A:$B,2,)</f>
        <v>1195.6099999999999</v>
      </c>
      <c r="O372" s="3">
        <v>4839.9799999999996</v>
      </c>
      <c r="P372" s="1">
        <v>485.87</v>
      </c>
      <c r="Q372" s="3">
        <v>8379.57</v>
      </c>
      <c r="R372" s="1">
        <v>838.27</v>
      </c>
      <c r="S372" s="3">
        <v>9504.1</v>
      </c>
      <c r="T372" s="3">
        <v>7184.49</v>
      </c>
      <c r="U372" s="3">
        <v>3303.33</v>
      </c>
      <c r="V372" s="6">
        <f>VLOOKUP(A372,[2]韩国KOSPI指数历史数据!$A:$B,2,)</f>
        <v>2083.59</v>
      </c>
      <c r="W372" s="6">
        <f>VLOOKUP(A372,[3]日经225指数历史数据!$A:$B,2,)</f>
        <v>19467.400000000001</v>
      </c>
      <c r="X372" s="3">
        <v>1423.69</v>
      </c>
      <c r="Y372" s="6">
        <f>VLOOKUP(A372,[4]上证指数历史数据!$A:$B,2,)</f>
        <v>3159.17</v>
      </c>
      <c r="Z372" s="6">
        <f>VLOOKUP(A372,[5]深证成份指数历史数据!$A:$B,2,)</f>
        <v>10052.049999999999</v>
      </c>
      <c r="AA372" s="6">
        <f>VLOOKUP(A372,[6]台湾加权指数历史数据!$A:$B,2,)</f>
        <v>9447.9500000000007</v>
      </c>
      <c r="AB372" s="3">
        <v>23360.78</v>
      </c>
      <c r="AC372" s="3">
        <v>3064.85</v>
      </c>
      <c r="AD372">
        <v>8641.25</v>
      </c>
      <c r="AE372" s="5">
        <f>VLOOKUP(A372,[7]越南VN30指数历史数据!$A:$B,2,)</f>
        <v>644.79</v>
      </c>
      <c r="AF372">
        <v>46146.76</v>
      </c>
      <c r="AG372" s="9">
        <v>16417.16</v>
      </c>
      <c r="AH372">
        <v>12507.99</v>
      </c>
      <c r="AI372">
        <v>1172.8599999999999</v>
      </c>
      <c r="AJ372">
        <v>2192.08</v>
      </c>
    </row>
    <row r="373" spans="1:36" x14ac:dyDescent="0.3">
      <c r="A373" s="2">
        <v>42764</v>
      </c>
      <c r="B373" s="3">
        <v>19200.5</v>
      </c>
      <c r="C373" s="4">
        <v>64954</v>
      </c>
      <c r="D373" s="3">
        <v>5621.6</v>
      </c>
      <c r="E373" s="3">
        <v>20071.46</v>
      </c>
      <c r="F373" s="3">
        <v>15476.39</v>
      </c>
      <c r="G373" s="3">
        <v>1377.84</v>
      </c>
      <c r="H373" s="3">
        <v>2297.42</v>
      </c>
      <c r="I373" s="3">
        <v>5666.77</v>
      </c>
      <c r="J373" s="3">
        <v>47225.1</v>
      </c>
      <c r="K373" s="1">
        <v>21266.720000000001</v>
      </c>
      <c r="L373" s="3">
        <v>2076.12</v>
      </c>
      <c r="M373" s="3">
        <v>11651.49</v>
      </c>
      <c r="N373" s="6">
        <f>VLOOKUP(A373,'[1]俄罗斯交易系统市值加权指数历史数据 (1)'!$A:$B,2,)</f>
        <v>1190.4000000000001</v>
      </c>
      <c r="O373" s="3">
        <v>4825.42</v>
      </c>
      <c r="P373" s="1">
        <v>485.92</v>
      </c>
      <c r="Q373" s="3">
        <v>8350.84</v>
      </c>
      <c r="R373" s="1">
        <v>883.89</v>
      </c>
      <c r="S373" s="3">
        <v>9462.7000000000007</v>
      </c>
      <c r="T373" s="3">
        <v>7188.3</v>
      </c>
      <c r="U373" s="3">
        <v>3273.11</v>
      </c>
      <c r="V373" s="6">
        <f>VLOOKUP(A373,[2]韩国KOSPI指数历史数据!$A:$B,2,)</f>
        <v>2073.16</v>
      </c>
      <c r="W373" s="6">
        <f>VLOOKUP(A373,[3]日经225指数历史数据!$A:$B,2,)</f>
        <v>18918.2</v>
      </c>
      <c r="X373" s="3">
        <v>1414.4</v>
      </c>
      <c r="Y373" s="6">
        <f>VLOOKUP(A373,[4]上证指数历史数据!$A:$B,2,)</f>
        <v>3140.17</v>
      </c>
      <c r="Z373" s="6">
        <f>VLOOKUP(A373,[5]深证成份指数历史数据!$A:$B,2,)</f>
        <v>10004.84</v>
      </c>
      <c r="AA373" s="6">
        <f>VLOOKUP(A373,[6]台湾加权指数历史数据!$A:$B,2,)</f>
        <v>9455.56</v>
      </c>
      <c r="AB373" s="3">
        <v>23129.21</v>
      </c>
      <c r="AC373" s="3">
        <v>3041.94</v>
      </c>
      <c r="AD373">
        <v>8740.9500000000007</v>
      </c>
      <c r="AE373" s="5">
        <f>VLOOKUP(A373,[7]越南VN30指数历史数据!$A:$B,2,)</f>
        <v>651.17999999999995</v>
      </c>
      <c r="AF373">
        <v>45417.57</v>
      </c>
      <c r="AG373" s="9">
        <v>15947.31</v>
      </c>
      <c r="AH373">
        <v>12228.99</v>
      </c>
      <c r="AI373">
        <v>1141.72</v>
      </c>
      <c r="AJ373">
        <v>2146.19</v>
      </c>
    </row>
    <row r="374" spans="1:36" x14ac:dyDescent="0.3">
      <c r="A374" s="2">
        <v>42771</v>
      </c>
      <c r="B374" s="3">
        <v>19502.93</v>
      </c>
      <c r="C374" s="4">
        <v>66125</v>
      </c>
      <c r="D374" s="3">
        <v>5720.6</v>
      </c>
      <c r="E374" s="3">
        <v>20269.37</v>
      </c>
      <c r="F374" s="3">
        <v>15729.12</v>
      </c>
      <c r="G374" s="3">
        <v>1388.84</v>
      </c>
      <c r="H374" s="3">
        <v>2316.1</v>
      </c>
      <c r="I374" s="3">
        <v>5734.13</v>
      </c>
      <c r="J374" s="3">
        <v>47797.04</v>
      </c>
      <c r="K374" s="1">
        <v>21518.1</v>
      </c>
      <c r="L374" s="3">
        <v>2154.79</v>
      </c>
      <c r="M374" s="3">
        <v>11666.97</v>
      </c>
      <c r="N374" s="6">
        <f>VLOOKUP(A374,'[1]俄罗斯交易系统市值加权指数历史数据 (1)'!$A:$B,2,)</f>
        <v>1164.21</v>
      </c>
      <c r="O374" s="3">
        <v>4828.32</v>
      </c>
      <c r="P374" s="1">
        <v>489.56</v>
      </c>
      <c r="Q374" s="3">
        <v>8456.2199999999993</v>
      </c>
      <c r="R374" s="1">
        <v>874.73</v>
      </c>
      <c r="S374" s="3">
        <v>9378.1</v>
      </c>
      <c r="T374" s="3">
        <v>7258.75</v>
      </c>
      <c r="U374" s="3">
        <v>3270.83</v>
      </c>
      <c r="V374" s="6">
        <f>VLOOKUP(A374,[2]韩国KOSPI指数历史数据!$A:$B,2,)</f>
        <v>2075.08</v>
      </c>
      <c r="W374" s="6">
        <f>VLOOKUP(A374,[3]日经225指数历史数据!$A:$B,2,)</f>
        <v>19378.93</v>
      </c>
      <c r="X374" s="3">
        <v>1418.08</v>
      </c>
      <c r="Y374" s="6">
        <f>VLOOKUP(A374,[4]上证指数历史数据!$A:$B,2,)</f>
        <v>3196.7</v>
      </c>
      <c r="Z374" s="6">
        <f>VLOOKUP(A374,[5]深证成份指数历史数据!$A:$B,2,)</f>
        <v>10186.379999999999</v>
      </c>
      <c r="AA374" s="6">
        <f>VLOOKUP(A374,[6]台湾加权指数历史数据!$A:$B,2,)</f>
        <v>9665.59</v>
      </c>
      <c r="AB374" s="3">
        <v>23574.98</v>
      </c>
      <c r="AC374" s="3">
        <v>3100.39</v>
      </c>
      <c r="AD374">
        <v>8793.5499999999993</v>
      </c>
      <c r="AE374" s="5">
        <f>VLOOKUP(A374,[7]越南VN30指数历史数据!$A:$B,2,)</f>
        <v>658.78</v>
      </c>
      <c r="AF374">
        <v>45756.81</v>
      </c>
      <c r="AG374" s="9">
        <v>16230.98</v>
      </c>
      <c r="AH374">
        <v>12233.88</v>
      </c>
      <c r="AI374">
        <v>1117.28</v>
      </c>
      <c r="AJ374">
        <v>2181.2199999999998</v>
      </c>
    </row>
    <row r="375" spans="1:36" x14ac:dyDescent="0.3">
      <c r="A375" s="2">
        <v>42778</v>
      </c>
      <c r="B375" s="3">
        <v>19681.34</v>
      </c>
      <c r="C375" s="4">
        <v>67748</v>
      </c>
      <c r="D375" s="3">
        <v>5805.8</v>
      </c>
      <c r="E375" s="3">
        <v>20624.05</v>
      </c>
      <c r="F375" s="3">
        <v>15838.63</v>
      </c>
      <c r="G375" s="3">
        <v>1399.86</v>
      </c>
      <c r="H375" s="3">
        <v>2351.16</v>
      </c>
      <c r="I375" s="3">
        <v>5838.58</v>
      </c>
      <c r="J375" s="3">
        <v>47164.71</v>
      </c>
      <c r="K375" s="1">
        <v>21709.15</v>
      </c>
      <c r="L375" s="3">
        <v>2188.3000000000002</v>
      </c>
      <c r="M375" s="3">
        <v>11757.02</v>
      </c>
      <c r="N375" s="6">
        <f>VLOOKUP(A375,'[1]俄罗斯交易系统市值加权指数历史数据 (1)'!$A:$B,2,)</f>
        <v>1152.21</v>
      </c>
      <c r="O375" s="3">
        <v>4867.58</v>
      </c>
      <c r="P375" s="1">
        <v>499.08</v>
      </c>
      <c r="Q375" s="3">
        <v>8506.49</v>
      </c>
      <c r="R375" s="1">
        <v>888.3</v>
      </c>
      <c r="S375" s="3">
        <v>9500.2999999999993</v>
      </c>
      <c r="T375" s="3">
        <v>7299.96</v>
      </c>
      <c r="U375" s="3">
        <v>3308.81</v>
      </c>
      <c r="V375" s="6">
        <f>VLOOKUP(A375,[2]韩国KOSPI指数历史数据!$A:$B,2,)</f>
        <v>2080.58</v>
      </c>
      <c r="W375" s="6">
        <f>VLOOKUP(A375,[3]日经225指数历史数据!$A:$B,2,)</f>
        <v>19234.62</v>
      </c>
      <c r="X375" s="3">
        <v>1452.67</v>
      </c>
      <c r="Y375" s="6">
        <f>VLOOKUP(A375,[4]上证指数历史数据!$A:$B,2,)</f>
        <v>3202.08</v>
      </c>
      <c r="Z375" s="6">
        <f>VLOOKUP(A375,[5]深证成份指数历史数据!$A:$B,2,)</f>
        <v>10197.92</v>
      </c>
      <c r="AA375" s="6">
        <f>VLOOKUP(A375,[6]台湾加权指数历史数据!$A:$B,2,)</f>
        <v>9779.92</v>
      </c>
      <c r="AB375" s="3">
        <v>24033.74</v>
      </c>
      <c r="AC375" s="3">
        <v>3107.65</v>
      </c>
      <c r="AD375">
        <v>8821.7000000000007</v>
      </c>
      <c r="AE375" s="5">
        <f>VLOOKUP(A375,[7]越南VN30指数历史数据!$A:$B,2,)</f>
        <v>668.1</v>
      </c>
      <c r="AF375">
        <v>45074.63</v>
      </c>
      <c r="AG375" s="9">
        <v>15676.02</v>
      </c>
      <c r="AH375">
        <v>12165.07</v>
      </c>
      <c r="AI375">
        <v>1104.9000000000001</v>
      </c>
      <c r="AJ375">
        <v>2293.66</v>
      </c>
    </row>
    <row r="376" spans="1:36" x14ac:dyDescent="0.3">
      <c r="A376" s="2">
        <v>42785</v>
      </c>
      <c r="B376" s="3">
        <v>19117.45</v>
      </c>
      <c r="C376" s="4">
        <v>66662</v>
      </c>
      <c r="D376" s="3">
        <v>5739</v>
      </c>
      <c r="E376" s="3">
        <v>20821.759999999998</v>
      </c>
      <c r="F376" s="3">
        <v>15533.47</v>
      </c>
      <c r="G376" s="3">
        <v>1394.52</v>
      </c>
      <c r="H376" s="3">
        <v>2367.34</v>
      </c>
      <c r="I376" s="3">
        <v>5845.31</v>
      </c>
      <c r="J376" s="3">
        <v>47047.67</v>
      </c>
      <c r="K376" s="1">
        <v>21725.8</v>
      </c>
      <c r="L376" s="3">
        <v>2212.04</v>
      </c>
      <c r="M376" s="3">
        <v>11804.03</v>
      </c>
      <c r="N376" s="6">
        <f>VLOOKUP(A376,'[1]俄罗斯交易系统市值加权指数历史数据 (1)'!$A:$B,2,)</f>
        <v>1129.0899999999999</v>
      </c>
      <c r="O376" s="3">
        <v>4845.24</v>
      </c>
      <c r="P376" s="1">
        <v>494.9</v>
      </c>
      <c r="Q376" s="3">
        <v>8525.6200000000008</v>
      </c>
      <c r="R376" s="1">
        <v>882.58</v>
      </c>
      <c r="S376" s="3">
        <v>9453.5</v>
      </c>
      <c r="T376" s="3">
        <v>7243.7</v>
      </c>
      <c r="U376" s="3">
        <v>3304.09</v>
      </c>
      <c r="V376" s="6">
        <f>VLOOKUP(A376,[2]韩国KOSPI指数历史数据!$A:$B,2,)</f>
        <v>2094.12</v>
      </c>
      <c r="W376" s="6">
        <f>VLOOKUP(A376,[3]日经225指数历史数据!$A:$B,2,)</f>
        <v>19283.54</v>
      </c>
      <c r="X376" s="3">
        <v>1444</v>
      </c>
      <c r="Y376" s="6">
        <f>VLOOKUP(A376,[4]上证指数历史数据!$A:$B,2,)</f>
        <v>3253.43</v>
      </c>
      <c r="Z376" s="6">
        <f>VLOOKUP(A376,[5]深证成份指数历史数据!$A:$B,2,)</f>
        <v>10443.73</v>
      </c>
      <c r="AA376" s="6">
        <f>VLOOKUP(A376,[6]台湾加权指数历史数据!$A:$B,2,)</f>
        <v>9750.4699999999993</v>
      </c>
      <c r="AB376" s="3">
        <v>23965.7</v>
      </c>
      <c r="AC376" s="3">
        <v>3117.03</v>
      </c>
      <c r="AD376">
        <v>8939.5</v>
      </c>
      <c r="AE376" s="5">
        <f>VLOOKUP(A376,[7]越南VN30指数历史数据!$A:$B,2,)</f>
        <v>661.81</v>
      </c>
      <c r="AF376">
        <v>44580.51</v>
      </c>
      <c r="AG376" s="9">
        <v>15237.68</v>
      </c>
      <c r="AH376">
        <v>11777.37</v>
      </c>
      <c r="AI376">
        <v>1109.54</v>
      </c>
      <c r="AJ376">
        <v>2308.21</v>
      </c>
    </row>
    <row r="377" spans="1:36" x14ac:dyDescent="0.3">
      <c r="A377" s="2">
        <v>42792</v>
      </c>
      <c r="B377" s="3">
        <v>19265.45</v>
      </c>
      <c r="C377" s="4">
        <v>66786</v>
      </c>
      <c r="D377" s="3">
        <v>5729.6</v>
      </c>
      <c r="E377" s="3">
        <v>21005.71</v>
      </c>
      <c r="F377" s="3">
        <v>15608.5</v>
      </c>
      <c r="G377" s="3">
        <v>1394.13</v>
      </c>
      <c r="H377" s="3">
        <v>2383.12</v>
      </c>
      <c r="I377" s="3">
        <v>5870.75</v>
      </c>
      <c r="J377" s="3">
        <v>47414.57</v>
      </c>
      <c r="K377" s="1">
        <v>22195.82</v>
      </c>
      <c r="L377" s="3">
        <v>2232.98</v>
      </c>
      <c r="M377" s="3">
        <v>12027.36</v>
      </c>
      <c r="N377" s="6">
        <f>VLOOKUP(A377,'[1]俄罗斯交易系统市值加权指数历史数据 (1)'!$A:$B,2,)</f>
        <v>1108.26</v>
      </c>
      <c r="O377" s="3">
        <v>4995.13</v>
      </c>
      <c r="P377" s="1">
        <v>505.86</v>
      </c>
      <c r="Q377" s="3">
        <v>8670.06</v>
      </c>
      <c r="R377" s="1">
        <v>897.22</v>
      </c>
      <c r="S377" s="3">
        <v>9798.5</v>
      </c>
      <c r="T377" s="3">
        <v>7374.26</v>
      </c>
      <c r="U377" s="3">
        <v>3403.39</v>
      </c>
      <c r="V377" s="6">
        <f>VLOOKUP(A377,[2]韩国KOSPI指数历史数据!$A:$B,2,)</f>
        <v>2078.75</v>
      </c>
      <c r="W377" s="6">
        <f>VLOOKUP(A377,[3]日经225指数历史数据!$A:$B,2,)</f>
        <v>19469.169999999998</v>
      </c>
      <c r="X377" s="3">
        <v>1443.15</v>
      </c>
      <c r="Y377" s="6">
        <f>VLOOKUP(A377,[4]上证指数历史数据!$A:$B,2,)</f>
        <v>3218.31</v>
      </c>
      <c r="Z377" s="6">
        <f>VLOOKUP(A377,[5]深证成份指数历史数据!$A:$B,2,)</f>
        <v>10397.049999999999</v>
      </c>
      <c r="AA377" s="6">
        <f>VLOOKUP(A377,[6]台湾加权指数历史数据!$A:$B,2,)</f>
        <v>9648.2099999999991</v>
      </c>
      <c r="AB377" s="3">
        <v>23552.720000000001</v>
      </c>
      <c r="AC377" s="3">
        <v>3122.34</v>
      </c>
      <c r="AD377">
        <v>8897.5499999999993</v>
      </c>
      <c r="AE377" s="5">
        <f>VLOOKUP(A377,[7]越南VN30指数历史数据!$A:$B,2,)</f>
        <v>656.77</v>
      </c>
      <c r="AF377">
        <v>44636.3</v>
      </c>
      <c r="AG377" s="9">
        <v>15342.84</v>
      </c>
      <c r="AH377">
        <v>11947.43</v>
      </c>
      <c r="AI377">
        <v>1110.92</v>
      </c>
      <c r="AJ377">
        <v>2335.27</v>
      </c>
    </row>
    <row r="378" spans="1:36" x14ac:dyDescent="0.3">
      <c r="A378" s="2">
        <v>42799</v>
      </c>
      <c r="B378" s="3">
        <v>18895.91</v>
      </c>
      <c r="C378" s="4">
        <v>64675</v>
      </c>
      <c r="D378" s="3">
        <v>5775.6</v>
      </c>
      <c r="E378" s="3">
        <v>20902.98</v>
      </c>
      <c r="F378" s="3">
        <v>15506.68</v>
      </c>
      <c r="G378" s="3">
        <v>1365.26</v>
      </c>
      <c r="H378" s="3">
        <v>2372.6</v>
      </c>
      <c r="I378" s="3">
        <v>5861.73</v>
      </c>
      <c r="J378" s="3">
        <v>47102.31</v>
      </c>
      <c r="K378" s="1">
        <v>22487.72</v>
      </c>
      <c r="L378" s="3">
        <v>2200.0300000000002</v>
      </c>
      <c r="M378" s="3">
        <v>11963.18</v>
      </c>
      <c r="N378" s="6">
        <f>VLOOKUP(A378,'[1]俄罗斯交易系统市值加权指数历史数据 (1)'!$A:$B,2,)</f>
        <v>1055.93</v>
      </c>
      <c r="O378" s="3">
        <v>4993.32</v>
      </c>
      <c r="P378" s="1">
        <v>511.14</v>
      </c>
      <c r="Q378" s="3">
        <v>8669.9699999999993</v>
      </c>
      <c r="R378" s="1">
        <v>896.11</v>
      </c>
      <c r="S378" s="3">
        <v>10006.4</v>
      </c>
      <c r="T378" s="3">
        <v>7343.08</v>
      </c>
      <c r="U378" s="3">
        <v>3416.27</v>
      </c>
      <c r="V378" s="6">
        <f>VLOOKUP(A378,[2]韩国KOSPI指数历史数据!$A:$B,2,)</f>
        <v>2097.35</v>
      </c>
      <c r="W378" s="6">
        <f>VLOOKUP(A378,[3]日经225指数历史数据!$A:$B,2,)</f>
        <v>19604.61</v>
      </c>
      <c r="X378" s="3">
        <v>1439.21</v>
      </c>
      <c r="Y378" s="6">
        <f>VLOOKUP(A378,[4]上证指数历史数据!$A:$B,2,)</f>
        <v>3212.76</v>
      </c>
      <c r="Z378" s="6">
        <f>VLOOKUP(A378,[5]深证成份指数历史数据!$A:$B,2,)</f>
        <v>10451.01</v>
      </c>
      <c r="AA378" s="6">
        <f>VLOOKUP(A378,[6]台湾加权指数历史数据!$A:$B,2,)</f>
        <v>9627.89</v>
      </c>
      <c r="AB378" s="3">
        <v>23568.67</v>
      </c>
      <c r="AC378" s="3">
        <v>3133.35</v>
      </c>
      <c r="AD378">
        <v>8934.5499999999993</v>
      </c>
      <c r="AE378" s="5">
        <f>VLOOKUP(A378,[7]越南VN30指数历史数据!$A:$B,2,)</f>
        <v>663.49</v>
      </c>
      <c r="AF378">
        <v>44304.31</v>
      </c>
      <c r="AG378" s="9">
        <v>16065.67</v>
      </c>
      <c r="AH378">
        <v>11935.03</v>
      </c>
      <c r="AI378">
        <v>1125.83</v>
      </c>
      <c r="AJ378">
        <v>2212.58</v>
      </c>
    </row>
    <row r="379" spans="1:36" x14ac:dyDescent="0.3">
      <c r="A379" s="2">
        <v>42806</v>
      </c>
      <c r="B379" s="3">
        <v>19434</v>
      </c>
      <c r="C379" s="4">
        <v>64210</v>
      </c>
      <c r="D379" s="3">
        <v>5799.6</v>
      </c>
      <c r="E379" s="3">
        <v>20914.62</v>
      </c>
      <c r="F379" s="3">
        <v>15490.49</v>
      </c>
      <c r="G379" s="3">
        <v>1391.52</v>
      </c>
      <c r="H379" s="3">
        <v>2378.25</v>
      </c>
      <c r="I379" s="3">
        <v>5901</v>
      </c>
      <c r="J379" s="3">
        <v>48593.440000000002</v>
      </c>
      <c r="K379" s="1">
        <v>23329.759999999998</v>
      </c>
      <c r="L379" s="3">
        <v>2296.9699999999998</v>
      </c>
      <c r="M379" s="3">
        <v>12095.24</v>
      </c>
      <c r="N379" s="6">
        <f>VLOOKUP(A379,'[1]俄罗斯交易系统市值加权指数历史数据 (1)'!$A:$B,2,)</f>
        <v>1111.8900000000001</v>
      </c>
      <c r="O379" s="3">
        <v>5029.24</v>
      </c>
      <c r="P379" s="1">
        <v>516.24</v>
      </c>
      <c r="Q379" s="3">
        <v>8698.5300000000007</v>
      </c>
      <c r="R379" s="1">
        <v>904.91</v>
      </c>
      <c r="S379" s="3">
        <v>10245.799999999999</v>
      </c>
      <c r="T379" s="3">
        <v>7424.96</v>
      </c>
      <c r="U379" s="3">
        <v>3448.41</v>
      </c>
      <c r="V379" s="6">
        <f>VLOOKUP(A379,[2]韩国KOSPI指数历史数据!$A:$B,2,)</f>
        <v>2164.58</v>
      </c>
      <c r="W379" s="6">
        <f>VLOOKUP(A379,[3]日经225指数历史数据!$A:$B,2,)</f>
        <v>19521.59</v>
      </c>
      <c r="X379" s="3">
        <v>1426.86</v>
      </c>
      <c r="Y379" s="6">
        <f>VLOOKUP(A379,[4]上证指数历史数据!$A:$B,2,)</f>
        <v>3237.45</v>
      </c>
      <c r="Z379" s="6">
        <f>VLOOKUP(A379,[5]深证成份指数历史数据!$A:$B,2,)</f>
        <v>10515.41</v>
      </c>
      <c r="AA379" s="6">
        <f>VLOOKUP(A379,[6]台湾加权指数历史数据!$A:$B,2,)</f>
        <v>9908.69</v>
      </c>
      <c r="AB379" s="3">
        <v>24309.93</v>
      </c>
      <c r="AC379" s="3">
        <v>3169.38</v>
      </c>
      <c r="AD379">
        <v>9160.0499999999993</v>
      </c>
      <c r="AE379" s="5">
        <f>VLOOKUP(A379,[7]越南VN30指数历史数据!$A:$B,2,)</f>
        <v>668.35</v>
      </c>
      <c r="AF379">
        <v>45309.36</v>
      </c>
      <c r="AG379" s="9">
        <v>16144.79</v>
      </c>
      <c r="AH379">
        <v>11929.65</v>
      </c>
      <c r="AI379">
        <v>1141.29</v>
      </c>
      <c r="AJ379">
        <v>2266.56</v>
      </c>
    </row>
    <row r="380" spans="1:36" x14ac:dyDescent="0.3">
      <c r="A380" s="2">
        <v>42813</v>
      </c>
      <c r="B380" s="3">
        <v>19705.099999999999</v>
      </c>
      <c r="C380" s="4">
        <v>63854</v>
      </c>
      <c r="D380" s="3">
        <v>5753.5</v>
      </c>
      <c r="E380" s="3">
        <v>20596.72</v>
      </c>
      <c r="F380" s="3">
        <v>15442.67</v>
      </c>
      <c r="G380" s="3">
        <v>1354.64</v>
      </c>
      <c r="H380" s="3">
        <v>2343.98</v>
      </c>
      <c r="I380" s="3">
        <v>5828.74</v>
      </c>
      <c r="J380" s="3">
        <v>49083.85</v>
      </c>
      <c r="K380" s="1">
        <v>23844.49</v>
      </c>
      <c r="L380" s="3">
        <v>2234.8200000000002</v>
      </c>
      <c r="M380" s="3">
        <v>12064.27</v>
      </c>
      <c r="N380" s="6">
        <f>VLOOKUP(A380,'[1]俄罗斯交易系统市值加权指数历史数据 (1)'!$A:$B,2,)</f>
        <v>1124.6600000000001</v>
      </c>
      <c r="O380" s="3">
        <v>5020.8999999999996</v>
      </c>
      <c r="P380" s="1">
        <v>511.53</v>
      </c>
      <c r="Q380" s="3">
        <v>8613.64</v>
      </c>
      <c r="R380" s="1">
        <v>903.83</v>
      </c>
      <c r="S380" s="3">
        <v>10309.4</v>
      </c>
      <c r="T380" s="3">
        <v>7336.82</v>
      </c>
      <c r="U380" s="3">
        <v>3444.15</v>
      </c>
      <c r="V380" s="6">
        <f>VLOOKUP(A380,[2]韩国KOSPI指数历史数据!$A:$B,2,)</f>
        <v>2168.9499999999998</v>
      </c>
      <c r="W380" s="6">
        <f>VLOOKUP(A380,[3]日经225指数历史数据!$A:$B,2,)</f>
        <v>19262.53</v>
      </c>
      <c r="X380" s="3">
        <v>1415.99</v>
      </c>
      <c r="Y380" s="6">
        <f>VLOOKUP(A380,[4]上证指数历史数据!$A:$B,2,)</f>
        <v>3269.45</v>
      </c>
      <c r="Z380" s="6">
        <f>VLOOKUP(A380,[5]深证成份指数历史数据!$A:$B,2,)</f>
        <v>10646.72</v>
      </c>
      <c r="AA380" s="6">
        <f>VLOOKUP(A380,[6]台湾加权指数历史数据!$A:$B,2,)</f>
        <v>9902.98</v>
      </c>
      <c r="AB380" s="3">
        <v>24358.27</v>
      </c>
      <c r="AC380" s="3">
        <v>3142.9</v>
      </c>
      <c r="AD380">
        <v>9108</v>
      </c>
      <c r="AE380" s="5">
        <f>VLOOKUP(A380,[7]越南VN30指数历史数据!$A:$B,2,)</f>
        <v>691.76</v>
      </c>
      <c r="AF380">
        <v>44662.6</v>
      </c>
      <c r="AG380" s="9">
        <v>16330.01</v>
      </c>
      <c r="AH380">
        <v>11502.71</v>
      </c>
      <c r="AI380">
        <v>1133.25</v>
      </c>
      <c r="AJ380">
        <v>2279.84</v>
      </c>
    </row>
    <row r="381" spans="1:36" x14ac:dyDescent="0.3">
      <c r="A381" s="2">
        <v>42820</v>
      </c>
      <c r="B381" s="3">
        <v>20265.32</v>
      </c>
      <c r="C381" s="4">
        <v>64984</v>
      </c>
      <c r="D381" s="3">
        <v>5864.9</v>
      </c>
      <c r="E381" s="3">
        <v>20663.22</v>
      </c>
      <c r="F381" s="3">
        <v>15547.75</v>
      </c>
      <c r="G381" s="3">
        <v>1385.92</v>
      </c>
      <c r="H381" s="3">
        <v>2362.7199999999998</v>
      </c>
      <c r="I381" s="3">
        <v>5911.74</v>
      </c>
      <c r="J381" s="3">
        <v>48541.56</v>
      </c>
      <c r="K381" s="1">
        <v>23967.87</v>
      </c>
      <c r="L381" s="3">
        <v>2175.96</v>
      </c>
      <c r="M381" s="3">
        <v>12312.87</v>
      </c>
      <c r="N381" s="6">
        <f>VLOOKUP(A381,'[1]俄罗斯交易系统市值加权指数历史数据 (1)'!$A:$B,2,)</f>
        <v>1113.76</v>
      </c>
      <c r="O381" s="3">
        <v>5122.51</v>
      </c>
      <c r="P381" s="1">
        <v>516.54</v>
      </c>
      <c r="Q381" s="3">
        <v>8658.89</v>
      </c>
      <c r="R381" s="1">
        <v>889.47</v>
      </c>
      <c r="S381" s="3">
        <v>10462.9</v>
      </c>
      <c r="T381" s="3">
        <v>7322.92</v>
      </c>
      <c r="U381" s="3">
        <v>3500.93</v>
      </c>
      <c r="V381" s="6">
        <f>VLOOKUP(A381,[2]韩国KOSPI指数历史数据!$A:$B,2,)</f>
        <v>2160.23</v>
      </c>
      <c r="W381" s="6">
        <f>VLOOKUP(A381,[3]日经225指数历史数据!$A:$B,2,)</f>
        <v>18909.259999999998</v>
      </c>
      <c r="X381" s="3">
        <v>1397.38</v>
      </c>
      <c r="Y381" s="6">
        <f>VLOOKUP(A381,[4]上证指数历史数据!$A:$B,2,)</f>
        <v>3222.51</v>
      </c>
      <c r="Z381" s="6">
        <f>VLOOKUP(A381,[5]深证成份指数历史数据!$A:$B,2,)</f>
        <v>10428.719999999999</v>
      </c>
      <c r="AA381" s="6">
        <f>VLOOKUP(A381,[6]台湾加权指数历史数据!$A:$B,2,)</f>
        <v>9811.52</v>
      </c>
      <c r="AB381" s="3">
        <v>24111.59</v>
      </c>
      <c r="AC381" s="3">
        <v>3175.11</v>
      </c>
      <c r="AD381">
        <v>9173.75</v>
      </c>
      <c r="AE381" s="5">
        <f>VLOOKUP(A381,[7]越南VN30指数历史数据!$A:$B,2,)</f>
        <v>693.22</v>
      </c>
      <c r="AF381">
        <v>45167.15</v>
      </c>
      <c r="AG381" s="9">
        <v>16379.45</v>
      </c>
      <c r="AH381">
        <v>11379.71</v>
      </c>
      <c r="AI381">
        <v>1136.3</v>
      </c>
      <c r="AJ381">
        <v>2315.06</v>
      </c>
    </row>
    <row r="382" spans="1:36" x14ac:dyDescent="0.3">
      <c r="A382" s="2">
        <v>42827</v>
      </c>
      <c r="B382" s="3">
        <v>20727.560000000001</v>
      </c>
      <c r="C382" s="4">
        <v>64593</v>
      </c>
      <c r="D382" s="3">
        <v>5862.5</v>
      </c>
      <c r="E382" s="3">
        <v>20656.099999999999</v>
      </c>
      <c r="F382" s="3">
        <v>15667.13</v>
      </c>
      <c r="G382" s="3">
        <v>1364.56</v>
      </c>
      <c r="H382" s="3">
        <v>2355.54</v>
      </c>
      <c r="I382" s="3">
        <v>5877.81</v>
      </c>
      <c r="J382" s="3">
        <v>49343.64</v>
      </c>
      <c r="K382" s="1">
        <v>24473.07</v>
      </c>
      <c r="L382" s="3">
        <v>2248.33</v>
      </c>
      <c r="M382" s="3">
        <v>12225.06</v>
      </c>
      <c r="N382" s="6">
        <f>VLOOKUP(A382,'[1]俄罗斯交易系统市值加权指数历史数据 (1)'!$A:$B,2,)</f>
        <v>1113.45</v>
      </c>
      <c r="O382" s="3">
        <v>5135.28</v>
      </c>
      <c r="P382" s="1">
        <v>518.70000000000005</v>
      </c>
      <c r="Q382" s="3">
        <v>8640.91</v>
      </c>
      <c r="R382" s="1">
        <v>884.97</v>
      </c>
      <c r="S382" s="3">
        <v>10529</v>
      </c>
      <c r="T382" s="3">
        <v>7349.37</v>
      </c>
      <c r="U382" s="3">
        <v>3495.8</v>
      </c>
      <c r="V382" s="6">
        <f>VLOOKUP(A382,[2]韩国KOSPI指数历史数据!$A:$B,2,)</f>
        <v>2151.73</v>
      </c>
      <c r="W382" s="6">
        <f>VLOOKUP(A382,[3]日经225指数历史数据!$A:$B,2,)</f>
        <v>18664.63</v>
      </c>
      <c r="X382" s="3">
        <v>1400.3</v>
      </c>
      <c r="Y382" s="6">
        <f>VLOOKUP(A382,[4]上证指数历史数据!$A:$B,2,)</f>
        <v>3286.62</v>
      </c>
      <c r="Z382" s="6">
        <f>VLOOKUP(A382,[5]深证成份指数历史数据!$A:$B,2,)</f>
        <v>10669.48</v>
      </c>
      <c r="AA382" s="6">
        <f>VLOOKUP(A382,[6]台湾加权指数历史数据!$A:$B,2,)</f>
        <v>9873.3700000000008</v>
      </c>
      <c r="AB382" s="3">
        <v>24267.3</v>
      </c>
      <c r="AC382" s="3">
        <v>3177.27</v>
      </c>
      <c r="AD382">
        <v>9198.2999999999993</v>
      </c>
      <c r="AE382" s="5">
        <f>VLOOKUP(A382,[7]越南VN30指数历史数据!$A:$B,2,)</f>
        <v>697.62</v>
      </c>
      <c r="AF382">
        <v>46085.03</v>
      </c>
      <c r="AG382" s="9">
        <v>16370.73</v>
      </c>
      <c r="AH382">
        <v>11319.54</v>
      </c>
      <c r="AI382">
        <v>1148.9000000000001</v>
      </c>
      <c r="AJ382">
        <v>2297.23</v>
      </c>
    </row>
    <row r="383" spans="1:36" x14ac:dyDescent="0.3">
      <c r="A383" s="2">
        <v>42834</v>
      </c>
      <c r="B383" s="3">
        <v>20812.169999999998</v>
      </c>
      <c r="C383" s="4">
        <v>62826</v>
      </c>
      <c r="D383" s="3">
        <v>5890</v>
      </c>
      <c r="E383" s="3">
        <v>20453.25</v>
      </c>
      <c r="F383" s="3">
        <v>15535.48</v>
      </c>
      <c r="G383" s="3">
        <v>1345.24</v>
      </c>
      <c r="H383" s="3">
        <v>2328.9499999999998</v>
      </c>
      <c r="I383" s="3">
        <v>5805.15</v>
      </c>
      <c r="J383" s="3">
        <v>48955.82</v>
      </c>
      <c r="K383" s="1">
        <v>24360.46</v>
      </c>
      <c r="L383" s="3">
        <v>2233.63</v>
      </c>
      <c r="M383" s="3">
        <v>12109</v>
      </c>
      <c r="N383" s="6">
        <f>VLOOKUP(A383,'[1]俄罗斯交易系统市值加权指数历史数据 (1)'!$A:$B,2,)</f>
        <v>1073.1500000000001</v>
      </c>
      <c r="O383" s="3">
        <v>5071.1000000000004</v>
      </c>
      <c r="P383" s="1">
        <v>515.77</v>
      </c>
      <c r="Q383" s="3">
        <v>8629.02</v>
      </c>
      <c r="R383" s="1">
        <v>900.64</v>
      </c>
      <c r="S383" s="3">
        <v>10326.1</v>
      </c>
      <c r="T383" s="3">
        <v>7327.59</v>
      </c>
      <c r="U383" s="3">
        <v>3448.26</v>
      </c>
      <c r="V383" s="6">
        <f>VLOOKUP(A383,[2]韩国KOSPI指数历史数据!$A:$B,2,)</f>
        <v>2134.88</v>
      </c>
      <c r="W383" s="6">
        <f>VLOOKUP(A383,[3]日经225指数历史数据!$A:$B,2,)</f>
        <v>18335.63</v>
      </c>
      <c r="X383" s="3">
        <v>1378.66</v>
      </c>
      <c r="Y383" s="6">
        <f>VLOOKUP(A383,[4]上证指数历史数据!$A:$B,2,)</f>
        <v>3246.07</v>
      </c>
      <c r="Z383" s="6">
        <f>VLOOKUP(A383,[5]深证成份指数历史数据!$A:$B,2,)</f>
        <v>10519.86</v>
      </c>
      <c r="AA383" s="6">
        <f>VLOOKUP(A383,[6]台湾加权指数历史数据!$A:$B,2,)</f>
        <v>9732.93</v>
      </c>
      <c r="AB383" s="3">
        <v>24261.66</v>
      </c>
      <c r="AC383" s="3">
        <v>3169.24</v>
      </c>
      <c r="AD383">
        <v>9150.7999999999993</v>
      </c>
      <c r="AE383" s="5">
        <f>VLOOKUP(A383,[7]越南VN30指数历史数据!$A:$B,2,)</f>
        <v>678.45</v>
      </c>
      <c r="AF383">
        <v>46644.49</v>
      </c>
      <c r="AG383" s="9">
        <v>16226.27</v>
      </c>
      <c r="AH383">
        <v>11222.64</v>
      </c>
      <c r="AI383">
        <v>1137.19</v>
      </c>
      <c r="AJ383">
        <v>2336.04</v>
      </c>
    </row>
    <row r="384" spans="1:36" x14ac:dyDescent="0.3">
      <c r="A384" s="2">
        <v>42841</v>
      </c>
      <c r="B384" s="3">
        <v>20768.98</v>
      </c>
      <c r="C384" s="4">
        <v>63761</v>
      </c>
      <c r="D384" s="3">
        <v>5854.1</v>
      </c>
      <c r="E384" s="3">
        <v>20547.759999999998</v>
      </c>
      <c r="F384" s="3">
        <v>15614.48</v>
      </c>
      <c r="G384" s="3">
        <v>1379.85</v>
      </c>
      <c r="H384" s="3">
        <v>2348.69</v>
      </c>
      <c r="I384" s="3">
        <v>5910.52</v>
      </c>
      <c r="J384" s="3">
        <v>48967.83</v>
      </c>
      <c r="K384" s="1">
        <v>24160.77</v>
      </c>
      <c r="L384" s="3">
        <v>2264.0700000000002</v>
      </c>
      <c r="M384" s="3">
        <v>12048.57</v>
      </c>
      <c r="N384" s="6">
        <f>VLOOKUP(A384,'[1]俄罗斯交易系统市值加权指数历史数据 (1)'!$A:$B,2,)</f>
        <v>1084.17</v>
      </c>
      <c r="O384" s="3">
        <v>5059.2</v>
      </c>
      <c r="P384" s="1">
        <v>512.19000000000005</v>
      </c>
      <c r="Q384" s="3">
        <v>8553.99</v>
      </c>
      <c r="R384" s="1">
        <v>924.24</v>
      </c>
      <c r="S384" s="3">
        <v>10377</v>
      </c>
      <c r="T384" s="3">
        <v>7114.55</v>
      </c>
      <c r="U384" s="3">
        <v>3440.27</v>
      </c>
      <c r="V384" s="6">
        <f>VLOOKUP(A384,[2]韩国KOSPI指数历史数据!$A:$B,2,)</f>
        <v>2165.04</v>
      </c>
      <c r="W384" s="6">
        <f>VLOOKUP(A384,[3]日经225指数历史数据!$A:$B,2,)</f>
        <v>18620.75</v>
      </c>
      <c r="X384" s="3">
        <v>1393.14</v>
      </c>
      <c r="Y384" s="6">
        <f>VLOOKUP(A384,[4]上证指数历史数据!$A:$B,2,)</f>
        <v>3173.15</v>
      </c>
      <c r="Z384" s="6">
        <f>VLOOKUP(A384,[5]深证成份指数历史数据!$A:$B,2,)</f>
        <v>10314.35</v>
      </c>
      <c r="AA384" s="6">
        <f>VLOOKUP(A384,[6]台湾加权指数历史数据!$A:$B,2,)</f>
        <v>9717.41</v>
      </c>
      <c r="AB384" s="3">
        <v>24042.02</v>
      </c>
      <c r="AC384" s="3">
        <v>3139.83</v>
      </c>
      <c r="AD384">
        <v>9119.4</v>
      </c>
      <c r="AE384" s="5">
        <f>VLOOKUP(A384,[7]越南VN30指数历史数据!$A:$B,2,)</f>
        <v>672.6</v>
      </c>
      <c r="AF384">
        <v>45500.98</v>
      </c>
      <c r="AG384" s="9">
        <v>16135.37</v>
      </c>
      <c r="AH384">
        <v>11330.12</v>
      </c>
      <c r="AI384">
        <v>1128.1300000000001</v>
      </c>
      <c r="AJ384">
        <v>2358.8000000000002</v>
      </c>
    </row>
    <row r="385" spans="1:36" x14ac:dyDescent="0.3">
      <c r="A385" s="2">
        <v>42848</v>
      </c>
      <c r="B385" s="3">
        <v>21019.91</v>
      </c>
      <c r="C385" s="4">
        <v>65403</v>
      </c>
      <c r="D385" s="3">
        <v>5924.1</v>
      </c>
      <c r="E385" s="3">
        <v>20940.509999999998</v>
      </c>
      <c r="F385" s="3">
        <v>15586.13</v>
      </c>
      <c r="G385" s="3">
        <v>1400.43</v>
      </c>
      <c r="H385" s="3">
        <v>2384.1999999999998</v>
      </c>
      <c r="I385" s="3">
        <v>6047.61</v>
      </c>
      <c r="J385" s="3">
        <v>49261.33</v>
      </c>
      <c r="K385" s="1">
        <v>24088.63</v>
      </c>
      <c r="L385" s="3">
        <v>2376.87</v>
      </c>
      <c r="M385" s="3">
        <v>12438.01</v>
      </c>
      <c r="N385" s="6">
        <f>VLOOKUP(A385,'[1]俄罗斯交易系统市值加权指数历史数据 (1)'!$A:$B,2,)</f>
        <v>1114.43</v>
      </c>
      <c r="O385" s="3">
        <v>5267.33</v>
      </c>
      <c r="P385" s="1">
        <v>521.13</v>
      </c>
      <c r="Q385" s="3">
        <v>8812.67</v>
      </c>
      <c r="R385" s="1">
        <v>946.55</v>
      </c>
      <c r="S385" s="3">
        <v>10715.8</v>
      </c>
      <c r="T385" s="3">
        <v>7203.94</v>
      </c>
      <c r="U385" s="3">
        <v>3559.59</v>
      </c>
      <c r="V385" s="6">
        <f>VLOOKUP(A385,[2]韩国KOSPI指数历史数据!$A:$B,2,)</f>
        <v>2205.44</v>
      </c>
      <c r="W385" s="6">
        <f>VLOOKUP(A385,[3]日经225指数历史数据!$A:$B,2,)</f>
        <v>19196.740000000002</v>
      </c>
      <c r="X385" s="3">
        <v>1405.45</v>
      </c>
      <c r="Y385" s="6">
        <f>VLOOKUP(A385,[4]上证指数历史数据!$A:$B,2,)</f>
        <v>3154.66</v>
      </c>
      <c r="Z385" s="6">
        <f>VLOOKUP(A385,[5]深证成份指数历史数据!$A:$B,2,)</f>
        <v>10234.65</v>
      </c>
      <c r="AA385" s="6">
        <f>VLOOKUP(A385,[6]台湾加权指数历史数据!$A:$B,2,)</f>
        <v>9872</v>
      </c>
      <c r="AB385" s="3">
        <v>24615.13</v>
      </c>
      <c r="AC385" s="3">
        <v>3175.44</v>
      </c>
      <c r="AD385">
        <v>9304.0499999999993</v>
      </c>
      <c r="AE385" s="5">
        <f>VLOOKUP(A385,[7]越南VN30指数历史数据!$A:$B,2,)</f>
        <v>680.49</v>
      </c>
      <c r="AF385">
        <v>47071.73</v>
      </c>
      <c r="AG385" s="9">
        <v>15705.8</v>
      </c>
      <c r="AH385">
        <v>11637.93</v>
      </c>
      <c r="AI385">
        <v>1159.48</v>
      </c>
      <c r="AJ385">
        <v>2221.2600000000002</v>
      </c>
    </row>
    <row r="386" spans="1:36" x14ac:dyDescent="0.3">
      <c r="A386" s="2">
        <v>42855</v>
      </c>
      <c r="B386" s="3">
        <v>21169.68</v>
      </c>
      <c r="C386" s="4">
        <v>65710</v>
      </c>
      <c r="D386" s="3">
        <v>5836.6</v>
      </c>
      <c r="E386" s="3">
        <v>21006.94</v>
      </c>
      <c r="F386" s="3">
        <v>15582.04</v>
      </c>
      <c r="G386" s="3">
        <v>1396.99</v>
      </c>
      <c r="H386" s="3">
        <v>2399.29</v>
      </c>
      <c r="I386" s="3">
        <v>6100.76</v>
      </c>
      <c r="J386" s="3">
        <v>49485.67</v>
      </c>
      <c r="K386" s="1">
        <v>24297.93</v>
      </c>
      <c r="L386" s="3">
        <v>2382.17</v>
      </c>
      <c r="M386" s="3">
        <v>12716.89</v>
      </c>
      <c r="N386" s="6">
        <f>VLOOKUP(A386,'[1]俄罗斯交易系统市值加权指数历史数据 (1)'!$A:$B,2,)</f>
        <v>1085.68</v>
      </c>
      <c r="O386" s="3">
        <v>5432.4</v>
      </c>
      <c r="P386" s="1">
        <v>533.27</v>
      </c>
      <c r="Q386" s="3">
        <v>9016.66</v>
      </c>
      <c r="R386" s="1">
        <v>939.28</v>
      </c>
      <c r="S386" s="3">
        <v>11135.4</v>
      </c>
      <c r="T386" s="3">
        <v>7297.43</v>
      </c>
      <c r="U386" s="3">
        <v>3658.79</v>
      </c>
      <c r="V386" s="6">
        <f>VLOOKUP(A386,[2]韩国KOSPI指数历史数据!$A:$B,2,)</f>
        <v>2241.2399999999998</v>
      </c>
      <c r="W386" s="6">
        <f>VLOOKUP(A386,[3]日经225指数历史数据!$A:$B,2,)</f>
        <v>19445.7</v>
      </c>
      <c r="X386" s="3">
        <v>1409.95</v>
      </c>
      <c r="Y386" s="6">
        <f>VLOOKUP(A386,[4]上证指数历史数据!$A:$B,2,)</f>
        <v>3103.04</v>
      </c>
      <c r="Z386" s="6">
        <f>VLOOKUP(A386,[5]深证成份指数历史数据!$A:$B,2,)</f>
        <v>10024.44</v>
      </c>
      <c r="AA386" s="6">
        <f>VLOOKUP(A386,[6]台湾加权指数历史数据!$A:$B,2,)</f>
        <v>9899.94</v>
      </c>
      <c r="AB386" s="3">
        <v>24476.35</v>
      </c>
      <c r="AC386" s="3">
        <v>3229.73</v>
      </c>
      <c r="AD386">
        <v>9285.2999999999993</v>
      </c>
      <c r="AE386" s="5">
        <f>VLOOKUP(A386,[7]越南VN30指数历史数据!$A:$B,2,)</f>
        <v>684.17</v>
      </c>
      <c r="AF386">
        <v>47009.79</v>
      </c>
      <c r="AG386" s="9">
        <v>15900.8</v>
      </c>
      <c r="AH386">
        <v>11743.86</v>
      </c>
      <c r="AI386">
        <v>1186.95</v>
      </c>
      <c r="AJ386">
        <v>2327.65</v>
      </c>
    </row>
    <row r="387" spans="1:36" x14ac:dyDescent="0.3">
      <c r="A387" s="2">
        <v>42862</v>
      </c>
      <c r="B387" s="3">
        <v>21502.41</v>
      </c>
      <c r="C387" s="4">
        <v>68222</v>
      </c>
      <c r="D387" s="3">
        <v>5836.9</v>
      </c>
      <c r="E387" s="3">
        <v>20896.61</v>
      </c>
      <c r="F387" s="3">
        <v>15537.88</v>
      </c>
      <c r="G387" s="3">
        <v>1382.77</v>
      </c>
      <c r="H387" s="3">
        <v>2390.9</v>
      </c>
      <c r="I387" s="3">
        <v>6121.23</v>
      </c>
      <c r="J387" s="3">
        <v>49426.080000000002</v>
      </c>
      <c r="K387" s="1">
        <v>24331.46</v>
      </c>
      <c r="L387" s="3">
        <v>2368.5</v>
      </c>
      <c r="M387" s="3">
        <v>12770.41</v>
      </c>
      <c r="N387" s="6">
        <f>VLOOKUP(A387,'[1]俄罗斯交易系统市值加权指数历史数据 (1)'!$A:$B,2,)</f>
        <v>1099.75</v>
      </c>
      <c r="O387" s="3">
        <v>5405.42</v>
      </c>
      <c r="P387" s="1">
        <v>534.71</v>
      </c>
      <c r="Q387" s="3">
        <v>9123.41</v>
      </c>
      <c r="R387" s="1">
        <v>949.96</v>
      </c>
      <c r="S387" s="3">
        <v>10897</v>
      </c>
      <c r="T387" s="3">
        <v>7435.39</v>
      </c>
      <c r="U387" s="3">
        <v>3637.52</v>
      </c>
      <c r="V387" s="6">
        <f>VLOOKUP(A387,[2]韩国KOSPI指数历史数据!$A:$B,2,)</f>
        <v>2286.02</v>
      </c>
      <c r="W387" s="6">
        <f>VLOOKUP(A387,[3]日经225指数历史数据!$A:$B,2,)</f>
        <v>19883.900000000001</v>
      </c>
      <c r="X387" s="3">
        <v>1422.53</v>
      </c>
      <c r="Y387" s="6">
        <f>VLOOKUP(A387,[4]上证指数历史数据!$A:$B,2,)</f>
        <v>3083.51</v>
      </c>
      <c r="Z387" s="6">
        <f>VLOOKUP(A387,[5]深证成份指数历史数据!$A:$B,2,)</f>
        <v>9787.99</v>
      </c>
      <c r="AA387" s="6">
        <f>VLOOKUP(A387,[6]台湾加权指数历史数据!$A:$B,2,)</f>
        <v>9986.82</v>
      </c>
      <c r="AB387" s="3">
        <v>25156.34</v>
      </c>
      <c r="AC387" s="3">
        <v>3255.29</v>
      </c>
      <c r="AD387">
        <v>9400.9</v>
      </c>
      <c r="AE387" s="5">
        <f>VLOOKUP(A387,[7]越南VN30指数历史数据!$A:$B,2,)</f>
        <v>690.84</v>
      </c>
      <c r="AF387">
        <v>47430.43</v>
      </c>
      <c r="AG387" s="9">
        <v>16126.66</v>
      </c>
      <c r="AH387">
        <v>11747.86</v>
      </c>
      <c r="AI387">
        <v>1290.33</v>
      </c>
      <c r="AJ387">
        <v>2331.9499999999998</v>
      </c>
    </row>
    <row r="388" spans="1:36" x14ac:dyDescent="0.3">
      <c r="A388" s="2">
        <v>42869</v>
      </c>
      <c r="B388" s="3">
        <v>21614.87</v>
      </c>
      <c r="C388" s="4">
        <v>62639</v>
      </c>
      <c r="D388" s="3">
        <v>5727.4</v>
      </c>
      <c r="E388" s="3">
        <v>20804.84</v>
      </c>
      <c r="F388" s="3">
        <v>15458.46</v>
      </c>
      <c r="G388" s="3">
        <v>1367.33</v>
      </c>
      <c r="H388" s="3">
        <v>2381.73</v>
      </c>
      <c r="I388" s="3">
        <v>6083.7</v>
      </c>
      <c r="J388" s="3">
        <v>49067.47</v>
      </c>
      <c r="K388" s="1">
        <v>24084.75</v>
      </c>
      <c r="L388" s="3">
        <v>2328.6999999999998</v>
      </c>
      <c r="M388" s="3">
        <v>12638.69</v>
      </c>
      <c r="N388" s="6">
        <f>VLOOKUP(A388,'[1]俄罗斯交易系统市值加权指数历史数据 (1)'!$A:$B,2,)</f>
        <v>1087.75</v>
      </c>
      <c r="O388" s="3">
        <v>5324.4</v>
      </c>
      <c r="P388" s="1">
        <v>526.91999999999996</v>
      </c>
      <c r="Q388" s="3">
        <v>9022.51</v>
      </c>
      <c r="R388" s="1">
        <v>951.47</v>
      </c>
      <c r="S388" s="3">
        <v>10835.4</v>
      </c>
      <c r="T388" s="3">
        <v>7470.71</v>
      </c>
      <c r="U388" s="3">
        <v>3587.01</v>
      </c>
      <c r="V388" s="6">
        <f>VLOOKUP(A388,[2]韩国KOSPI指数历史数据!$A:$B,2,)</f>
        <v>2288.48</v>
      </c>
      <c r="W388" s="6">
        <f>VLOOKUP(A388,[3]日经225指数历史数据!$A:$B,2,)</f>
        <v>19590.759999999998</v>
      </c>
      <c r="X388" s="3">
        <v>1412.19</v>
      </c>
      <c r="Y388" s="6">
        <f>VLOOKUP(A388,[4]上证指数历史数据!$A:$B,2,)</f>
        <v>3090.63</v>
      </c>
      <c r="Z388" s="6">
        <f>VLOOKUP(A388,[5]深证成份指数历史数据!$A:$B,2,)</f>
        <v>9970.9599999999991</v>
      </c>
      <c r="AA388" s="6">
        <f>VLOOKUP(A388,[6]台湾加权指数历史数据!$A:$B,2,)</f>
        <v>9947.6200000000008</v>
      </c>
      <c r="AB388" s="3">
        <v>25174.87</v>
      </c>
      <c r="AC388" s="3">
        <v>3216.92</v>
      </c>
      <c r="AD388">
        <v>9427.9</v>
      </c>
      <c r="AE388" s="5">
        <f>VLOOKUP(A388,[7]越南VN30指数历史数据!$A:$B,2,)</f>
        <v>702.03</v>
      </c>
      <c r="AF388">
        <v>47962.6</v>
      </c>
      <c r="AG388" s="9">
        <v>16195.24</v>
      </c>
      <c r="AH388">
        <v>11683.62</v>
      </c>
      <c r="AI388">
        <v>1289.8900000000001</v>
      </c>
      <c r="AJ388">
        <v>2287.5500000000002</v>
      </c>
    </row>
    <row r="389" spans="1:36" x14ac:dyDescent="0.3">
      <c r="A389" s="2">
        <v>42876</v>
      </c>
      <c r="B389" s="3">
        <v>22141.71</v>
      </c>
      <c r="C389" s="4">
        <v>64085</v>
      </c>
      <c r="D389" s="3">
        <v>5751.7</v>
      </c>
      <c r="E389" s="3">
        <v>21080.28</v>
      </c>
      <c r="F389" s="3">
        <v>15416.93</v>
      </c>
      <c r="G389" s="3">
        <v>1382.24</v>
      </c>
      <c r="H389" s="3">
        <v>2415.8200000000002</v>
      </c>
      <c r="I389" s="3">
        <v>6210.19</v>
      </c>
      <c r="J389" s="3">
        <v>49674.92</v>
      </c>
      <c r="K389" s="1">
        <v>24515.14</v>
      </c>
      <c r="L389" s="3">
        <v>2326.2800000000002</v>
      </c>
      <c r="M389" s="3">
        <v>12602.18</v>
      </c>
      <c r="N389" s="6">
        <f>VLOOKUP(A389,'[1]俄罗斯交易系统市值加权指数历史数据 (1)'!$A:$B,2,)</f>
        <v>1073.04</v>
      </c>
      <c r="O389" s="3">
        <v>5336.64</v>
      </c>
      <c r="P389" s="1">
        <v>528.03</v>
      </c>
      <c r="Q389" s="3">
        <v>9042.0300000000007</v>
      </c>
      <c r="R389" s="1">
        <v>975.33</v>
      </c>
      <c r="S389" s="3">
        <v>10904.2</v>
      </c>
      <c r="T389" s="3">
        <v>7547.63</v>
      </c>
      <c r="U389" s="3">
        <v>3579.02</v>
      </c>
      <c r="V389" s="6">
        <f>VLOOKUP(A389,[2]韩国KOSPI指数历史数据!$A:$B,2,)</f>
        <v>2355.3000000000002</v>
      </c>
      <c r="W389" s="6">
        <f>VLOOKUP(A389,[3]日经225指数历史数据!$A:$B,2,)</f>
        <v>19686.84</v>
      </c>
      <c r="X389" s="3">
        <v>1423.35</v>
      </c>
      <c r="Y389" s="6">
        <f>VLOOKUP(A389,[4]上证指数历史数据!$A:$B,2,)</f>
        <v>3110.06</v>
      </c>
      <c r="Z389" s="6">
        <f>VLOOKUP(A389,[5]深证成份指数历史数据!$A:$B,2,)</f>
        <v>9859.23</v>
      </c>
      <c r="AA389" s="6">
        <f>VLOOKUP(A389,[6]台湾加权指数历史数据!$A:$B,2,)</f>
        <v>10101.950000000001</v>
      </c>
      <c r="AB389" s="3">
        <v>25639.27</v>
      </c>
      <c r="AC389" s="3">
        <v>3219.42</v>
      </c>
      <c r="AD389">
        <v>9595.1</v>
      </c>
      <c r="AE389" s="5">
        <f>VLOOKUP(A389,[7]越南VN30指数历史数据!$A:$B,2,)</f>
        <v>718.87</v>
      </c>
      <c r="AF389">
        <v>47535.43</v>
      </c>
      <c r="AG389" s="9">
        <v>16273.62</v>
      </c>
      <c r="AH389">
        <v>11592.31</v>
      </c>
      <c r="AI389">
        <v>1337.6</v>
      </c>
      <c r="AJ389">
        <v>2116.6</v>
      </c>
    </row>
    <row r="390" spans="1:36" x14ac:dyDescent="0.3">
      <c r="A390" s="2">
        <v>42883</v>
      </c>
      <c r="B390" s="3">
        <v>22518.99</v>
      </c>
      <c r="C390" s="4">
        <v>62511</v>
      </c>
      <c r="D390" s="3">
        <v>5788.1</v>
      </c>
      <c r="E390" s="3">
        <v>21206.29</v>
      </c>
      <c r="F390" s="3">
        <v>15442.75</v>
      </c>
      <c r="G390" s="3">
        <v>1405.39</v>
      </c>
      <c r="H390" s="3">
        <v>2439.0700000000002</v>
      </c>
      <c r="I390" s="3">
        <v>6305.8</v>
      </c>
      <c r="J390" s="3">
        <v>49317.38</v>
      </c>
      <c r="K390" s="1">
        <v>24558.02</v>
      </c>
      <c r="L390" s="3">
        <v>2303.21</v>
      </c>
      <c r="M390" s="3">
        <v>12822.94</v>
      </c>
      <c r="N390" s="6">
        <f>VLOOKUP(A390,'[1]俄罗斯交易系统市值加权指数历史数据 (1)'!$A:$B,2,)</f>
        <v>1046.02</v>
      </c>
      <c r="O390" s="3">
        <v>5343.41</v>
      </c>
      <c r="P390" s="1">
        <v>526.74</v>
      </c>
      <c r="Q390" s="3">
        <v>9043.9599999999991</v>
      </c>
      <c r="R390" s="1">
        <v>988.68</v>
      </c>
      <c r="S390" s="3">
        <v>10905.9</v>
      </c>
      <c r="T390" s="3">
        <v>7547.63</v>
      </c>
      <c r="U390" s="3">
        <v>3591.82</v>
      </c>
      <c r="V390" s="6">
        <f>VLOOKUP(A390,[2]韩国KOSPI指数历史数据!$A:$B,2,)</f>
        <v>2371.7199999999998</v>
      </c>
      <c r="W390" s="6">
        <f>VLOOKUP(A390,[3]日经225指数历史数据!$A:$B,2,)</f>
        <v>20177.28</v>
      </c>
      <c r="X390" s="3">
        <v>1421.14</v>
      </c>
      <c r="Y390" s="6">
        <f>VLOOKUP(A390,[4]上证指数历史数据!$A:$B,2,)</f>
        <v>3105.54</v>
      </c>
      <c r="Z390" s="6">
        <f>VLOOKUP(A390,[5]深证成份指数历史数据!$A:$B,2,)</f>
        <v>9794.89</v>
      </c>
      <c r="AA390" s="6">
        <f>VLOOKUP(A390,[6]台湾加权指数历史数据!$A:$B,2,)</f>
        <v>10158.15</v>
      </c>
      <c r="AB390" s="3">
        <v>25924.05</v>
      </c>
      <c r="AC390" s="3">
        <v>3240.01</v>
      </c>
      <c r="AD390">
        <v>9653.5</v>
      </c>
      <c r="AE390" s="5">
        <f>VLOOKUP(A390,[7]越南VN30指数历史数据!$A:$B,2,)</f>
        <v>718.33</v>
      </c>
      <c r="AF390">
        <v>46522.53</v>
      </c>
      <c r="AG390" s="9">
        <v>16559.52</v>
      </c>
      <c r="AH390">
        <v>11615.28</v>
      </c>
      <c r="AI390">
        <v>1426.36</v>
      </c>
      <c r="AJ390">
        <v>2149.61</v>
      </c>
    </row>
    <row r="391" spans="1:36" x14ac:dyDescent="0.3">
      <c r="A391" s="2">
        <v>42890</v>
      </c>
      <c r="B391" s="3">
        <v>21614.25</v>
      </c>
      <c r="C391" s="4">
        <v>62211</v>
      </c>
      <c r="D391" s="3">
        <v>5677.8</v>
      </c>
      <c r="E391" s="3">
        <v>21271.97</v>
      </c>
      <c r="F391" s="3">
        <v>15473.21</v>
      </c>
      <c r="G391" s="3">
        <v>1421.71</v>
      </c>
      <c r="H391" s="3">
        <v>2431.77</v>
      </c>
      <c r="I391" s="3">
        <v>6207.92</v>
      </c>
      <c r="J391" s="3">
        <v>49081.73</v>
      </c>
      <c r="K391" s="1">
        <v>24287.06</v>
      </c>
      <c r="L391" s="3">
        <v>2330.7199999999998</v>
      </c>
      <c r="M391" s="3">
        <v>12815.72</v>
      </c>
      <c r="N391" s="6">
        <f>VLOOKUP(A391,'[1]俄罗斯交易系统市值加权指数历史数据 (1)'!$A:$B,2,)</f>
        <v>1041.49</v>
      </c>
      <c r="O391" s="3">
        <v>5299.71</v>
      </c>
      <c r="P391" s="1">
        <v>527.29999999999995</v>
      </c>
      <c r="Q391" s="3">
        <v>8845.85</v>
      </c>
      <c r="R391" s="1">
        <v>989.43</v>
      </c>
      <c r="S391" s="3">
        <v>10978.3</v>
      </c>
      <c r="T391" s="3">
        <v>7527.33</v>
      </c>
      <c r="U391" s="3">
        <v>3586.07</v>
      </c>
      <c r="V391" s="6">
        <f>VLOOKUP(A391,[2]韩国KOSPI指数历史数据!$A:$B,2,)</f>
        <v>2381.69</v>
      </c>
      <c r="W391" s="6">
        <f>VLOOKUP(A391,[3]日经225指数历史数据!$A:$B,2,)</f>
        <v>20013.259999999998</v>
      </c>
      <c r="X391" s="3">
        <v>1425.7</v>
      </c>
      <c r="Y391" s="6">
        <f>VLOOKUP(A391,[4]上证指数历史数据!$A:$B,2,)</f>
        <v>3158.4</v>
      </c>
      <c r="Z391" s="6">
        <f>VLOOKUP(A391,[5]深证成份指数历史数据!$A:$B,2,)</f>
        <v>10177.450000000001</v>
      </c>
      <c r="AA391" s="6">
        <f>VLOOKUP(A391,[6]台湾加权指数历史数据!$A:$B,2,)</f>
        <v>10199.65</v>
      </c>
      <c r="AB391" s="3">
        <v>26030.29</v>
      </c>
      <c r="AC391" s="3">
        <v>3254.19</v>
      </c>
      <c r="AD391">
        <v>9668.25</v>
      </c>
      <c r="AE391" s="5">
        <f>VLOOKUP(A391,[7]越南VN30指数历史数据!$A:$B,2,)</f>
        <v>740.2</v>
      </c>
      <c r="AF391">
        <v>45874.22</v>
      </c>
      <c r="AG391" s="9">
        <v>16873.689999999999</v>
      </c>
      <c r="AH391">
        <v>11693.71</v>
      </c>
      <c r="AI391">
        <v>1512.35</v>
      </c>
      <c r="AJ391">
        <v>2135.36</v>
      </c>
    </row>
    <row r="392" spans="1:36" x14ac:dyDescent="0.3">
      <c r="A392" s="2">
        <v>42897</v>
      </c>
      <c r="B392" s="3">
        <v>21291.38</v>
      </c>
      <c r="C392" s="4">
        <v>61626</v>
      </c>
      <c r="D392" s="3">
        <v>5774</v>
      </c>
      <c r="E392" s="3">
        <v>21384.28</v>
      </c>
      <c r="F392" s="3">
        <v>15192.54</v>
      </c>
      <c r="G392" s="3">
        <v>1406.73</v>
      </c>
      <c r="H392" s="3">
        <v>2433.15</v>
      </c>
      <c r="I392" s="3">
        <v>6151.76</v>
      </c>
      <c r="J392" s="3">
        <v>49221.03</v>
      </c>
      <c r="K392" s="1">
        <v>24211.86</v>
      </c>
      <c r="L392" s="3">
        <v>2304.5</v>
      </c>
      <c r="M392" s="3">
        <v>12752.73</v>
      </c>
      <c r="N392" s="6">
        <f>VLOOKUP(A392,'[1]俄罗斯交易系统市值加权指数历史数据 (1)'!$A:$B,2,)</f>
        <v>994.38</v>
      </c>
      <c r="O392" s="3">
        <v>5263.31</v>
      </c>
      <c r="P392" s="1">
        <v>520.66999999999996</v>
      </c>
      <c r="Q392" s="3">
        <v>8963.2900000000009</v>
      </c>
      <c r="R392" s="1">
        <v>981.93</v>
      </c>
      <c r="S392" s="3">
        <v>10759.4</v>
      </c>
      <c r="T392" s="3">
        <v>7463.54</v>
      </c>
      <c r="U392" s="3">
        <v>3543.88</v>
      </c>
      <c r="V392" s="6">
        <f>VLOOKUP(A392,[2]韩国KOSPI指数历史数据!$A:$B,2,)</f>
        <v>2361.83</v>
      </c>
      <c r="W392" s="6">
        <f>VLOOKUP(A392,[3]日经225指数历史数据!$A:$B,2,)</f>
        <v>19943.259999999998</v>
      </c>
      <c r="X392" s="3">
        <v>1423.62</v>
      </c>
      <c r="Y392" s="6">
        <f>VLOOKUP(A392,[4]上证指数历史数据!$A:$B,2,)</f>
        <v>3123.17</v>
      </c>
      <c r="Z392" s="6">
        <f>VLOOKUP(A392,[5]深证成份指数历史数据!$A:$B,2,)</f>
        <v>10191.24</v>
      </c>
      <c r="AA392" s="6">
        <f>VLOOKUP(A392,[6]台湾加权指数历史数据!$A:$B,2,)</f>
        <v>10156.73</v>
      </c>
      <c r="AB392" s="3">
        <v>25626.49</v>
      </c>
      <c r="AC392" s="3">
        <v>3231.44</v>
      </c>
      <c r="AD392">
        <v>9588.0499999999993</v>
      </c>
      <c r="AE392" s="5">
        <f>VLOOKUP(A392,[7]越南VN30指数历史数据!$A:$B,2,)</f>
        <v>750.07</v>
      </c>
      <c r="AF392">
        <v>44512.15</v>
      </c>
      <c r="AG392" s="9">
        <v>16742.95</v>
      </c>
      <c r="AH392">
        <v>11750.82</v>
      </c>
      <c r="AI392">
        <v>1546.79</v>
      </c>
      <c r="AJ392">
        <v>2127.77</v>
      </c>
    </row>
    <row r="393" spans="1:36" x14ac:dyDescent="0.3">
      <c r="A393" s="2">
        <v>42904</v>
      </c>
      <c r="B393" s="3">
        <v>21066.14</v>
      </c>
      <c r="C393" s="4">
        <v>61087</v>
      </c>
      <c r="D393" s="3">
        <v>5715.9</v>
      </c>
      <c r="E393" s="3">
        <v>21394.76</v>
      </c>
      <c r="F393" s="3">
        <v>15319.56</v>
      </c>
      <c r="G393" s="3">
        <v>1414.78</v>
      </c>
      <c r="H393" s="3">
        <v>2438.3000000000002</v>
      </c>
      <c r="I393" s="3">
        <v>6265.25</v>
      </c>
      <c r="J393" s="3">
        <v>48980.78</v>
      </c>
      <c r="K393" s="1">
        <v>23878.79</v>
      </c>
      <c r="L393" s="3">
        <v>2304.48</v>
      </c>
      <c r="M393" s="3">
        <v>12733.41</v>
      </c>
      <c r="N393" s="6">
        <f>VLOOKUP(A393,'[1]俄罗斯交易系统市值加权指数历史数据 (1)'!$A:$B,2,)</f>
        <v>988.93</v>
      </c>
      <c r="O393" s="3">
        <v>5266.12</v>
      </c>
      <c r="P393" s="1">
        <v>519.5</v>
      </c>
      <c r="Q393" s="3">
        <v>9032.89</v>
      </c>
      <c r="R393" s="1">
        <v>996.39</v>
      </c>
      <c r="S393" s="3">
        <v>10630.8</v>
      </c>
      <c r="T393" s="3">
        <v>7424.13</v>
      </c>
      <c r="U393" s="3">
        <v>3543.68</v>
      </c>
      <c r="V393" s="6">
        <f>VLOOKUP(A393,[2]韩国KOSPI指数历史数据!$A:$B,2,)</f>
        <v>2378.6</v>
      </c>
      <c r="W393" s="6">
        <f>VLOOKUP(A393,[3]日经225指数历史数据!$A:$B,2,)</f>
        <v>20132.669999999998</v>
      </c>
      <c r="X393" s="3">
        <v>1438.22</v>
      </c>
      <c r="Y393" s="6">
        <f>VLOOKUP(A393,[4]上证指数历史数据!$A:$B,2,)</f>
        <v>3157.87</v>
      </c>
      <c r="Z393" s="6">
        <f>VLOOKUP(A393,[5]深证成份指数历史数据!$A:$B,2,)</f>
        <v>10366.780000000001</v>
      </c>
      <c r="AA393" s="6">
        <f>VLOOKUP(A393,[6]台湾加权指数历史数据!$A:$B,2,)</f>
        <v>10377.700000000001</v>
      </c>
      <c r="AB393" s="3">
        <v>25670.05</v>
      </c>
      <c r="AC393" s="3">
        <v>3209.47</v>
      </c>
      <c r="AD393">
        <v>9574.9500000000007</v>
      </c>
      <c r="AE393" s="5">
        <f>VLOOKUP(A393,[7]越南VN30指数历史数据!$A:$B,2,)</f>
        <v>758.24</v>
      </c>
      <c r="AF393">
        <v>45358.66</v>
      </c>
      <c r="AG393" s="9">
        <v>16689.59</v>
      </c>
      <c r="AH393">
        <v>11956.76</v>
      </c>
      <c r="AI393">
        <v>1463.47</v>
      </c>
      <c r="AJ393">
        <v>2166.6799999999998</v>
      </c>
    </row>
    <row r="394" spans="1:36" x14ac:dyDescent="0.3">
      <c r="A394" s="2">
        <v>42911</v>
      </c>
      <c r="B394" s="3">
        <v>21912.63</v>
      </c>
      <c r="C394" s="4">
        <v>62900</v>
      </c>
      <c r="D394" s="3">
        <v>5721.5</v>
      </c>
      <c r="E394" s="3">
        <v>21349.63</v>
      </c>
      <c r="F394" s="3">
        <v>15182.19</v>
      </c>
      <c r="G394" s="3">
        <v>1415.36</v>
      </c>
      <c r="H394" s="3">
        <v>2423.41</v>
      </c>
      <c r="I394" s="3">
        <v>6140.42</v>
      </c>
      <c r="J394" s="3">
        <v>49857.49</v>
      </c>
      <c r="K394" s="1">
        <v>23787.439999999999</v>
      </c>
      <c r="L394" s="3">
        <v>2299.8000000000002</v>
      </c>
      <c r="M394" s="3">
        <v>12325.12</v>
      </c>
      <c r="N394" s="6">
        <f>VLOOKUP(A394,'[1]俄罗斯交易系统市值加权指数历史数据 (1)'!$A:$B,2,)</f>
        <v>1000.96</v>
      </c>
      <c r="O394" s="3">
        <v>5120.68</v>
      </c>
      <c r="P394" s="1">
        <v>507.15</v>
      </c>
      <c r="Q394" s="3">
        <v>8906.89</v>
      </c>
      <c r="R394" s="3">
        <v>1004.4</v>
      </c>
      <c r="S394" s="3">
        <v>10444.5</v>
      </c>
      <c r="T394" s="3">
        <v>7312.72</v>
      </c>
      <c r="U394" s="3">
        <v>3441.88</v>
      </c>
      <c r="V394" s="6">
        <f>VLOOKUP(A394,[2]韩国KOSPI指数历史数据!$A:$B,2,)</f>
        <v>2391.79</v>
      </c>
      <c r="W394" s="6">
        <f>VLOOKUP(A394,[3]日经225指数历史数据!$A:$B,2,)</f>
        <v>20033.43</v>
      </c>
      <c r="X394" s="3">
        <v>1433.63</v>
      </c>
      <c r="Y394" s="6">
        <f>VLOOKUP(A394,[4]上证指数历史数据!$A:$B,2,)</f>
        <v>3192.43</v>
      </c>
      <c r="Z394" s="6">
        <f>VLOOKUP(A394,[5]深证成份指数历史数据!$A:$B,2,)</f>
        <v>10529.61</v>
      </c>
      <c r="AA394" s="6">
        <f>VLOOKUP(A394,[6]台湾加权指数历史数据!$A:$B,2,)</f>
        <v>10395.07</v>
      </c>
      <c r="AB394" s="3">
        <v>25764.58</v>
      </c>
      <c r="AC394" s="3">
        <v>3226.48</v>
      </c>
      <c r="AD394">
        <v>9520.9</v>
      </c>
      <c r="AE394" s="5">
        <f>VLOOKUP(A394,[7]越南VN30指数历史数据!$A:$B,2,)</f>
        <v>765.41</v>
      </c>
      <c r="AF394">
        <v>45421.760000000002</v>
      </c>
      <c r="AG394" s="9">
        <v>16730.39</v>
      </c>
      <c r="AH394">
        <v>12015.84</v>
      </c>
      <c r="AI394">
        <v>1504.44</v>
      </c>
      <c r="AJ394">
        <v>2217.08</v>
      </c>
    </row>
    <row r="395" spans="1:36" x14ac:dyDescent="0.3">
      <c r="A395" s="2">
        <v>42918</v>
      </c>
      <c r="B395" s="3">
        <v>22027.84</v>
      </c>
      <c r="C395" s="4">
        <v>62322</v>
      </c>
      <c r="D395" s="3">
        <v>5703.6</v>
      </c>
      <c r="E395" s="3">
        <v>21414.34</v>
      </c>
      <c r="F395" s="3">
        <v>15027.16</v>
      </c>
      <c r="G395" s="3">
        <v>1415.84</v>
      </c>
      <c r="H395" s="3">
        <v>2425.1799999999998</v>
      </c>
      <c r="I395" s="3">
        <v>6153.08</v>
      </c>
      <c r="J395" s="3">
        <v>50059.02</v>
      </c>
      <c r="K395" s="1">
        <v>24286.47</v>
      </c>
      <c r="L395" s="3">
        <v>2295.8200000000002</v>
      </c>
      <c r="M395" s="3">
        <v>12388.68</v>
      </c>
      <c r="N395" s="6">
        <f>VLOOKUP(A395,'[1]俄罗斯交易系统市值加权指数历史数据 (1)'!$A:$B,2,)</f>
        <v>995.24</v>
      </c>
      <c r="O395" s="3">
        <v>5145.16</v>
      </c>
      <c r="P395" s="1">
        <v>509.92</v>
      </c>
      <c r="Q395" s="3">
        <v>8883.27</v>
      </c>
      <c r="R395" s="3">
        <v>1000.84</v>
      </c>
      <c r="S395" s="3">
        <v>10488.8</v>
      </c>
      <c r="T395" s="3">
        <v>7350.92</v>
      </c>
      <c r="U395" s="3">
        <v>3463.84</v>
      </c>
      <c r="V395" s="6">
        <f>VLOOKUP(A395,[2]韩国KOSPI指数历史数据!$A:$B,2,)</f>
        <v>2379.87</v>
      </c>
      <c r="W395" s="6">
        <f>VLOOKUP(A395,[3]日经225指数历史数据!$A:$B,2,)</f>
        <v>19929.09</v>
      </c>
      <c r="X395" s="3">
        <v>1428.36</v>
      </c>
      <c r="Y395" s="6">
        <f>VLOOKUP(A395,[4]上证指数历史数据!$A:$B,2,)</f>
        <v>3217.96</v>
      </c>
      <c r="Z395" s="6">
        <f>VLOOKUP(A395,[5]深证成份指数历史数据!$A:$B,2,)</f>
        <v>10563.72</v>
      </c>
      <c r="AA395" s="6">
        <f>VLOOKUP(A395,[6]台湾加权指数历史数据!$A:$B,2,)</f>
        <v>10297.25</v>
      </c>
      <c r="AB395" s="3">
        <v>25340.85</v>
      </c>
      <c r="AC395" s="3">
        <v>3229.01</v>
      </c>
      <c r="AD395">
        <v>9665.7999999999993</v>
      </c>
      <c r="AE395" s="5">
        <f>VLOOKUP(A395,[7]越南VN30指数历史数据!$A:$B,2,)</f>
        <v>761.61</v>
      </c>
      <c r="AF395">
        <v>45670.49</v>
      </c>
      <c r="AG395" s="9">
        <v>16602.57</v>
      </c>
      <c r="AH395">
        <v>12354.35</v>
      </c>
      <c r="AI395">
        <v>1466.01</v>
      </c>
      <c r="AJ395">
        <v>2151.96</v>
      </c>
    </row>
    <row r="396" spans="1:36" x14ac:dyDescent="0.3">
      <c r="A396" s="2">
        <v>42925</v>
      </c>
      <c r="B396" s="3">
        <v>21880.16</v>
      </c>
      <c r="C396" s="4">
        <v>65436</v>
      </c>
      <c r="D396" s="3">
        <v>5765.1</v>
      </c>
      <c r="E396" s="3">
        <v>21637.74</v>
      </c>
      <c r="F396" s="3">
        <v>15174.81</v>
      </c>
      <c r="G396" s="3">
        <v>1428.82</v>
      </c>
      <c r="H396" s="3">
        <v>2459.27</v>
      </c>
      <c r="I396" s="3">
        <v>6312.46</v>
      </c>
      <c r="J396" s="3">
        <v>51162.23</v>
      </c>
      <c r="K396" s="1">
        <v>24955.16</v>
      </c>
      <c r="L396" s="3">
        <v>2350.4299999999998</v>
      </c>
      <c r="M396" s="3">
        <v>12631.72</v>
      </c>
      <c r="N396" s="6">
        <f>VLOOKUP(A396,'[1]俄罗斯交易系统市值加权指数历史数据 (1)'!$A:$B,2,)</f>
        <v>1044.27</v>
      </c>
      <c r="O396" s="3">
        <v>5235.3100000000004</v>
      </c>
      <c r="P396" s="1">
        <v>521.07000000000005</v>
      </c>
      <c r="Q396" s="3">
        <v>9034.57</v>
      </c>
      <c r="R396" s="3">
        <v>1051.76</v>
      </c>
      <c r="S396" s="3">
        <v>10655.1</v>
      </c>
      <c r="T396" s="3">
        <v>7378.39</v>
      </c>
      <c r="U396" s="3">
        <v>3525.94</v>
      </c>
      <c r="V396" s="6">
        <f>VLOOKUP(A396,[2]韩国KOSPI指数历史数据!$A:$B,2,)</f>
        <v>2414.63</v>
      </c>
      <c r="W396" s="6">
        <f>VLOOKUP(A396,[3]日经225指数历史数据!$A:$B,2,)</f>
        <v>20118.86</v>
      </c>
      <c r="X396" s="3">
        <v>1456.12</v>
      </c>
      <c r="Y396" s="6">
        <f>VLOOKUP(A396,[4]上证指数历史数据!$A:$B,2,)</f>
        <v>3222.42</v>
      </c>
      <c r="Z396" s="6">
        <f>VLOOKUP(A396,[5]深证成份指数历史数据!$A:$B,2,)</f>
        <v>10427.790000000001</v>
      </c>
      <c r="AA396" s="6">
        <f>VLOOKUP(A396,[6]台湾加权指数历史数据!$A:$B,2,)</f>
        <v>10443.91</v>
      </c>
      <c r="AB396" s="3">
        <v>26389.23</v>
      </c>
      <c r="AC396" s="3">
        <v>3287.43</v>
      </c>
      <c r="AD396">
        <v>9886.35</v>
      </c>
      <c r="AE396" s="5">
        <f>VLOOKUP(A396,[7]越南VN30指数历史数据!$A:$B,2,)</f>
        <v>759.97</v>
      </c>
      <c r="AF396">
        <v>47309.26</v>
      </c>
      <c r="AG396" s="9">
        <v>16911.919999999998</v>
      </c>
      <c r="AH396">
        <v>12307.65</v>
      </c>
      <c r="AI396">
        <v>1506.1</v>
      </c>
      <c r="AJ396">
        <v>2211.37</v>
      </c>
    </row>
    <row r="397" spans="1:36" x14ac:dyDescent="0.3">
      <c r="A397" s="2">
        <v>42932</v>
      </c>
      <c r="B397" s="3">
        <v>21498.58</v>
      </c>
      <c r="C397" s="4">
        <v>64684</v>
      </c>
      <c r="D397" s="3">
        <v>5722.8</v>
      </c>
      <c r="E397" s="3">
        <v>21580.07</v>
      </c>
      <c r="F397" s="3">
        <v>15183.13</v>
      </c>
      <c r="G397" s="3">
        <v>1435.84</v>
      </c>
      <c r="H397" s="3">
        <v>2472.54</v>
      </c>
      <c r="I397" s="3">
        <v>6387.75</v>
      </c>
      <c r="J397" s="3">
        <v>51564.62</v>
      </c>
      <c r="K397" s="1">
        <v>25028.84</v>
      </c>
      <c r="L397" s="3">
        <v>2343.1</v>
      </c>
      <c r="M397" s="3">
        <v>12240.06</v>
      </c>
      <c r="N397" s="6">
        <f>VLOOKUP(A397,'[1]俄罗斯交易系统市值加权指数历史数据 (1)'!$A:$B,2,)</f>
        <v>1024.8900000000001</v>
      </c>
      <c r="O397" s="3">
        <v>5117.66</v>
      </c>
      <c r="P397" s="1">
        <v>522.22</v>
      </c>
      <c r="Q397" s="3">
        <v>8938.68</v>
      </c>
      <c r="R397" s="3">
        <v>1068.43</v>
      </c>
      <c r="S397" s="3">
        <v>10426.6</v>
      </c>
      <c r="T397" s="3">
        <v>7452.91</v>
      </c>
      <c r="U397" s="3">
        <v>3451.71</v>
      </c>
      <c r="V397" s="6">
        <f>VLOOKUP(A397,[2]韩国KOSPI指数历史数据!$A:$B,2,)</f>
        <v>2450.06</v>
      </c>
      <c r="W397" s="6">
        <f>VLOOKUP(A397,[3]日经225指数历史数据!$A:$B,2,)</f>
        <v>20099.75</v>
      </c>
      <c r="X397" s="3">
        <v>1458.12</v>
      </c>
      <c r="Y397" s="6">
        <f>VLOOKUP(A397,[4]上证指数历史数据!$A:$B,2,)</f>
        <v>3237.98</v>
      </c>
      <c r="Z397" s="6">
        <f>VLOOKUP(A397,[5]深证成份指数历史数据!$A:$B,2,)</f>
        <v>10364.82</v>
      </c>
      <c r="AA397" s="6">
        <f>VLOOKUP(A397,[6]台湾加权指数历史数据!$A:$B,2,)</f>
        <v>10436.700000000001</v>
      </c>
      <c r="AB397" s="3">
        <v>26706.09</v>
      </c>
      <c r="AC397" s="3">
        <v>3314.12</v>
      </c>
      <c r="AD397">
        <v>9915.25</v>
      </c>
      <c r="AE397" s="5">
        <f>VLOOKUP(A397,[7]越南VN30指数历史数据!$A:$B,2,)</f>
        <v>728.47</v>
      </c>
      <c r="AF397">
        <v>47801.91</v>
      </c>
      <c r="AG397" s="9">
        <v>16742.77</v>
      </c>
      <c r="AH397">
        <v>12120.77</v>
      </c>
      <c r="AI397">
        <v>1546.99</v>
      </c>
      <c r="AJ397">
        <v>2134.75</v>
      </c>
    </row>
    <row r="398" spans="1:36" x14ac:dyDescent="0.3">
      <c r="A398" s="2">
        <v>42939</v>
      </c>
      <c r="B398" s="3">
        <v>21689.22</v>
      </c>
      <c r="C398" s="4">
        <v>65497</v>
      </c>
      <c r="D398" s="3">
        <v>5702.8</v>
      </c>
      <c r="E398" s="3">
        <v>21830.31</v>
      </c>
      <c r="F398" s="3">
        <v>15128.65</v>
      </c>
      <c r="G398" s="3">
        <v>1429.26</v>
      </c>
      <c r="H398" s="3">
        <v>2472.1</v>
      </c>
      <c r="I398" s="3">
        <v>6374.68</v>
      </c>
      <c r="J398" s="3">
        <v>51213.599999999999</v>
      </c>
      <c r="K398" s="1">
        <v>25354.16</v>
      </c>
      <c r="L398" s="3">
        <v>2360.42</v>
      </c>
      <c r="M398" s="3">
        <v>12162.7</v>
      </c>
      <c r="N398" s="6">
        <f>VLOOKUP(A398,'[1]俄罗斯交易系统市值加权指数历史数据 (1)'!$A:$B,2,)</f>
        <v>1014.44</v>
      </c>
      <c r="O398" s="3">
        <v>5131.3900000000003</v>
      </c>
      <c r="P398" s="1">
        <v>525.53</v>
      </c>
      <c r="Q398" s="3">
        <v>9019.31</v>
      </c>
      <c r="R398" s="3">
        <v>1077</v>
      </c>
      <c r="S398" s="3">
        <v>10536.1</v>
      </c>
      <c r="T398" s="3">
        <v>7368.37</v>
      </c>
      <c r="U398" s="3">
        <v>3467.73</v>
      </c>
      <c r="V398" s="6">
        <f>VLOOKUP(A398,[2]韩国KOSPI指数历史数据!$A:$B,2,)</f>
        <v>2400.9899999999998</v>
      </c>
      <c r="W398" s="6">
        <f>VLOOKUP(A398,[3]日经225指数历史数据!$A:$B,2,)</f>
        <v>19959.84</v>
      </c>
      <c r="X398" s="3">
        <v>1451.48</v>
      </c>
      <c r="Y398" s="6">
        <f>VLOOKUP(A398,[4]上证指数历史数据!$A:$B,2,)</f>
        <v>3253.24</v>
      </c>
      <c r="Z398" s="6">
        <f>VLOOKUP(A398,[5]深证成份指数历史数据!$A:$B,2,)</f>
        <v>10437.94</v>
      </c>
      <c r="AA398" s="6">
        <f>VLOOKUP(A398,[6]台湾加权指数历史数据!$A:$B,2,)</f>
        <v>10423.049999999999</v>
      </c>
      <c r="AB398" s="3">
        <v>26979.39</v>
      </c>
      <c r="AC398" s="3">
        <v>3330.75</v>
      </c>
      <c r="AD398">
        <v>10014.5</v>
      </c>
      <c r="AE398" s="5">
        <f>VLOOKUP(A398,[7]越南VN30指数历史数据!$A:$B,2,)</f>
        <v>749.86</v>
      </c>
      <c r="AF398">
        <v>48551.29</v>
      </c>
      <c r="AG398" s="9">
        <v>16695.080000000002</v>
      </c>
      <c r="AH398">
        <v>12323.97</v>
      </c>
      <c r="AI398">
        <v>1677.57</v>
      </c>
      <c r="AJ398">
        <v>2066.3000000000002</v>
      </c>
    </row>
    <row r="399" spans="1:36" x14ac:dyDescent="0.3">
      <c r="A399" s="2">
        <v>42946</v>
      </c>
      <c r="B399" s="3">
        <v>21703.9</v>
      </c>
      <c r="C399" s="4">
        <v>66898</v>
      </c>
      <c r="D399" s="3">
        <v>5720.6</v>
      </c>
      <c r="E399" s="3">
        <v>22092.81</v>
      </c>
      <c r="F399" s="3">
        <v>15257.97</v>
      </c>
      <c r="G399" s="3">
        <v>1412.32</v>
      </c>
      <c r="H399" s="3">
        <v>2476.83</v>
      </c>
      <c r="I399" s="3">
        <v>6351.56</v>
      </c>
      <c r="J399" s="3">
        <v>51328.29</v>
      </c>
      <c r="K399" s="1">
        <v>25480.89</v>
      </c>
      <c r="L399" s="3">
        <v>2380.16</v>
      </c>
      <c r="M399" s="3">
        <v>12297.72</v>
      </c>
      <c r="N399" s="6">
        <f>VLOOKUP(A399,'[1]俄罗斯交易系统市值加权指数历史数据 (1)'!$A:$B,2,)</f>
        <v>1026.73</v>
      </c>
      <c r="O399" s="3">
        <v>5203.4399999999996</v>
      </c>
      <c r="P399" s="1">
        <v>529.09</v>
      </c>
      <c r="Q399" s="3">
        <v>9176.99</v>
      </c>
      <c r="R399" s="3">
        <v>1085.45</v>
      </c>
      <c r="S399" s="3">
        <v>10658.4</v>
      </c>
      <c r="T399" s="3">
        <v>7511.71</v>
      </c>
      <c r="U399" s="3">
        <v>3507.41</v>
      </c>
      <c r="V399" s="6">
        <f>VLOOKUP(A399,[2]韩国KOSPI指数历史数据!$A:$B,2,)</f>
        <v>2395.4499999999998</v>
      </c>
      <c r="W399" s="6">
        <f>VLOOKUP(A399,[3]日经225指数历史数据!$A:$B,2,)</f>
        <v>19952.330000000002</v>
      </c>
      <c r="X399" s="3">
        <v>1417.24</v>
      </c>
      <c r="Y399" s="6">
        <f>VLOOKUP(A399,[4]上证指数历史数据!$A:$B,2,)</f>
        <v>3262.08</v>
      </c>
      <c r="Z399" s="6">
        <f>VLOOKUP(A399,[5]深证成份指数历史数据!$A:$B,2,)</f>
        <v>10361.23</v>
      </c>
      <c r="AA399" s="6">
        <f>VLOOKUP(A399,[6]台湾加权指数历史数据!$A:$B,2,)</f>
        <v>10506.56</v>
      </c>
      <c r="AB399" s="3">
        <v>27562.68</v>
      </c>
      <c r="AC399" s="3">
        <v>3326.52</v>
      </c>
      <c r="AD399">
        <v>10066.4</v>
      </c>
      <c r="AE399" s="5">
        <f>VLOOKUP(A399,[7]越南VN30指数历史数据!$A:$B,2,)</f>
        <v>761.44</v>
      </c>
      <c r="AF399">
        <v>49506.15</v>
      </c>
      <c r="AG399" s="9">
        <v>16512.32</v>
      </c>
      <c r="AH399">
        <v>12174.11</v>
      </c>
      <c r="AI399">
        <v>1698.4</v>
      </c>
      <c r="AJ399">
        <v>2735.49</v>
      </c>
    </row>
    <row r="400" spans="1:36" x14ac:dyDescent="0.3">
      <c r="A400" s="2">
        <v>42953</v>
      </c>
      <c r="B400" s="3">
        <v>21632.98</v>
      </c>
      <c r="C400" s="4">
        <v>67359</v>
      </c>
      <c r="D400" s="3">
        <v>5693.1</v>
      </c>
      <c r="E400" s="3">
        <v>21858.32</v>
      </c>
      <c r="F400" s="3">
        <v>15033.38</v>
      </c>
      <c r="G400" s="3">
        <v>1374.23</v>
      </c>
      <c r="H400" s="3">
        <v>2441.3200000000002</v>
      </c>
      <c r="I400" s="3">
        <v>6256.56</v>
      </c>
      <c r="J400" s="3">
        <v>50645.1</v>
      </c>
      <c r="K400" s="1">
        <v>25122.29</v>
      </c>
      <c r="L400" s="3">
        <v>2371.7199999999998</v>
      </c>
      <c r="M400" s="3">
        <v>12014.06</v>
      </c>
      <c r="N400" s="6">
        <f>VLOOKUP(A400,'[1]俄罗斯交易系统市值加权指数历史数据 (1)'!$A:$B,2,)</f>
        <v>1022.41</v>
      </c>
      <c r="O400" s="3">
        <v>5060.92</v>
      </c>
      <c r="P400" s="1">
        <v>516.97</v>
      </c>
      <c r="Q400" s="3">
        <v>8884.0400000000009</v>
      </c>
      <c r="R400" s="3">
        <v>1069.6300000000001</v>
      </c>
      <c r="S400" s="3">
        <v>10282.9</v>
      </c>
      <c r="T400" s="3">
        <v>7309.96</v>
      </c>
      <c r="U400" s="3">
        <v>3406.34</v>
      </c>
      <c r="V400" s="6">
        <f>VLOOKUP(A400,[2]韩国KOSPI指数历史数据!$A:$B,2,)</f>
        <v>2319.71</v>
      </c>
      <c r="W400" s="6">
        <f>VLOOKUP(A400,[3]日经225指数历史数据!$A:$B,2,)</f>
        <v>19729.740000000002</v>
      </c>
      <c r="X400" s="3">
        <v>1363.5</v>
      </c>
      <c r="Y400" s="6">
        <f>VLOOKUP(A400,[4]上证指数历史数据!$A:$B,2,)</f>
        <v>3208.54</v>
      </c>
      <c r="Z400" s="6">
        <f>VLOOKUP(A400,[5]深证成份指数历史数据!$A:$B,2,)</f>
        <v>10291.35</v>
      </c>
      <c r="AA400" s="6">
        <f>VLOOKUP(A400,[6]台湾加权指数历史数据!$A:$B,2,)</f>
        <v>10329.57</v>
      </c>
      <c r="AB400" s="3">
        <v>26883.51</v>
      </c>
      <c r="AC400" s="3">
        <v>3279.72</v>
      </c>
      <c r="AD400">
        <v>9710.7999999999993</v>
      </c>
      <c r="AE400" s="5">
        <f>VLOOKUP(A400,[7]越南VN30指数历史数据!$A:$B,2,)</f>
        <v>744.99</v>
      </c>
      <c r="AF400">
        <v>48766.71</v>
      </c>
      <c r="AG400" s="9">
        <v>16552.599999999999</v>
      </c>
      <c r="AH400">
        <v>12326.17</v>
      </c>
      <c r="AI400">
        <v>1744.51</v>
      </c>
      <c r="AJ400">
        <v>2041.27</v>
      </c>
    </row>
    <row r="401" spans="1:36" x14ac:dyDescent="0.3">
      <c r="A401" s="2">
        <v>42960</v>
      </c>
      <c r="B401" s="3">
        <v>22967.35</v>
      </c>
      <c r="C401" s="4">
        <v>68715</v>
      </c>
      <c r="D401" s="3">
        <v>5747.1</v>
      </c>
      <c r="E401" s="3">
        <v>21674.51</v>
      </c>
      <c r="F401" s="3">
        <v>14952.33</v>
      </c>
      <c r="G401" s="3">
        <v>1357.79</v>
      </c>
      <c r="H401" s="3">
        <v>2425.5500000000002</v>
      </c>
      <c r="I401" s="3">
        <v>6216.53</v>
      </c>
      <c r="J401" s="3">
        <v>51075.46</v>
      </c>
      <c r="K401" s="1">
        <v>25544.22</v>
      </c>
      <c r="L401" s="3">
        <v>2359.87</v>
      </c>
      <c r="M401" s="3">
        <v>12165.19</v>
      </c>
      <c r="N401" s="6">
        <f>VLOOKUP(A401,'[1]俄罗斯交易系统市值加权指数历史数据 (1)'!$A:$B,2,)</f>
        <v>1027.8499999999999</v>
      </c>
      <c r="O401" s="3">
        <v>5114.1499999999996</v>
      </c>
      <c r="P401" s="1">
        <v>519.64</v>
      </c>
      <c r="Q401" s="3">
        <v>8874.35</v>
      </c>
      <c r="R401" s="3">
        <v>1072.02</v>
      </c>
      <c r="S401" s="3">
        <v>10385.700000000001</v>
      </c>
      <c r="T401" s="3">
        <v>7323.98</v>
      </c>
      <c r="U401" s="3">
        <v>3446.03</v>
      </c>
      <c r="V401" s="6">
        <f>VLOOKUP(A401,[2]韩国KOSPI指数历史数据!$A:$B,2,)</f>
        <v>2358.37</v>
      </c>
      <c r="W401" s="6">
        <f>VLOOKUP(A401,[3]日经225指数历史数据!$A:$B,2,)</f>
        <v>19470.41</v>
      </c>
      <c r="X401" s="3">
        <v>1394.49</v>
      </c>
      <c r="Y401" s="6">
        <f>VLOOKUP(A401,[4]上证指数历史数据!$A:$B,2,)</f>
        <v>3268.72</v>
      </c>
      <c r="Z401" s="6">
        <f>VLOOKUP(A401,[5]深证成份指数历史数据!$A:$B,2,)</f>
        <v>10614.08</v>
      </c>
      <c r="AA401" s="6">
        <f>VLOOKUP(A401,[6]台湾加权指数历史数据!$A:$B,2,)</f>
        <v>10321.33</v>
      </c>
      <c r="AB401" s="3">
        <v>27047.57</v>
      </c>
      <c r="AC401" s="3">
        <v>3251.99</v>
      </c>
      <c r="AD401">
        <v>9837.4</v>
      </c>
      <c r="AE401" s="5">
        <f>VLOOKUP(A401,[7]越南VN30指数历史数据!$A:$B,2,)</f>
        <v>744.3</v>
      </c>
      <c r="AF401">
        <v>48929.87</v>
      </c>
      <c r="AG401" s="9">
        <v>16172.99</v>
      </c>
      <c r="AH401">
        <v>12246.67</v>
      </c>
      <c r="AI401">
        <v>1693.29</v>
      </c>
      <c r="AJ401">
        <v>2142.21</v>
      </c>
    </row>
    <row r="402" spans="1:36" x14ac:dyDescent="0.3">
      <c r="A402" s="2">
        <v>42967</v>
      </c>
      <c r="B402" s="3">
        <v>23500.95</v>
      </c>
      <c r="C402" s="4">
        <v>71074</v>
      </c>
      <c r="D402" s="3">
        <v>5743.9</v>
      </c>
      <c r="E402" s="3">
        <v>21813.67</v>
      </c>
      <c r="F402" s="3">
        <v>15055.99</v>
      </c>
      <c r="G402" s="3">
        <v>1377.45</v>
      </c>
      <c r="H402" s="3">
        <v>2443.0500000000002</v>
      </c>
      <c r="I402" s="3">
        <v>6265.64</v>
      </c>
      <c r="J402" s="3">
        <v>51373.23</v>
      </c>
      <c r="K402" s="1">
        <v>25842.31</v>
      </c>
      <c r="L402" s="3">
        <v>2471.7399999999998</v>
      </c>
      <c r="M402" s="3">
        <v>12167.94</v>
      </c>
      <c r="N402" s="6">
        <f>VLOOKUP(A402,'[1]俄罗斯交易系统市值加权指数历史数据 (1)'!$A:$B,2,)</f>
        <v>1060.49</v>
      </c>
      <c r="O402" s="3">
        <v>5104.33</v>
      </c>
      <c r="P402" s="1">
        <v>517.41999999999996</v>
      </c>
      <c r="Q402" s="3">
        <v>8906.18</v>
      </c>
      <c r="R402" s="3">
        <v>1097.55</v>
      </c>
      <c r="S402" s="3">
        <v>10345.299999999999</v>
      </c>
      <c r="T402" s="3">
        <v>7401.46</v>
      </c>
      <c r="U402" s="3">
        <v>3438.55</v>
      </c>
      <c r="V402" s="6">
        <f>VLOOKUP(A402,[2]韩国KOSPI指数历史数据!$A:$B,2,)</f>
        <v>2378.5100000000002</v>
      </c>
      <c r="W402" s="6">
        <f>VLOOKUP(A402,[3]日经225指数历史数据!$A:$B,2,)</f>
        <v>19452.61</v>
      </c>
      <c r="X402" s="3">
        <v>1396.08</v>
      </c>
      <c r="Y402" s="6">
        <f>VLOOKUP(A402,[4]上证指数历史数据!$A:$B,2,)</f>
        <v>3331.52</v>
      </c>
      <c r="Z402" s="6">
        <f>VLOOKUP(A402,[5]深证成份指数历史数据!$A:$B,2,)</f>
        <v>10659.01</v>
      </c>
      <c r="AA402" s="6">
        <f>VLOOKUP(A402,[6]台湾加权指数历史数据!$A:$B,2,)</f>
        <v>10515.51</v>
      </c>
      <c r="AB402" s="3">
        <v>27848.16</v>
      </c>
      <c r="AC402" s="3">
        <v>3259.57</v>
      </c>
      <c r="AD402">
        <v>9857.0499999999993</v>
      </c>
      <c r="AE402" s="5">
        <f>VLOOKUP(A402,[7]越南VN30指数历史数据!$A:$B,2,)</f>
        <v>751.14</v>
      </c>
      <c r="AF402">
        <v>50175.33</v>
      </c>
      <c r="AG402" s="9">
        <v>15825.37</v>
      </c>
      <c r="AH402">
        <v>12202.67</v>
      </c>
      <c r="AI402">
        <v>1689.43</v>
      </c>
      <c r="AJ402">
        <v>2179.35</v>
      </c>
    </row>
    <row r="403" spans="1:36" x14ac:dyDescent="0.3">
      <c r="A403" s="2">
        <v>42974</v>
      </c>
      <c r="B403" s="3">
        <v>23657.64</v>
      </c>
      <c r="C403" s="4">
        <v>71923</v>
      </c>
      <c r="D403" s="3">
        <v>5724.6</v>
      </c>
      <c r="E403" s="3">
        <v>21987.56</v>
      </c>
      <c r="F403" s="3">
        <v>15191.6</v>
      </c>
      <c r="G403" s="3">
        <v>1413.57</v>
      </c>
      <c r="H403" s="3">
        <v>2476.5500000000002</v>
      </c>
      <c r="I403" s="3">
        <v>6435.33</v>
      </c>
      <c r="J403" s="3">
        <v>51080.85</v>
      </c>
      <c r="K403" s="1">
        <v>25838.5</v>
      </c>
      <c r="L403" s="3">
        <v>2527.62</v>
      </c>
      <c r="M403" s="3">
        <v>12142.64</v>
      </c>
      <c r="N403" s="6">
        <f>VLOOKUP(A403,'[1]俄罗斯交易系统市值加权指数历史数据 (1)'!$A:$B,2,)</f>
        <v>1100.58</v>
      </c>
      <c r="O403" s="3">
        <v>5123.26</v>
      </c>
      <c r="P403" s="1">
        <v>518.17999999999995</v>
      </c>
      <c r="Q403" s="3">
        <v>8941.6200000000008</v>
      </c>
      <c r="R403" s="3">
        <v>1100.0999999999999</v>
      </c>
      <c r="S403" s="3">
        <v>10325.5</v>
      </c>
      <c r="T403" s="3">
        <v>7438.5</v>
      </c>
      <c r="U403" s="3">
        <v>3443.88</v>
      </c>
      <c r="V403" s="6">
        <f>VLOOKUP(A403,[2]韩国KOSPI指数历史数据!$A:$B,2,)</f>
        <v>2357.69</v>
      </c>
      <c r="W403" s="6">
        <f>VLOOKUP(A403,[3]日经225指数历史数据!$A:$B,2,)</f>
        <v>19691.47</v>
      </c>
      <c r="X403" s="3">
        <v>1400.94</v>
      </c>
      <c r="Y403" s="6">
        <f>VLOOKUP(A403,[4]上证指数历史数据!$A:$B,2,)</f>
        <v>3367.12</v>
      </c>
      <c r="Z403" s="6">
        <f>VLOOKUP(A403,[5]深证成份指数历史数据!$A:$B,2,)</f>
        <v>10880.56</v>
      </c>
      <c r="AA403" s="6">
        <f>VLOOKUP(A403,[6]台湾加权指数历史数据!$A:$B,2,)</f>
        <v>10594.82</v>
      </c>
      <c r="AB403" s="3">
        <v>27953.16</v>
      </c>
      <c r="AC403" s="3">
        <v>3277.26</v>
      </c>
      <c r="AD403">
        <v>9974.4</v>
      </c>
      <c r="AE403" s="5">
        <f>VLOOKUP(A403,[7]越南VN30指数历史数据!$A:$B,2,)</f>
        <v>774.06</v>
      </c>
      <c r="AF403">
        <v>49996.4</v>
      </c>
      <c r="AG403" s="9">
        <v>16436.740000000002</v>
      </c>
      <c r="AH403">
        <v>12397.12</v>
      </c>
      <c r="AI403">
        <v>1638.5</v>
      </c>
      <c r="AJ403">
        <v>2156.89</v>
      </c>
    </row>
    <row r="404" spans="1:36" x14ac:dyDescent="0.3">
      <c r="A404" s="2">
        <v>42981</v>
      </c>
      <c r="B404" s="3">
        <v>24018.13</v>
      </c>
      <c r="C404" s="4">
        <v>73079</v>
      </c>
      <c r="D404" s="3">
        <v>5672.6</v>
      </c>
      <c r="E404" s="3">
        <v>21797.79</v>
      </c>
      <c r="F404" s="3">
        <v>14985.32</v>
      </c>
      <c r="G404" s="3">
        <v>1399.43</v>
      </c>
      <c r="H404" s="3">
        <v>2461.4299999999998</v>
      </c>
      <c r="I404" s="3">
        <v>6360.19</v>
      </c>
      <c r="J404" s="3">
        <v>50083.8</v>
      </c>
      <c r="K404" s="1">
        <v>25475.58</v>
      </c>
      <c r="L404" s="3">
        <v>2483.58</v>
      </c>
      <c r="M404" s="3">
        <v>12303.98</v>
      </c>
      <c r="N404" s="6">
        <f>VLOOKUP(A404,'[1]俄罗斯交易系统市值加权指数历史数据 (1)'!$A:$B,2,)</f>
        <v>1119.6099999999999</v>
      </c>
      <c r="O404" s="3">
        <v>5113.49</v>
      </c>
      <c r="P404" s="1">
        <v>518.82000000000005</v>
      </c>
      <c r="Q404" s="3">
        <v>8912.0499999999993</v>
      </c>
      <c r="R404" s="3">
        <v>1084.52</v>
      </c>
      <c r="S404" s="3">
        <v>10129.6</v>
      </c>
      <c r="T404" s="3">
        <v>7377.6</v>
      </c>
      <c r="U404" s="3">
        <v>3447.69</v>
      </c>
      <c r="V404" s="6">
        <f>VLOOKUP(A404,[2]韩国KOSPI指数历史数据!$A:$B,2,)</f>
        <v>2343.7199999999998</v>
      </c>
      <c r="W404" s="6">
        <f>VLOOKUP(A404,[3]日经225指数历史数据!$A:$B,2,)</f>
        <v>19274.82</v>
      </c>
      <c r="X404" s="3">
        <v>1388.09</v>
      </c>
      <c r="Y404" s="6">
        <f>VLOOKUP(A404,[4]上证指数历史数据!$A:$B,2,)</f>
        <v>3365.24</v>
      </c>
      <c r="Z404" s="6">
        <f>VLOOKUP(A404,[5]深证成份指数历史数据!$A:$B,2,)</f>
        <v>10970.77</v>
      </c>
      <c r="AA404" s="6">
        <f>VLOOKUP(A404,[6]台湾加权指数历史数据!$A:$B,2,)</f>
        <v>10609.95</v>
      </c>
      <c r="AB404" s="3">
        <v>27668.47</v>
      </c>
      <c r="AC404" s="3">
        <v>3228.56</v>
      </c>
      <c r="AD404">
        <v>9934.7999999999993</v>
      </c>
      <c r="AE404" s="5">
        <f>VLOOKUP(A404,[7]越南VN30指数历史数据!$A:$B,2,)</f>
        <v>784.74</v>
      </c>
      <c r="AF404">
        <v>49274.03</v>
      </c>
      <c r="AG404" s="9">
        <v>16574.259999999998</v>
      </c>
      <c r="AH404">
        <v>12602.2</v>
      </c>
      <c r="AI404">
        <v>1649.58</v>
      </c>
      <c r="AJ404">
        <v>2149.19</v>
      </c>
    </row>
    <row r="405" spans="1:36" x14ac:dyDescent="0.3">
      <c r="A405" s="2">
        <v>42988</v>
      </c>
      <c r="B405" s="3">
        <v>23715.54</v>
      </c>
      <c r="C405" s="4">
        <v>75757</v>
      </c>
      <c r="D405" s="3">
        <v>5695</v>
      </c>
      <c r="E405" s="3">
        <v>22268.34</v>
      </c>
      <c r="F405" s="3">
        <v>15173.03</v>
      </c>
      <c r="G405" s="3">
        <v>1431.71</v>
      </c>
      <c r="H405" s="3">
        <v>2500.23</v>
      </c>
      <c r="I405" s="3">
        <v>6448.47</v>
      </c>
      <c r="J405" s="3">
        <v>49921.84</v>
      </c>
      <c r="K405" s="1">
        <v>25973.23</v>
      </c>
      <c r="L405" s="3">
        <v>2498.3200000000002</v>
      </c>
      <c r="M405" s="3">
        <v>12518.81</v>
      </c>
      <c r="N405" s="6">
        <f>VLOOKUP(A405,'[1]俄罗斯交易系统市值加权指数历史数据 (1)'!$A:$B,2,)</f>
        <v>1123.43</v>
      </c>
      <c r="O405" s="3">
        <v>5213.91</v>
      </c>
      <c r="P405" s="1">
        <v>526.78</v>
      </c>
      <c r="Q405" s="3">
        <v>9028.0499999999993</v>
      </c>
      <c r="R405" s="3">
        <v>1077.42</v>
      </c>
      <c r="S405" s="3">
        <v>10317.4</v>
      </c>
      <c r="T405" s="3">
        <v>7215.47</v>
      </c>
      <c r="U405" s="3">
        <v>3515.55</v>
      </c>
      <c r="V405" s="6">
        <f>VLOOKUP(A405,[2]韩国KOSPI指数历史数据!$A:$B,2,)</f>
        <v>2386.0700000000002</v>
      </c>
      <c r="W405" s="6">
        <f>VLOOKUP(A405,[3]日经225指数历史数据!$A:$B,2,)</f>
        <v>19909.5</v>
      </c>
      <c r="X405" s="3">
        <v>1415.46</v>
      </c>
      <c r="Y405" s="6">
        <f>VLOOKUP(A405,[4]上证指数历史数据!$A:$B,2,)</f>
        <v>3353.62</v>
      </c>
      <c r="Z405" s="6">
        <f>VLOOKUP(A405,[5]深证成份指数历史数据!$A:$B,2,)</f>
        <v>11063.1</v>
      </c>
      <c r="AA405" s="6">
        <f>VLOOKUP(A405,[6]台湾加权指数历史数据!$A:$B,2,)</f>
        <v>10580.41</v>
      </c>
      <c r="AB405" s="3">
        <v>27807.59</v>
      </c>
      <c r="AC405" s="3">
        <v>3209.56</v>
      </c>
      <c r="AD405">
        <v>10085.4</v>
      </c>
      <c r="AE405" s="5">
        <f>VLOOKUP(A405,[7]越南VN30指数历史数据!$A:$B,2,)</f>
        <v>789.49</v>
      </c>
      <c r="AF405">
        <v>49274.6</v>
      </c>
      <c r="AG405" s="9">
        <v>16934.57</v>
      </c>
      <c r="AH405">
        <v>12716.01</v>
      </c>
      <c r="AI405">
        <v>1608.76</v>
      </c>
      <c r="AJ405">
        <v>2098.39</v>
      </c>
    </row>
    <row r="406" spans="1:36" x14ac:dyDescent="0.3">
      <c r="A406" s="2">
        <v>42995</v>
      </c>
      <c r="B406" s="3">
        <v>24994.48</v>
      </c>
      <c r="C406" s="4">
        <v>75390</v>
      </c>
      <c r="D406" s="3">
        <v>5682.1</v>
      </c>
      <c r="E406" s="3">
        <v>22349.59</v>
      </c>
      <c r="F406" s="3">
        <v>15454.23</v>
      </c>
      <c r="G406" s="3">
        <v>1450.78</v>
      </c>
      <c r="H406" s="3">
        <v>2502.2199999999998</v>
      </c>
      <c r="I406" s="3">
        <v>6426.92</v>
      </c>
      <c r="J406" s="3">
        <v>50313.51</v>
      </c>
      <c r="K406" s="1">
        <v>26406.84</v>
      </c>
      <c r="L406" s="3">
        <v>2480.73</v>
      </c>
      <c r="M406" s="3">
        <v>12592.35</v>
      </c>
      <c r="N406" s="6">
        <f>VLOOKUP(A406,'[1]俄罗斯交易系统市值加权指数历史数据 (1)'!$A:$B,2,)</f>
        <v>1123.24</v>
      </c>
      <c r="O406" s="3">
        <v>5281.29</v>
      </c>
      <c r="P406" s="1">
        <v>528.03</v>
      </c>
      <c r="Q406" s="3">
        <v>9136.7199999999993</v>
      </c>
      <c r="R406" s="3">
        <v>1041.23</v>
      </c>
      <c r="S406" s="3">
        <v>10305</v>
      </c>
      <c r="T406" s="3">
        <v>7310.64</v>
      </c>
      <c r="U406" s="3">
        <v>3541.42</v>
      </c>
      <c r="V406" s="6">
        <f>VLOOKUP(A406,[2]韩国KOSPI指数历史数据!$A:$B,2,)</f>
        <v>2388.71</v>
      </c>
      <c r="W406" s="6">
        <f>VLOOKUP(A406,[3]日经225指数历史数据!$A:$B,2,)</f>
        <v>20296.45</v>
      </c>
      <c r="X406" s="3">
        <v>1419.9</v>
      </c>
      <c r="Y406" s="6">
        <f>VLOOKUP(A406,[4]上证指数历史数据!$A:$B,2,)</f>
        <v>3352.53</v>
      </c>
      <c r="Z406" s="6">
        <f>VLOOKUP(A406,[5]深证成份指数历史数据!$A:$B,2,)</f>
        <v>11069.82</v>
      </c>
      <c r="AA406" s="6">
        <f>VLOOKUP(A406,[6]台湾加权指数历史数据!$A:$B,2,)</f>
        <v>10449.68</v>
      </c>
      <c r="AB406" s="3">
        <v>27880.53</v>
      </c>
      <c r="AC406" s="3">
        <v>3220.25</v>
      </c>
      <c r="AD406">
        <v>9964.4</v>
      </c>
      <c r="AE406" s="5">
        <f>VLOOKUP(A406,[7]越南VN30指数历史数据!$A:$B,2,)</f>
        <v>789.7</v>
      </c>
      <c r="AF406">
        <v>49564.68</v>
      </c>
      <c r="AG406" s="9">
        <v>17070.099999999999</v>
      </c>
      <c r="AH406">
        <v>12442.31</v>
      </c>
      <c r="AI406">
        <v>1625.32</v>
      </c>
      <c r="AJ406">
        <v>2128.87</v>
      </c>
    </row>
    <row r="407" spans="1:36" x14ac:dyDescent="0.3">
      <c r="A407" s="2">
        <v>43002</v>
      </c>
      <c r="B407" s="3">
        <v>26078.29</v>
      </c>
      <c r="C407" s="4">
        <v>74294</v>
      </c>
      <c r="D407" s="3">
        <v>5681.6</v>
      </c>
      <c r="E407" s="3">
        <v>22405.09</v>
      </c>
      <c r="F407" s="3">
        <v>15634.94</v>
      </c>
      <c r="G407" s="3">
        <v>1490.86</v>
      </c>
      <c r="H407" s="3">
        <v>2519.36</v>
      </c>
      <c r="I407" s="3">
        <v>6495.96</v>
      </c>
      <c r="J407" s="3">
        <v>50346.06</v>
      </c>
      <c r="K407" s="1">
        <v>26682.39</v>
      </c>
      <c r="L407" s="3">
        <v>2453.46</v>
      </c>
      <c r="M407" s="3">
        <v>12828.86</v>
      </c>
      <c r="N407" s="6">
        <f>VLOOKUP(A407,'[1]俄罗斯交易系统市值加权指数历史数据 (1)'!$A:$B,2,)</f>
        <v>1136.75</v>
      </c>
      <c r="O407" s="3">
        <v>5329.81</v>
      </c>
      <c r="P407" s="1">
        <v>537.05999999999995</v>
      </c>
      <c r="Q407" s="3">
        <v>9157.4599999999991</v>
      </c>
      <c r="R407" s="3">
        <v>1029.08</v>
      </c>
      <c r="S407" s="3">
        <v>10381.5</v>
      </c>
      <c r="T407" s="3">
        <v>7372.76</v>
      </c>
      <c r="U407" s="3">
        <v>3594.85</v>
      </c>
      <c r="V407" s="6">
        <f>VLOOKUP(A407,[2]韩国KOSPI指数历史数据!$A:$B,2,)</f>
        <v>2394.4699999999998</v>
      </c>
      <c r="W407" s="6">
        <f>VLOOKUP(A407,[3]日经225指数历史数据!$A:$B,2,)</f>
        <v>20356.28</v>
      </c>
      <c r="X407" s="3">
        <v>1421.04</v>
      </c>
      <c r="Y407" s="6">
        <f>VLOOKUP(A407,[4]上证指数历史数据!$A:$B,2,)</f>
        <v>3348.94</v>
      </c>
      <c r="Z407" s="6">
        <f>VLOOKUP(A407,[5]深证成份指数历史数据!$A:$B,2,)</f>
        <v>11087.19</v>
      </c>
      <c r="AA407" s="6">
        <f>VLOOKUP(A407,[6]台湾加权指数历史数据!$A:$B,2,)</f>
        <v>10383.94</v>
      </c>
      <c r="AB407" s="3">
        <v>27554.3</v>
      </c>
      <c r="AC407" s="3">
        <v>3219.91</v>
      </c>
      <c r="AD407">
        <v>9788.6</v>
      </c>
      <c r="AE407" s="5">
        <f>VLOOKUP(A407,[7]越南VN30指数历史数据!$A:$B,2,)</f>
        <v>792.72</v>
      </c>
      <c r="AF407">
        <v>49376.46</v>
      </c>
      <c r="AG407" s="9">
        <v>17447.400000000001</v>
      </c>
      <c r="AH407">
        <v>12140.47</v>
      </c>
      <c r="AI407">
        <v>1622.43</v>
      </c>
      <c r="AJ407">
        <v>2116.85</v>
      </c>
    </row>
    <row r="408" spans="1:36" x14ac:dyDescent="0.3">
      <c r="A408" s="2">
        <v>43009</v>
      </c>
      <c r="B408" s="3">
        <v>26797.79</v>
      </c>
      <c r="C408" s="4">
        <v>76055</v>
      </c>
      <c r="D408" s="3">
        <v>5710.7</v>
      </c>
      <c r="E408" s="3">
        <v>22773.67</v>
      </c>
      <c r="F408" s="3">
        <v>15728.32</v>
      </c>
      <c r="G408" s="3">
        <v>1510.22</v>
      </c>
      <c r="H408" s="3">
        <v>2549.33</v>
      </c>
      <c r="I408" s="3">
        <v>6590.18</v>
      </c>
      <c r="J408" s="3">
        <v>50302.96</v>
      </c>
      <c r="K408" s="1">
        <v>27432.86</v>
      </c>
      <c r="L408" s="3">
        <v>2479.46</v>
      </c>
      <c r="M408" s="3">
        <v>12955.94</v>
      </c>
      <c r="N408" s="6">
        <f>VLOOKUP(A408,'[1]俄罗斯交易系统市值加权指数历史数据 (1)'!$A:$B,2,)</f>
        <v>1134.3</v>
      </c>
      <c r="O408" s="3">
        <v>5359.9</v>
      </c>
      <c r="P408" s="1">
        <v>539.9</v>
      </c>
      <c r="Q408" s="3">
        <v>9252.1200000000008</v>
      </c>
      <c r="R408" s="3">
        <v>1041.3699999999999</v>
      </c>
      <c r="S408" s="3">
        <v>10185.5</v>
      </c>
      <c r="T408" s="3">
        <v>7522.87</v>
      </c>
      <c r="U408" s="3">
        <v>3603.32</v>
      </c>
      <c r="V408" s="6" t="e">
        <f>VLOOKUP(A408,[2]韩国KOSPI指数历史数据!$A:$B,2,)</f>
        <v>#N/A</v>
      </c>
      <c r="W408" s="6">
        <f>VLOOKUP(A408,[3]日经225指数历史数据!$A:$B,2,)</f>
        <v>20690.71</v>
      </c>
      <c r="X408" s="3">
        <v>1432.9</v>
      </c>
      <c r="Y408" s="6" t="e">
        <f>VLOOKUP(A408,[4]上证指数历史数据!$A:$B,2,)</f>
        <v>#N/A</v>
      </c>
      <c r="Z408" s="6">
        <f>VLOOKUP(A408,[5]深证成份指数历史数据!$A:$B,2,)</f>
        <v>11087.19</v>
      </c>
      <c r="AA408" s="6">
        <f>VLOOKUP(A408,[6]台湾加权指数历史数据!$A:$B,2,)</f>
        <v>10532.81</v>
      </c>
      <c r="AB408" s="3">
        <v>28458.04</v>
      </c>
      <c r="AC408" s="3">
        <v>3291.29</v>
      </c>
      <c r="AD408">
        <v>9979.7000000000007</v>
      </c>
      <c r="AE408" s="5">
        <f>VLOOKUP(A408,[7]越南VN30指数历史数据!$A:$B,2,)</f>
        <v>800.42</v>
      </c>
      <c r="AF408">
        <v>51010.38</v>
      </c>
      <c r="AG408" s="9">
        <v>17602.05</v>
      </c>
      <c r="AH408">
        <v>12392.8</v>
      </c>
      <c r="AI408">
        <v>1667.38</v>
      </c>
      <c r="AJ408">
        <v>2161.67</v>
      </c>
    </row>
    <row r="409" spans="1:36" x14ac:dyDescent="0.3">
      <c r="A409" s="2">
        <v>43016</v>
      </c>
      <c r="B409" s="3">
        <v>27140.799999999999</v>
      </c>
      <c r="C409" s="4">
        <v>76990</v>
      </c>
      <c r="D409" s="3">
        <v>5814.2</v>
      </c>
      <c r="E409" s="3">
        <v>22871.72</v>
      </c>
      <c r="F409" s="3">
        <v>15807.17</v>
      </c>
      <c r="G409" s="3">
        <v>1502.66</v>
      </c>
      <c r="H409" s="3">
        <v>2553.17</v>
      </c>
      <c r="I409" s="3">
        <v>6605.8</v>
      </c>
      <c r="J409" s="3">
        <v>49981.94</v>
      </c>
      <c r="K409" s="1">
        <v>27343.11</v>
      </c>
      <c r="L409" s="3">
        <v>2528.16</v>
      </c>
      <c r="M409" s="3">
        <v>12991.87</v>
      </c>
      <c r="N409" s="6">
        <f>VLOOKUP(A409,'[1]俄罗斯交易系统市值加权指数历史数据 (1)'!$A:$B,2,)</f>
        <v>1156.6400000000001</v>
      </c>
      <c r="O409" s="3">
        <v>5351.74</v>
      </c>
      <c r="P409" s="1">
        <v>546.21</v>
      </c>
      <c r="Q409" s="3">
        <v>9311.69</v>
      </c>
      <c r="R409" s="3">
        <v>1062.26</v>
      </c>
      <c r="S409" s="3">
        <v>10258</v>
      </c>
      <c r="T409" s="3">
        <v>7535.44</v>
      </c>
      <c r="U409" s="3">
        <v>3604.55</v>
      </c>
      <c r="V409" s="6">
        <f>VLOOKUP(A409,[2]韩国KOSPI指数历史数据!$A:$B,2,)</f>
        <v>2473.62</v>
      </c>
      <c r="W409" s="6">
        <f>VLOOKUP(A409,[3]日经225指数历史数据!$A:$B,2,)</f>
        <v>21155.18</v>
      </c>
      <c r="X409" s="3">
        <v>1441.19</v>
      </c>
      <c r="Y409" s="6">
        <f>VLOOKUP(A409,[4]上证指数历史数据!$A:$B,2,)</f>
        <v>3390.52</v>
      </c>
      <c r="Z409" s="6">
        <f>VLOOKUP(A409,[5]深证成份指数历史数据!$A:$B,2,)</f>
        <v>11399.09</v>
      </c>
      <c r="AA409" s="6">
        <f>VLOOKUP(A409,[6]台湾加权指数历史数据!$A:$B,2,)</f>
        <v>10724.09</v>
      </c>
      <c r="AB409" s="3">
        <v>28476.43</v>
      </c>
      <c r="AC409" s="3">
        <v>3319.11</v>
      </c>
      <c r="AD409">
        <v>10167.450000000001</v>
      </c>
      <c r="AE409" s="5">
        <f>VLOOKUP(A409,[7]越南VN30指数历史数据!$A:$B,2,)</f>
        <v>815.47</v>
      </c>
      <c r="AF409">
        <v>51450.39</v>
      </c>
      <c r="AG409" s="9">
        <v>17742.91</v>
      </c>
      <c r="AH409">
        <v>12484.82</v>
      </c>
      <c r="AI409">
        <v>1688.19</v>
      </c>
      <c r="AJ409">
        <v>2124</v>
      </c>
    </row>
    <row r="410" spans="1:36" x14ac:dyDescent="0.3">
      <c r="A410" s="2">
        <v>43023</v>
      </c>
      <c r="B410" s="3">
        <v>26978.98</v>
      </c>
      <c r="C410" s="4">
        <v>76391</v>
      </c>
      <c r="D410" s="3">
        <v>5907</v>
      </c>
      <c r="E410" s="3">
        <v>23328.63</v>
      </c>
      <c r="F410" s="3">
        <v>15857.22</v>
      </c>
      <c r="G410" s="3">
        <v>1509.25</v>
      </c>
      <c r="H410" s="3">
        <v>2575.21</v>
      </c>
      <c r="I410" s="3">
        <v>6629.05</v>
      </c>
      <c r="J410" s="3">
        <v>49988.71</v>
      </c>
      <c r="K410" s="1">
        <v>27671.88</v>
      </c>
      <c r="L410" s="3">
        <v>2465.5100000000002</v>
      </c>
      <c r="M410" s="3">
        <v>12991.28</v>
      </c>
      <c r="N410" s="6">
        <f>VLOOKUP(A410,'[1]俄罗斯交易系统市值加权指数历史数据 (1)'!$A:$B,2,)</f>
        <v>1134.45</v>
      </c>
      <c r="O410" s="3">
        <v>5372.38</v>
      </c>
      <c r="P410" s="1">
        <v>544.63</v>
      </c>
      <c r="Q410" s="3">
        <v>9237.1299999999992</v>
      </c>
      <c r="R410" s="3">
        <v>1084.8900000000001</v>
      </c>
      <c r="S410" s="3">
        <v>10222.700000000001</v>
      </c>
      <c r="T410" s="3">
        <v>7523.23</v>
      </c>
      <c r="U410" s="3">
        <v>3605.09</v>
      </c>
      <c r="V410" s="6">
        <f>VLOOKUP(A410,[2]韩国KOSPI指数历史数据!$A:$B,2,)</f>
        <v>2489.54</v>
      </c>
      <c r="W410" s="6">
        <f>VLOOKUP(A410,[3]日经225指数历史数据!$A:$B,2,)</f>
        <v>21457.64</v>
      </c>
      <c r="X410" s="3">
        <v>1435.56</v>
      </c>
      <c r="Y410" s="6">
        <f>VLOOKUP(A410,[4]上证指数历史数据!$A:$B,2,)</f>
        <v>3378.65</v>
      </c>
      <c r="Z410" s="6">
        <f>VLOOKUP(A410,[5]深证成份指数历史数据!$A:$B,2,)</f>
        <v>11238.88</v>
      </c>
      <c r="AA410" s="6">
        <f>VLOOKUP(A410,[6]台湾加权指数历史数据!$A:$B,2,)</f>
        <v>10728.88</v>
      </c>
      <c r="AB410" s="3">
        <v>28487.24</v>
      </c>
      <c r="AC410" s="3">
        <v>3340.73</v>
      </c>
      <c r="AD410">
        <v>10146.549999999999</v>
      </c>
      <c r="AE410" s="5">
        <f>VLOOKUP(A410,[7]越南VN30指数历史数据!$A:$B,2,)</f>
        <v>813.99</v>
      </c>
      <c r="AF410">
        <v>51600.66</v>
      </c>
      <c r="AG410" s="9">
        <v>17564.939999999999</v>
      </c>
      <c r="AH410">
        <v>12306.9</v>
      </c>
      <c r="AI410">
        <v>1678.01</v>
      </c>
      <c r="AJ410">
        <v>2172.21</v>
      </c>
    </row>
    <row r="411" spans="1:36" x14ac:dyDescent="0.3">
      <c r="A411" s="2">
        <v>43030</v>
      </c>
      <c r="B411" s="3">
        <v>27479.39</v>
      </c>
      <c r="C411" s="4">
        <v>75976</v>
      </c>
      <c r="D411" s="3">
        <v>5903.2</v>
      </c>
      <c r="E411" s="3">
        <v>23434.19</v>
      </c>
      <c r="F411" s="3">
        <v>15953.51</v>
      </c>
      <c r="G411" s="3">
        <v>1508.32</v>
      </c>
      <c r="H411" s="3">
        <v>2581.0700000000002</v>
      </c>
      <c r="I411" s="3">
        <v>6701.26</v>
      </c>
      <c r="J411" s="3">
        <v>49209.58</v>
      </c>
      <c r="K411" s="1">
        <v>27657.71</v>
      </c>
      <c r="L411" s="3">
        <v>2488.5</v>
      </c>
      <c r="M411" s="3">
        <v>13217.54</v>
      </c>
      <c r="N411" s="6">
        <f>VLOOKUP(A411,'[1]俄罗斯交易系统市值加权指数历史数据 (1)'!$A:$B,2,)</f>
        <v>1118.6199999999999</v>
      </c>
      <c r="O411" s="3">
        <v>5494.13</v>
      </c>
      <c r="P411" s="1">
        <v>549.44000000000005</v>
      </c>
      <c r="Q411" s="3">
        <v>9183.42</v>
      </c>
      <c r="R411" s="3">
        <v>1078.8399999999999</v>
      </c>
      <c r="S411" s="3">
        <v>10197.5</v>
      </c>
      <c r="T411" s="3">
        <v>7505.03</v>
      </c>
      <c r="U411" s="3">
        <v>3652.23</v>
      </c>
      <c r="V411" s="6">
        <f>VLOOKUP(A411,[2]韩国KOSPI指数历史数据!$A:$B,2,)</f>
        <v>2496.63</v>
      </c>
      <c r="W411" s="6">
        <f>VLOOKUP(A411,[3]日经225指数历史数据!$A:$B,2,)</f>
        <v>22008.45</v>
      </c>
      <c r="X411" s="3">
        <v>1438.18</v>
      </c>
      <c r="Y411" s="6">
        <f>VLOOKUP(A411,[4]上证指数历史数据!$A:$B,2,)</f>
        <v>3416.81</v>
      </c>
      <c r="Z411" s="6">
        <f>VLOOKUP(A411,[5]深证成份指数历史数据!$A:$B,2,)</f>
        <v>11444.52</v>
      </c>
      <c r="AA411" s="6">
        <f>VLOOKUP(A411,[6]台湾加权指数历史数据!$A:$B,2,)</f>
        <v>10709.11</v>
      </c>
      <c r="AB411" s="3">
        <v>28438.85</v>
      </c>
      <c r="AC411" s="3">
        <v>3386.44</v>
      </c>
      <c r="AD411">
        <v>10323.049999999999</v>
      </c>
      <c r="AE411" s="5">
        <f>VLOOKUP(A411,[7]越南VN30指数历史数据!$A:$B,2,)</f>
        <v>834.91</v>
      </c>
      <c r="AF411">
        <v>52403.45</v>
      </c>
      <c r="AG411" s="9">
        <v>17969.14</v>
      </c>
      <c r="AH411">
        <v>12402.61</v>
      </c>
      <c r="AI411">
        <v>1670.3</v>
      </c>
      <c r="AJ411">
        <v>2124.02</v>
      </c>
    </row>
    <row r="412" spans="1:36" x14ac:dyDescent="0.3">
      <c r="A412" s="2">
        <v>43037</v>
      </c>
      <c r="B412" s="3">
        <v>27978.33</v>
      </c>
      <c r="C412" s="4">
        <v>73915</v>
      </c>
      <c r="D412" s="3">
        <v>5959.9</v>
      </c>
      <c r="E412" s="3">
        <v>23539.19</v>
      </c>
      <c r="F412" s="3">
        <v>16020.16</v>
      </c>
      <c r="G412" s="3">
        <v>1494.91</v>
      </c>
      <c r="H412" s="3">
        <v>2587.84</v>
      </c>
      <c r="I412" s="3">
        <v>6764.44</v>
      </c>
      <c r="J412" s="3">
        <v>48534.84</v>
      </c>
      <c r="K412" s="1">
        <v>27580.52</v>
      </c>
      <c r="L412" s="3">
        <v>2494.52</v>
      </c>
      <c r="M412" s="3">
        <v>13478.86</v>
      </c>
      <c r="N412" s="6">
        <f>VLOOKUP(A412,'[1]俄罗斯交易系统市值加权指数历史数据 (1)'!$A:$B,2,)</f>
        <v>1109.3800000000001</v>
      </c>
      <c r="O412" s="3">
        <v>5517.97</v>
      </c>
      <c r="P412" s="1">
        <v>555.15</v>
      </c>
      <c r="Q412" s="3">
        <v>9322.0499999999993</v>
      </c>
      <c r="R412" s="3">
        <v>1112.93</v>
      </c>
      <c r="S412" s="3">
        <v>10357.799999999999</v>
      </c>
      <c r="T412" s="3">
        <v>7560.35</v>
      </c>
      <c r="U412" s="3">
        <v>3689.96</v>
      </c>
      <c r="V412" s="6">
        <f>VLOOKUP(A412,[2]韩国KOSPI指数历史数据!$A:$B,2,)</f>
        <v>2557.9699999999998</v>
      </c>
      <c r="W412" s="6">
        <f>VLOOKUP(A412,[3]日经225指数历史数据!$A:$B,2,)</f>
        <v>22539.119999999999</v>
      </c>
      <c r="X412" s="3">
        <v>1427.62</v>
      </c>
      <c r="Y412" s="6">
        <f>VLOOKUP(A412,[4]上证指数历史数据!$A:$B,2,)</f>
        <v>3371.74</v>
      </c>
      <c r="Z412" s="6">
        <f>VLOOKUP(A412,[5]深证成份指数历史数据!$A:$B,2,)</f>
        <v>11215.19</v>
      </c>
      <c r="AA412" s="6">
        <f>VLOOKUP(A412,[6]台湾加权指数历史数据!$A:$B,2,)</f>
        <v>10800.77</v>
      </c>
      <c r="AB412" s="3">
        <v>28603.61</v>
      </c>
      <c r="AC412" s="3">
        <v>3382.31</v>
      </c>
      <c r="AD412">
        <v>10452.5</v>
      </c>
      <c r="AE412" s="5">
        <f>VLOOKUP(A412,[7]越南VN30指数历史数据!$A:$B,2,)</f>
        <v>840.04</v>
      </c>
      <c r="AF412">
        <v>53198.96</v>
      </c>
      <c r="AG412" s="9">
        <v>18447.57</v>
      </c>
      <c r="AH412">
        <v>12451.64</v>
      </c>
      <c r="AI412">
        <v>1685.7</v>
      </c>
      <c r="AJ412">
        <v>2101.42</v>
      </c>
    </row>
    <row r="413" spans="1:36" x14ac:dyDescent="0.3">
      <c r="A413" s="2">
        <v>43044</v>
      </c>
      <c r="B413" s="3">
        <v>27080.55</v>
      </c>
      <c r="C413" s="4">
        <v>72166</v>
      </c>
      <c r="D413" s="3">
        <v>6029.4</v>
      </c>
      <c r="E413" s="3">
        <v>23422.21</v>
      </c>
      <c r="F413" s="3">
        <v>16039.26</v>
      </c>
      <c r="G413" s="3">
        <v>1475.27</v>
      </c>
      <c r="H413" s="3">
        <v>2582.3000000000002</v>
      </c>
      <c r="I413" s="3">
        <v>6750.94</v>
      </c>
      <c r="J413" s="3">
        <v>48028.3</v>
      </c>
      <c r="K413" s="1">
        <v>27175.040000000001</v>
      </c>
      <c r="L413" s="3">
        <v>2457.62</v>
      </c>
      <c r="M413" s="3">
        <v>13127.47</v>
      </c>
      <c r="N413" s="6">
        <f>VLOOKUP(A413,'[1]俄罗斯交易系统市值加权指数历史数据 (1)'!$A:$B,2,)</f>
        <v>1156.74</v>
      </c>
      <c r="O413" s="3">
        <v>5380.72</v>
      </c>
      <c r="P413" s="1">
        <v>547.32000000000005</v>
      </c>
      <c r="Q413" s="3">
        <v>9134.16</v>
      </c>
      <c r="R413" s="3">
        <v>1089.49</v>
      </c>
      <c r="S413" s="3">
        <v>10092.700000000001</v>
      </c>
      <c r="T413" s="3">
        <v>7432.99</v>
      </c>
      <c r="U413" s="3">
        <v>3593.76</v>
      </c>
      <c r="V413" s="6">
        <f>VLOOKUP(A413,[2]韩国KOSPI指数历史数据!$A:$B,2,)</f>
        <v>2542.9499999999998</v>
      </c>
      <c r="W413" s="6">
        <f>VLOOKUP(A413,[3]日经225指数历史数据!$A:$B,2,)</f>
        <v>22681.42</v>
      </c>
      <c r="X413" s="3">
        <v>1417.35</v>
      </c>
      <c r="Y413" s="6">
        <f>VLOOKUP(A413,[4]上证指数历史数据!$A:$B,2,)</f>
        <v>3432.67</v>
      </c>
      <c r="Z413" s="6">
        <f>VLOOKUP(A413,[5]深证成份指数历史数据!$A:$B,2,)</f>
        <v>11645.05</v>
      </c>
      <c r="AA413" s="6">
        <f>VLOOKUP(A413,[6]台湾加权指数历史数据!$A:$B,2,)</f>
        <v>10732.67</v>
      </c>
      <c r="AB413" s="3">
        <v>29120.92</v>
      </c>
      <c r="AC413" s="3">
        <v>3420.1</v>
      </c>
      <c r="AD413">
        <v>10321.75</v>
      </c>
      <c r="AE413" s="5">
        <f>VLOOKUP(A413,[7]越南VN30指数历史数据!$A:$B,2,)</f>
        <v>858.55</v>
      </c>
      <c r="AF413">
        <v>53424.93</v>
      </c>
      <c r="AG413" s="9">
        <v>18515.25</v>
      </c>
      <c r="AH413">
        <v>12612.9</v>
      </c>
      <c r="AI413">
        <v>1692.4</v>
      </c>
      <c r="AJ413">
        <v>2154.88</v>
      </c>
    </row>
    <row r="414" spans="1:36" x14ac:dyDescent="0.3">
      <c r="A414" s="2">
        <v>43051</v>
      </c>
      <c r="B414" s="3">
        <v>27128.5</v>
      </c>
      <c r="C414" s="4">
        <v>73437</v>
      </c>
      <c r="D414" s="3">
        <v>5957.3</v>
      </c>
      <c r="E414" s="3">
        <v>23358.240000000002</v>
      </c>
      <c r="F414" s="3">
        <v>15998.57</v>
      </c>
      <c r="G414" s="3">
        <v>1492.82</v>
      </c>
      <c r="H414" s="3">
        <v>2578.85</v>
      </c>
      <c r="I414" s="3">
        <v>6782.79</v>
      </c>
      <c r="J414" s="3">
        <v>47857.14</v>
      </c>
      <c r="K414" s="1">
        <v>27139.759999999998</v>
      </c>
      <c r="L414" s="3">
        <v>2443.83</v>
      </c>
      <c r="M414" s="3">
        <v>12993.73</v>
      </c>
      <c r="N414" s="6">
        <f>VLOOKUP(A414,'[1]俄罗斯交易系统市值加权指数历史数据 (1)'!$A:$B,2,)</f>
        <v>1132.45</v>
      </c>
      <c r="O414" s="3">
        <v>5319.17</v>
      </c>
      <c r="P414" s="1">
        <v>536.62</v>
      </c>
      <c r="Q414" s="3">
        <v>9183.61</v>
      </c>
      <c r="R414" s="3">
        <v>1062.3900000000001</v>
      </c>
      <c r="S414" s="3">
        <v>10010.4</v>
      </c>
      <c r="T414" s="3">
        <v>7380.68</v>
      </c>
      <c r="U414" s="3">
        <v>3547.46</v>
      </c>
      <c r="V414" s="6">
        <f>VLOOKUP(A414,[2]韩国KOSPI指数历史数据!$A:$B,2,)</f>
        <v>2533.9899999999998</v>
      </c>
      <c r="W414" s="6">
        <f>VLOOKUP(A414,[3]日经225指数历史数据!$A:$B,2,)</f>
        <v>22396.799999999999</v>
      </c>
      <c r="X414" s="3">
        <v>1405.6</v>
      </c>
      <c r="Y414" s="6">
        <f>VLOOKUP(A414,[4]上证指数历史数据!$A:$B,2,)</f>
        <v>3382.91</v>
      </c>
      <c r="Z414" s="6">
        <f>VLOOKUP(A414,[5]深证成份指数历史数据!$A:$B,2,)</f>
        <v>11292.93</v>
      </c>
      <c r="AA414" s="6">
        <f>VLOOKUP(A414,[6]台湾加权指数历史数据!$A:$B,2,)</f>
        <v>10701.64</v>
      </c>
      <c r="AB414" s="3">
        <v>29199.040000000001</v>
      </c>
      <c r="AC414" s="3">
        <v>3382.38</v>
      </c>
      <c r="AD414">
        <v>10283.6</v>
      </c>
      <c r="AE414" s="5">
        <f>VLOOKUP(A414,[7]越南VN30指数历史数据!$A:$B,2,)</f>
        <v>887.41</v>
      </c>
      <c r="AF414">
        <v>53909.14</v>
      </c>
      <c r="AG414" s="9">
        <v>17983.93</v>
      </c>
      <c r="AH414">
        <v>12621.52</v>
      </c>
      <c r="AI414">
        <v>1669.17</v>
      </c>
      <c r="AJ414">
        <v>2113.1</v>
      </c>
    </row>
    <row r="415" spans="1:36" x14ac:dyDescent="0.3">
      <c r="A415" s="2">
        <v>43058</v>
      </c>
      <c r="B415" s="3">
        <v>27464.78</v>
      </c>
      <c r="C415" s="4">
        <v>74157</v>
      </c>
      <c r="D415" s="3">
        <v>5982.6</v>
      </c>
      <c r="E415" s="3">
        <v>23557.99</v>
      </c>
      <c r="F415" s="3">
        <v>16108.09</v>
      </c>
      <c r="G415" s="3">
        <v>1519.16</v>
      </c>
      <c r="H415" s="3">
        <v>2602.42</v>
      </c>
      <c r="I415" s="3">
        <v>6889.16</v>
      </c>
      <c r="J415" s="3">
        <v>47941.88</v>
      </c>
      <c r="K415" s="1">
        <v>25366.799999999999</v>
      </c>
      <c r="L415" s="3">
        <v>2479.25</v>
      </c>
      <c r="M415" s="3">
        <v>13059.84</v>
      </c>
      <c r="N415" s="6">
        <f>VLOOKUP(A415,'[1]俄罗斯交易系统市值加权指数历史数据 (1)'!$A:$B,2,)</f>
        <v>1166.0899999999999</v>
      </c>
      <c r="O415" s="3">
        <v>5390.46</v>
      </c>
      <c r="P415" s="1">
        <v>540.63</v>
      </c>
      <c r="Q415" s="3">
        <v>9325.6</v>
      </c>
      <c r="R415" s="3">
        <v>1045.3900000000001</v>
      </c>
      <c r="S415" s="3">
        <v>10053.5</v>
      </c>
      <c r="T415" s="3">
        <v>7409.64</v>
      </c>
      <c r="U415" s="3">
        <v>3581.23</v>
      </c>
      <c r="V415" s="6">
        <f>VLOOKUP(A415,[2]韩国KOSPI指数历史数据!$A:$B,2,)</f>
        <v>2544.33</v>
      </c>
      <c r="W415" s="6">
        <f>VLOOKUP(A415,[3]日经225指数历史数据!$A:$B,2,)</f>
        <v>22550.85</v>
      </c>
      <c r="X415" s="3">
        <v>1432.71</v>
      </c>
      <c r="Y415" s="6">
        <f>VLOOKUP(A415,[4]上证指数历史数据!$A:$B,2,)</f>
        <v>3353.82</v>
      </c>
      <c r="Z415" s="6">
        <f>VLOOKUP(A415,[5]深证成份指数历史数据!$A:$B,2,)</f>
        <v>11168.39</v>
      </c>
      <c r="AA415" s="6">
        <f>VLOOKUP(A415,[6]台湾加权指数历史数据!$A:$B,2,)</f>
        <v>10854.09</v>
      </c>
      <c r="AB415" s="3">
        <v>29866.32</v>
      </c>
      <c r="AC415" s="3">
        <v>3442.15</v>
      </c>
      <c r="AD415">
        <v>10389.700000000001</v>
      </c>
      <c r="AE415" s="5">
        <f>VLOOKUP(A415,[7]越南VN30指数历史数据!$A:$B,2,)</f>
        <v>926.21</v>
      </c>
      <c r="AF415">
        <v>53998.14</v>
      </c>
      <c r="AG415" s="9">
        <v>18403.98</v>
      </c>
      <c r="AH415">
        <v>12572.3</v>
      </c>
      <c r="AI415">
        <v>1691.7</v>
      </c>
      <c r="AJ415">
        <v>2156.0100000000002</v>
      </c>
    </row>
    <row r="416" spans="1:36" x14ac:dyDescent="0.3">
      <c r="A416" s="2">
        <v>43065</v>
      </c>
      <c r="B416" s="3">
        <v>26941.63</v>
      </c>
      <c r="C416" s="4">
        <v>72264</v>
      </c>
      <c r="D416" s="3">
        <v>5989.8</v>
      </c>
      <c r="E416" s="3">
        <v>24231.59</v>
      </c>
      <c r="F416" s="3">
        <v>16038.97</v>
      </c>
      <c r="G416" s="3">
        <v>1537.02</v>
      </c>
      <c r="H416" s="3">
        <v>2642.22</v>
      </c>
      <c r="I416" s="3">
        <v>6847.59</v>
      </c>
      <c r="J416" s="3">
        <v>47265.31</v>
      </c>
      <c r="K416" s="1">
        <v>25274.71</v>
      </c>
      <c r="L416" s="3">
        <v>2389.92</v>
      </c>
      <c r="M416" s="3">
        <v>12861.49</v>
      </c>
      <c r="N416" s="6">
        <f>VLOOKUP(A416,'[1]俄罗斯交易系统市值加权指数历史数据 (1)'!$A:$B,2,)</f>
        <v>1133.33</v>
      </c>
      <c r="O416" s="3">
        <v>5316.89</v>
      </c>
      <c r="P416" s="1">
        <v>535.57000000000005</v>
      </c>
      <c r="Q416" s="3">
        <v>9274.5499999999993</v>
      </c>
      <c r="R416" s="3">
        <v>1035.5899999999999</v>
      </c>
      <c r="S416" s="3">
        <v>10085</v>
      </c>
      <c r="T416" s="3">
        <v>7300.49</v>
      </c>
      <c r="U416" s="3">
        <v>3527.55</v>
      </c>
      <c r="V416" s="6">
        <f>VLOOKUP(A416,[2]韩国KOSPI指数历史数据!$A:$B,2,)</f>
        <v>2475.41</v>
      </c>
      <c r="W416" s="6">
        <f>VLOOKUP(A416,[3]日经225指数历史数据!$A:$B,2,)</f>
        <v>22819.03</v>
      </c>
      <c r="X416" s="3">
        <v>1455.32</v>
      </c>
      <c r="Y416" s="6">
        <f>VLOOKUP(A416,[4]上证指数历史数据!$A:$B,2,)</f>
        <v>3317.62</v>
      </c>
      <c r="Z416" s="6">
        <f>VLOOKUP(A416,[5]深证成份指数历史数据!$A:$B,2,)</f>
        <v>11013.15</v>
      </c>
      <c r="AA416" s="6">
        <f>VLOOKUP(A416,[6]台湾加权指数历史数据!$A:$B,2,)</f>
        <v>10600.37</v>
      </c>
      <c r="AB416" s="3">
        <v>29074.240000000002</v>
      </c>
      <c r="AC416" s="3">
        <v>3449.54</v>
      </c>
      <c r="AD416">
        <v>10121.799999999999</v>
      </c>
      <c r="AE416" s="5">
        <f>VLOOKUP(A416,[7]越南VN30指数历史数据!$A:$B,2,)</f>
        <v>952.46</v>
      </c>
      <c r="AF416">
        <v>52888.36</v>
      </c>
      <c r="AG416" s="9">
        <v>19076.830000000002</v>
      </c>
      <c r="AH416">
        <v>12568.42</v>
      </c>
      <c r="AI416">
        <v>1715.18</v>
      </c>
      <c r="AJ416">
        <v>2207.27</v>
      </c>
    </row>
    <row r="417" spans="1:36" x14ac:dyDescent="0.3">
      <c r="A417" s="2">
        <v>43072</v>
      </c>
      <c r="B417" s="3">
        <v>26841.5</v>
      </c>
      <c r="C417" s="4">
        <v>72732</v>
      </c>
      <c r="D417" s="3">
        <v>5994.4</v>
      </c>
      <c r="E417" s="3">
        <v>24329.16</v>
      </c>
      <c r="F417" s="3">
        <v>16096.07</v>
      </c>
      <c r="G417" s="3">
        <v>1521.72</v>
      </c>
      <c r="H417" s="3">
        <v>2651.5</v>
      </c>
      <c r="I417" s="3">
        <v>6840.08</v>
      </c>
      <c r="J417" s="3">
        <v>47572.86</v>
      </c>
      <c r="K417" s="1">
        <v>24616.07</v>
      </c>
      <c r="L417" s="3">
        <v>2408.83</v>
      </c>
      <c r="M417" s="3">
        <v>13153.7</v>
      </c>
      <c r="N417" s="6">
        <f>VLOOKUP(A417,'[1]俄罗斯交易系统市值加权指数历史数据 (1)'!$A:$B,2,)</f>
        <v>1119.54</v>
      </c>
      <c r="O417" s="3">
        <v>5399.09</v>
      </c>
      <c r="P417" s="1">
        <v>547.22</v>
      </c>
      <c r="Q417" s="3">
        <v>9319.16</v>
      </c>
      <c r="R417" s="3">
        <v>1079.21</v>
      </c>
      <c r="S417" s="3">
        <v>10321.1</v>
      </c>
      <c r="T417" s="3">
        <v>7393.96</v>
      </c>
      <c r="U417" s="3">
        <v>3591.45</v>
      </c>
      <c r="V417" s="6">
        <f>VLOOKUP(A417,[2]韩国KOSPI指数历史数据!$A:$B,2,)</f>
        <v>2464</v>
      </c>
      <c r="W417" s="6">
        <f>VLOOKUP(A417,[3]日经225指数历史数据!$A:$B,2,)</f>
        <v>22811.08</v>
      </c>
      <c r="X417" s="3">
        <v>1445.68</v>
      </c>
      <c r="Y417" s="6">
        <f>VLOOKUP(A417,[4]上证指数历史数据!$A:$B,2,)</f>
        <v>3289.99</v>
      </c>
      <c r="Z417" s="6">
        <f>VLOOKUP(A417,[5]深证成份指数历史数据!$A:$B,2,)</f>
        <v>10935.06</v>
      </c>
      <c r="AA417" s="6">
        <f>VLOOKUP(A417,[6]台湾加权指数历史数据!$A:$B,2,)</f>
        <v>10398.620000000001</v>
      </c>
      <c r="AB417" s="3">
        <v>28639.85</v>
      </c>
      <c r="AC417" s="3">
        <v>3424.64</v>
      </c>
      <c r="AD417">
        <v>10265.65</v>
      </c>
      <c r="AE417" s="5">
        <f>VLOOKUP(A417,[7]越南VN30指数历史数据!$A:$B,2,)</f>
        <v>930.25</v>
      </c>
      <c r="AF417">
        <v>51671.17</v>
      </c>
      <c r="AG417" s="9">
        <v>18778.59</v>
      </c>
      <c r="AH417">
        <v>12386.9</v>
      </c>
      <c r="AI417">
        <v>1785.27</v>
      </c>
      <c r="AJ417">
        <v>2162.27</v>
      </c>
    </row>
    <row r="418" spans="1:36" x14ac:dyDescent="0.3">
      <c r="A418" s="2">
        <v>43079</v>
      </c>
      <c r="B418" s="3">
        <v>27021.94</v>
      </c>
      <c r="C418" s="4">
        <v>72608</v>
      </c>
      <c r="D418" s="3">
        <v>5997</v>
      </c>
      <c r="E418" s="3">
        <v>24651.74</v>
      </c>
      <c r="F418" s="3">
        <v>16041.98</v>
      </c>
      <c r="G418" s="3">
        <v>1530.42</v>
      </c>
      <c r="H418" s="3">
        <v>2675.81</v>
      </c>
      <c r="I418" s="3">
        <v>6936.58</v>
      </c>
      <c r="J418" s="3">
        <v>48081.55</v>
      </c>
      <c r="K418" s="1">
        <v>26234.79</v>
      </c>
      <c r="L418" s="3">
        <v>2416.9499999999998</v>
      </c>
      <c r="M418" s="3">
        <v>13103.56</v>
      </c>
      <c r="N418" s="6">
        <f>VLOOKUP(A418,'[1]俄罗斯交易系统市值加权指数历史数据 (1)'!$A:$B,2,)</f>
        <v>1148.27</v>
      </c>
      <c r="O418" s="3">
        <v>5349.3</v>
      </c>
      <c r="P418" s="1">
        <v>548.66999999999996</v>
      </c>
      <c r="Q418" s="3">
        <v>9394.7099999999991</v>
      </c>
      <c r="R418" s="3">
        <v>1093.3</v>
      </c>
      <c r="S418" s="3">
        <v>10150.4</v>
      </c>
      <c r="T418" s="3">
        <v>7490.57</v>
      </c>
      <c r="U418" s="3">
        <v>3560.53</v>
      </c>
      <c r="V418" s="6">
        <f>VLOOKUP(A418,[2]韩国KOSPI指数历史数据!$A:$B,2,)</f>
        <v>2482.0700000000002</v>
      </c>
      <c r="W418" s="6">
        <f>VLOOKUP(A418,[3]日经225指数历史数据!$A:$B,2,)</f>
        <v>22553.22</v>
      </c>
      <c r="X418" s="3">
        <v>1461.34</v>
      </c>
      <c r="Y418" s="6">
        <f>VLOOKUP(A418,[4]上证指数历史数据!$A:$B,2,)</f>
        <v>3266.14</v>
      </c>
      <c r="Z418" s="6">
        <f>VLOOKUP(A418,[5]深证成份指数历史数据!$A:$B,2,)</f>
        <v>10998.12</v>
      </c>
      <c r="AA418" s="6">
        <f>VLOOKUP(A418,[6]台湾加权指数历史数据!$A:$B,2,)</f>
        <v>10491.44</v>
      </c>
      <c r="AB418" s="3">
        <v>28848.11</v>
      </c>
      <c r="AC418" s="3">
        <v>3416.94</v>
      </c>
      <c r="AD418">
        <v>10333.25</v>
      </c>
      <c r="AE418" s="5">
        <f>VLOOKUP(A418,[7]越南VN30指数历史数据!$A:$B,2,)</f>
        <v>926.7</v>
      </c>
      <c r="AF418">
        <v>50953.23</v>
      </c>
      <c r="AG418" s="9">
        <v>19318.189999999999</v>
      </c>
      <c r="AH418">
        <v>12384.04</v>
      </c>
      <c r="AI418">
        <v>1746.39</v>
      </c>
      <c r="AJ418">
        <v>2188.39</v>
      </c>
    </row>
    <row r="419" spans="1:36" x14ac:dyDescent="0.3">
      <c r="A419" s="2">
        <v>43086</v>
      </c>
      <c r="B419" s="3">
        <v>28931.54</v>
      </c>
      <c r="C419" s="4">
        <v>75187</v>
      </c>
      <c r="D419" s="3">
        <v>6069.7</v>
      </c>
      <c r="E419" s="3">
        <v>24754.06</v>
      </c>
      <c r="F419" s="3">
        <v>16165.27</v>
      </c>
      <c r="G419" s="3">
        <v>1542.93</v>
      </c>
      <c r="H419" s="3">
        <v>2683.34</v>
      </c>
      <c r="I419" s="3">
        <v>6959.96</v>
      </c>
      <c r="J419" s="3">
        <v>48387.93</v>
      </c>
      <c r="K419" s="1">
        <v>27851.01</v>
      </c>
      <c r="L419" s="3">
        <v>2445.65</v>
      </c>
      <c r="M419" s="3">
        <v>13072.79</v>
      </c>
      <c r="N419" s="6">
        <f>VLOOKUP(A419,'[1]俄罗斯交易系统市值加权指数历史数据 (1)'!$A:$B,2,)</f>
        <v>1135.7</v>
      </c>
      <c r="O419" s="3">
        <v>5364.72</v>
      </c>
      <c r="P419" s="1">
        <v>548.48</v>
      </c>
      <c r="Q419" s="3">
        <v>9394.49</v>
      </c>
      <c r="R419" s="3">
        <v>1110.99</v>
      </c>
      <c r="S419" s="3">
        <v>10182</v>
      </c>
      <c r="T419" s="3">
        <v>7592.66</v>
      </c>
      <c r="U419" s="3">
        <v>3553.39</v>
      </c>
      <c r="V419" s="6">
        <f>VLOOKUP(A419,[2]韩国KOSPI指数历史数据!$A:$B,2,)</f>
        <v>2440.54</v>
      </c>
      <c r="W419" s="6">
        <f>VLOOKUP(A419,[3]日经225指数历史数据!$A:$B,2,)</f>
        <v>22902.76</v>
      </c>
      <c r="X419" s="3">
        <v>1486.94</v>
      </c>
      <c r="Y419" s="6">
        <f>VLOOKUP(A419,[4]上证指数历史数据!$A:$B,2,)</f>
        <v>3297.06</v>
      </c>
      <c r="Z419" s="6">
        <f>VLOOKUP(A419,[5]深证成份指数历史数据!$A:$B,2,)</f>
        <v>11094.16</v>
      </c>
      <c r="AA419" s="6">
        <f>VLOOKUP(A419,[6]台湾加权指数历史数据!$A:$B,2,)</f>
        <v>10537.27</v>
      </c>
      <c r="AB419" s="3">
        <v>29578.01</v>
      </c>
      <c r="AC419" s="3">
        <v>3385.71</v>
      </c>
      <c r="AD419">
        <v>10493</v>
      </c>
      <c r="AE419" s="5">
        <f>VLOOKUP(A419,[7]越南VN30指数历史数据!$A:$B,2,)</f>
        <v>945.88</v>
      </c>
      <c r="AF419">
        <v>52063.77</v>
      </c>
      <c r="AG419" s="9">
        <v>19311.04</v>
      </c>
      <c r="AH419">
        <v>12174.96</v>
      </c>
      <c r="AI419">
        <v>1751.43</v>
      </c>
      <c r="AJ419">
        <v>2389.11</v>
      </c>
    </row>
    <row r="420" spans="1:36" x14ac:dyDescent="0.3">
      <c r="A420" s="2">
        <v>43093</v>
      </c>
      <c r="B420" s="3">
        <v>30065.61</v>
      </c>
      <c r="C420" s="4">
        <v>76402</v>
      </c>
      <c r="D420" s="3">
        <v>6065.1</v>
      </c>
      <c r="E420" s="3">
        <v>24719.22</v>
      </c>
      <c r="F420" s="3">
        <v>16209.13</v>
      </c>
      <c r="G420" s="3">
        <v>1535.51</v>
      </c>
      <c r="H420" s="3">
        <v>2673.61</v>
      </c>
      <c r="I420" s="3">
        <v>6903.39</v>
      </c>
      <c r="J420" s="3">
        <v>49354.42</v>
      </c>
      <c r="K420" s="1">
        <v>27980.78</v>
      </c>
      <c r="L420" s="3">
        <v>2461.21</v>
      </c>
      <c r="M420" s="3">
        <v>12917.64</v>
      </c>
      <c r="N420" s="6">
        <f>VLOOKUP(A420,'[1]俄罗斯交易系统市值加权指数历史数据 (1)'!$A:$B,2,)</f>
        <v>1154.43</v>
      </c>
      <c r="O420" s="3">
        <v>5312.56</v>
      </c>
      <c r="P420" s="1">
        <v>544.58000000000004</v>
      </c>
      <c r="Q420" s="3">
        <v>9381.8700000000008</v>
      </c>
      <c r="R420" s="3">
        <v>1153.33</v>
      </c>
      <c r="S420" s="3">
        <v>10043.9</v>
      </c>
      <c r="T420" s="3">
        <v>7687.77</v>
      </c>
      <c r="U420" s="3">
        <v>3503.96</v>
      </c>
      <c r="V420" s="6">
        <f>VLOOKUP(A420,[2]韩国KOSPI指数历史数据!$A:$B,2,)</f>
        <v>2467.4899999999998</v>
      </c>
      <c r="W420" s="6">
        <f>VLOOKUP(A420,[3]日经225指数历史数据!$A:$B,2,)</f>
        <v>22764.94</v>
      </c>
      <c r="X420" s="3">
        <v>1512.48</v>
      </c>
      <c r="Y420" s="6">
        <f>VLOOKUP(A420,[4]上证指数历史数据!$A:$B,2,)</f>
        <v>3307.17</v>
      </c>
      <c r="Z420" s="6">
        <f>VLOOKUP(A420,[5]深证成份指数历史数据!$A:$B,2,)</f>
        <v>11040.45</v>
      </c>
      <c r="AA420" s="6">
        <f>VLOOKUP(A420,[6]台湾加权指数历史数据!$A:$B,2,)</f>
        <v>10642.86</v>
      </c>
      <c r="AB420" s="3">
        <v>29919.15</v>
      </c>
      <c r="AC420" s="3">
        <v>3402.92</v>
      </c>
      <c r="AD420">
        <v>10530.7</v>
      </c>
      <c r="AE420" s="5">
        <f>VLOOKUP(A420,[7]越南VN30指数历史数据!$A:$B,2,)</f>
        <v>975.52</v>
      </c>
      <c r="AF420">
        <v>52533.04</v>
      </c>
      <c r="AG420" s="9">
        <v>19653.55</v>
      </c>
      <c r="AH420">
        <v>12388.82</v>
      </c>
      <c r="AI420">
        <v>1746.68</v>
      </c>
      <c r="AJ420">
        <v>2396.23</v>
      </c>
    </row>
    <row r="421" spans="1:36" x14ac:dyDescent="0.3">
      <c r="A421" s="2">
        <v>43100</v>
      </c>
      <c r="B421" s="3">
        <v>32190.3</v>
      </c>
      <c r="C421" s="4">
        <v>79071</v>
      </c>
      <c r="D421" s="3">
        <v>6122.3</v>
      </c>
      <c r="E421" s="3">
        <v>25295.87</v>
      </c>
      <c r="F421" s="3">
        <v>16349.44</v>
      </c>
      <c r="G421" s="3">
        <v>1560.01</v>
      </c>
      <c r="H421" s="3">
        <v>2743.15</v>
      </c>
      <c r="I421" s="3">
        <v>7136.56</v>
      </c>
      <c r="J421" s="3">
        <v>49887.74</v>
      </c>
      <c r="K421" s="1">
        <v>28636.41</v>
      </c>
      <c r="L421" s="3">
        <v>2529.5500000000002</v>
      </c>
      <c r="M421" s="3">
        <v>13319.64</v>
      </c>
      <c r="N421" s="6">
        <f>VLOOKUP(A421,'[1]俄罗斯交易系统市值加权指数历史数据 (1)'!$A:$B,2,)</f>
        <v>1219.8900000000001</v>
      </c>
      <c r="O421" s="3">
        <v>5470.75</v>
      </c>
      <c r="P421" s="1">
        <v>558.16</v>
      </c>
      <c r="Q421" s="3">
        <v>9556.98</v>
      </c>
      <c r="R421" s="3">
        <v>1166.3800000000001</v>
      </c>
      <c r="S421" s="3">
        <v>10411.4</v>
      </c>
      <c r="T421" s="3">
        <v>7724.22</v>
      </c>
      <c r="U421" s="3">
        <v>3607.63</v>
      </c>
      <c r="V421" s="6">
        <f>VLOOKUP(A421,[2]韩国KOSPI指数历史数据!$A:$B,2,)</f>
        <v>2497.52</v>
      </c>
      <c r="W421" s="6">
        <f>VLOOKUP(A421,[3]日经225指数历史数据!$A:$B,2,)</f>
        <v>23714.53</v>
      </c>
      <c r="X421" s="3">
        <v>1535.89</v>
      </c>
      <c r="Y421" s="6">
        <f>VLOOKUP(A421,[4]上证指数历史数据!$A:$B,2,)</f>
        <v>3391.75</v>
      </c>
      <c r="Z421" s="6">
        <f>VLOOKUP(A421,[5]深证成份指数历史数据!$A:$B,2,)</f>
        <v>11342.85</v>
      </c>
      <c r="AA421" s="6">
        <f>VLOOKUP(A421,[6]台湾加权指数历史数据!$A:$B,2,)</f>
        <v>10879.8</v>
      </c>
      <c r="AB421" s="3">
        <v>30814.639999999999</v>
      </c>
      <c r="AC421" s="3">
        <v>3489.45</v>
      </c>
      <c r="AD421">
        <v>10558.85</v>
      </c>
      <c r="AE421" s="5">
        <f>VLOOKUP(A421,[7]越南VN30指数历史数据!$A:$B,2,)</f>
        <v>1007.73</v>
      </c>
      <c r="AF421">
        <v>52842.68</v>
      </c>
      <c r="AG421" s="9">
        <v>19389.07</v>
      </c>
      <c r="AH421">
        <v>12537.75</v>
      </c>
      <c r="AI421">
        <v>1789.57</v>
      </c>
      <c r="AJ421">
        <v>2389.59</v>
      </c>
    </row>
    <row r="422" spans="1:36" x14ac:dyDescent="0.3">
      <c r="A422" s="2">
        <v>43107</v>
      </c>
      <c r="B422" s="3">
        <v>32719.7</v>
      </c>
      <c r="C422" s="4">
        <v>79349</v>
      </c>
      <c r="D422" s="3">
        <v>6070.1</v>
      </c>
      <c r="E422" s="3">
        <v>25803.19</v>
      </c>
      <c r="F422" s="3">
        <v>16308.18</v>
      </c>
      <c r="G422" s="3">
        <v>1591.97</v>
      </c>
      <c r="H422" s="3">
        <v>2786.24</v>
      </c>
      <c r="I422" s="3">
        <v>7261.06</v>
      </c>
      <c r="J422" s="3">
        <v>49135.91</v>
      </c>
      <c r="K422" s="1">
        <v>28829.85</v>
      </c>
      <c r="L422" s="3">
        <v>2539.29</v>
      </c>
      <c r="M422" s="3">
        <v>13245.03</v>
      </c>
      <c r="N422" s="6">
        <f>VLOOKUP(A422,'[1]俄罗斯交易系统市值加权指数历史数据 (1)'!$A:$B,2,)</f>
        <v>1261.07</v>
      </c>
      <c r="O422" s="3">
        <v>5517.06</v>
      </c>
      <c r="P422" s="1">
        <v>561.1</v>
      </c>
      <c r="Q422" s="3">
        <v>9546.61</v>
      </c>
      <c r="R422" s="3">
        <v>1146.45</v>
      </c>
      <c r="S422" s="3">
        <v>10462.4</v>
      </c>
      <c r="T422" s="3">
        <v>7778.64</v>
      </c>
      <c r="U422" s="3">
        <v>3612.61</v>
      </c>
      <c r="V422" s="6">
        <f>VLOOKUP(A422,[2]韩国KOSPI指数历史数据!$A:$B,2,)</f>
        <v>2496.42</v>
      </c>
      <c r="W422" s="6">
        <f>VLOOKUP(A422,[3]日经225指数历史数据!$A:$B,2,)</f>
        <v>23653.82</v>
      </c>
      <c r="X422" s="3">
        <v>1531.65</v>
      </c>
      <c r="Y422" s="6">
        <f>VLOOKUP(A422,[4]上证指数历史数据!$A:$B,2,)</f>
        <v>3428.94</v>
      </c>
      <c r="Z422" s="6">
        <f>VLOOKUP(A422,[5]深证成份指数历史数据!$A:$B,2,)</f>
        <v>11461.99</v>
      </c>
      <c r="AA422" s="6">
        <f>VLOOKUP(A422,[6]台湾加权指数历史数据!$A:$B,2,)</f>
        <v>10883.96</v>
      </c>
      <c r="AB422" s="3">
        <v>31412.54</v>
      </c>
      <c r="AC422" s="3">
        <v>3520.56</v>
      </c>
      <c r="AD422">
        <v>10681.25</v>
      </c>
      <c r="AE422" s="5">
        <f>VLOOKUP(A422,[7]越南VN30指数历史数据!$A:$B,2,)</f>
        <v>1049.8599999999999</v>
      </c>
      <c r="AF422">
        <v>53296.1</v>
      </c>
      <c r="AG422" s="9">
        <v>19859.02</v>
      </c>
      <c r="AH422">
        <v>12666.4</v>
      </c>
      <c r="AI422">
        <v>1967.4</v>
      </c>
      <c r="AJ422">
        <v>2360.12</v>
      </c>
    </row>
    <row r="423" spans="1:36" x14ac:dyDescent="0.3">
      <c r="A423" s="2">
        <v>43114</v>
      </c>
      <c r="B423" s="3">
        <v>33591.699999999997</v>
      </c>
      <c r="C423" s="4">
        <v>81220</v>
      </c>
      <c r="D423" s="3">
        <v>6005.8</v>
      </c>
      <c r="E423" s="3">
        <v>26071.72</v>
      </c>
      <c r="F423" s="3">
        <v>16353.46</v>
      </c>
      <c r="G423" s="3">
        <v>1597.63</v>
      </c>
      <c r="H423" s="3">
        <v>2810.3</v>
      </c>
      <c r="I423" s="3">
        <v>7336.38</v>
      </c>
      <c r="J423" s="3">
        <v>49695.56</v>
      </c>
      <c r="K423" s="1">
        <v>29402.17</v>
      </c>
      <c r="L423" s="3">
        <v>2601.8200000000002</v>
      </c>
      <c r="M423" s="3">
        <v>13434.45</v>
      </c>
      <c r="N423" s="6">
        <f>VLOOKUP(A423,'[1]俄罗斯交易系统市值加权指数历史数据 (1)'!$A:$B,2,)</f>
        <v>1270.92</v>
      </c>
      <c r="O423" s="3">
        <v>5526.51</v>
      </c>
      <c r="P423" s="1">
        <v>569.29999999999995</v>
      </c>
      <c r="Q423" s="3">
        <v>9509.77</v>
      </c>
      <c r="R423" s="3">
        <v>1151.47</v>
      </c>
      <c r="S423" s="3">
        <v>10479.5</v>
      </c>
      <c r="T423" s="3">
        <v>7730.79</v>
      </c>
      <c r="U423" s="3">
        <v>3649.07</v>
      </c>
      <c r="V423" s="6">
        <f>VLOOKUP(A423,[2]韩国KOSPI指数历史数据!$A:$B,2,)</f>
        <v>2520.2600000000002</v>
      </c>
      <c r="W423" s="6">
        <f>VLOOKUP(A423,[3]日经225指数历史数据!$A:$B,2,)</f>
        <v>23808.06</v>
      </c>
      <c r="X423" s="3">
        <v>1533.58</v>
      </c>
      <c r="Y423" s="6">
        <f>VLOOKUP(A423,[4]上证指数历史数据!$A:$B,2,)</f>
        <v>3487.86</v>
      </c>
      <c r="Z423" s="6">
        <f>VLOOKUP(A423,[5]深证成份指数历史数据!$A:$B,2,)</f>
        <v>11296.27</v>
      </c>
      <c r="AA423" s="6">
        <f>VLOOKUP(A423,[6]台湾加权指数历史数据!$A:$B,2,)</f>
        <v>11150.85</v>
      </c>
      <c r="AB423" s="3">
        <v>32254.89</v>
      </c>
      <c r="AC423" s="3">
        <v>3550.36</v>
      </c>
      <c r="AD423">
        <v>10894.7</v>
      </c>
      <c r="AE423" s="5">
        <f>VLOOKUP(A423,[7]越南VN30指数历史数据!$A:$B,2,)</f>
        <v>1053.47</v>
      </c>
      <c r="AF423">
        <v>54058.74</v>
      </c>
      <c r="AG423" s="9">
        <v>20195.5</v>
      </c>
      <c r="AH423">
        <v>12950.73</v>
      </c>
      <c r="AI423">
        <v>2062.61</v>
      </c>
      <c r="AJ423">
        <v>2377.15</v>
      </c>
    </row>
    <row r="424" spans="1:36" x14ac:dyDescent="0.3">
      <c r="A424" s="2">
        <v>43121</v>
      </c>
      <c r="B424" s="3">
        <v>35126.22</v>
      </c>
      <c r="C424" s="4">
        <v>85531</v>
      </c>
      <c r="D424" s="3">
        <v>6050</v>
      </c>
      <c r="E424" s="3">
        <v>26616.71</v>
      </c>
      <c r="F424" s="3">
        <v>16239.22</v>
      </c>
      <c r="G424" s="3">
        <v>1608.06</v>
      </c>
      <c r="H424" s="3">
        <v>2872.87</v>
      </c>
      <c r="I424" s="3">
        <v>7505.77</v>
      </c>
      <c r="J424" s="3">
        <v>51065.49</v>
      </c>
      <c r="K424" s="1">
        <v>29413.5</v>
      </c>
      <c r="L424" s="3">
        <v>2600.48</v>
      </c>
      <c r="M424" s="3">
        <v>13340.17</v>
      </c>
      <c r="N424" s="6">
        <f>VLOOKUP(A424,'[1]俄罗斯交易系统市值加权指数历史数据 (1)'!$A:$B,2,)</f>
        <v>1286.7</v>
      </c>
      <c r="O424" s="3">
        <v>5529.15</v>
      </c>
      <c r="P424" s="1">
        <v>566.79</v>
      </c>
      <c r="Q424" s="3">
        <v>9515.56</v>
      </c>
      <c r="R424" s="3">
        <v>1207.02</v>
      </c>
      <c r="S424" s="3">
        <v>10595.4</v>
      </c>
      <c r="T424" s="3">
        <v>7665.54</v>
      </c>
      <c r="U424" s="3">
        <v>3647.41</v>
      </c>
      <c r="V424" s="6">
        <f>VLOOKUP(A424,[2]韩国KOSPI指数历史数据!$A:$B,2,)</f>
        <v>2574.7600000000002</v>
      </c>
      <c r="W424" s="6">
        <f>VLOOKUP(A424,[3]日经225指数历史数据!$A:$B,2,)</f>
        <v>23631.88</v>
      </c>
      <c r="X424" s="3">
        <v>1543.13</v>
      </c>
      <c r="Y424" s="6">
        <f>VLOOKUP(A424,[4]上证指数历史数据!$A:$B,2,)</f>
        <v>3558.13</v>
      </c>
      <c r="Z424" s="6">
        <f>VLOOKUP(A424,[5]深证成份指数历史数据!$A:$B,2,)</f>
        <v>11557.82</v>
      </c>
      <c r="AA424" s="6">
        <f>VLOOKUP(A424,[6]台湾加权指数历史数据!$A:$B,2,)</f>
        <v>11147.1</v>
      </c>
      <c r="AB424" s="3">
        <v>33154.120000000003</v>
      </c>
      <c r="AC424" s="3">
        <v>3567.14</v>
      </c>
      <c r="AD424">
        <v>11069.65</v>
      </c>
      <c r="AE424" s="5">
        <f>VLOOKUP(A424,[7]越南VN30指数历史数据!$A:$B,2,)</f>
        <v>1104.42</v>
      </c>
      <c r="AF424">
        <v>54530.63</v>
      </c>
      <c r="AG424" s="9">
        <v>19840.599999999999</v>
      </c>
      <c r="AH424">
        <v>13010.56</v>
      </c>
      <c r="AI424">
        <v>2002.02</v>
      </c>
      <c r="AJ424">
        <v>2378.12</v>
      </c>
    </row>
    <row r="425" spans="1:36" x14ac:dyDescent="0.3">
      <c r="A425" s="2">
        <v>43128</v>
      </c>
      <c r="B425" s="3">
        <v>32614.77</v>
      </c>
      <c r="C425" s="4">
        <v>84041</v>
      </c>
      <c r="D425" s="3">
        <v>6121.4</v>
      </c>
      <c r="E425" s="3">
        <v>25520.959999999999</v>
      </c>
      <c r="F425" s="3">
        <v>15606.03</v>
      </c>
      <c r="G425" s="3">
        <v>1547.27</v>
      </c>
      <c r="H425" s="3">
        <v>2762.13</v>
      </c>
      <c r="I425" s="3">
        <v>7240.95</v>
      </c>
      <c r="J425" s="3">
        <v>50395.83</v>
      </c>
      <c r="K425" s="1">
        <v>29293.29</v>
      </c>
      <c r="L425" s="3">
        <v>2507.2399999999998</v>
      </c>
      <c r="M425" s="3">
        <v>12785.16</v>
      </c>
      <c r="N425" s="6">
        <f>VLOOKUP(A425,'[1]俄罗斯交易系统市值加权指数历史数据 (1)'!$A:$B,2,)</f>
        <v>1272.76</v>
      </c>
      <c r="O425" s="3">
        <v>5364.98</v>
      </c>
      <c r="P425" s="1">
        <v>550.08000000000004</v>
      </c>
      <c r="Q425" s="3">
        <v>9220.69</v>
      </c>
      <c r="R425" s="3">
        <v>1181.19</v>
      </c>
      <c r="S425" s="3">
        <v>10211.200000000001</v>
      </c>
      <c r="T425" s="3">
        <v>7443.43</v>
      </c>
      <c r="U425" s="3">
        <v>3523.28</v>
      </c>
      <c r="V425" s="6">
        <f>VLOOKUP(A425,[2]韩国KOSPI指数历史数据!$A:$B,2,)</f>
        <v>2525.39</v>
      </c>
      <c r="W425" s="6">
        <f>VLOOKUP(A425,[3]日经225指数历史数据!$A:$B,2,)</f>
        <v>23274.53</v>
      </c>
      <c r="X425" s="3">
        <v>1540.28</v>
      </c>
      <c r="Y425" s="6">
        <f>VLOOKUP(A425,[4]上证指数历史数据!$A:$B,2,)</f>
        <v>3462.08</v>
      </c>
      <c r="Z425" s="6">
        <f>VLOOKUP(A425,[5]深证成份指数历史数据!$A:$B,2,)</f>
        <v>10925.16</v>
      </c>
      <c r="AA425" s="6">
        <f>VLOOKUP(A425,[6]台湾加权指数历史数据!$A:$B,2,)</f>
        <v>11126.23</v>
      </c>
      <c r="AB425" s="3">
        <v>32601.78</v>
      </c>
      <c r="AC425" s="3">
        <v>3529.82</v>
      </c>
      <c r="AD425">
        <v>10760.6</v>
      </c>
      <c r="AE425" s="5">
        <f>VLOOKUP(A425,[7]越南VN30指数历史数据!$A:$B,2,)</f>
        <v>1090.4000000000001</v>
      </c>
      <c r="AF425">
        <v>51908.17</v>
      </c>
      <c r="AG425" s="9">
        <v>19677.16</v>
      </c>
      <c r="AH425">
        <v>13280.76</v>
      </c>
      <c r="AI425">
        <v>2025.59</v>
      </c>
      <c r="AJ425">
        <v>2409.91</v>
      </c>
    </row>
    <row r="426" spans="1:36" x14ac:dyDescent="0.3">
      <c r="A426" s="2">
        <v>43135</v>
      </c>
      <c r="B426" s="3">
        <v>30143.439999999999</v>
      </c>
      <c r="C426" s="4">
        <v>80899</v>
      </c>
      <c r="D426" s="3">
        <v>5838</v>
      </c>
      <c r="E426" s="3">
        <v>24190.9</v>
      </c>
      <c r="F426" s="3">
        <v>15034.53</v>
      </c>
      <c r="G426" s="3">
        <v>1477.84</v>
      </c>
      <c r="H426" s="3">
        <v>2619.5500000000002</v>
      </c>
      <c r="I426" s="3">
        <v>6874.49</v>
      </c>
      <c r="J426" s="3">
        <v>47799.09</v>
      </c>
      <c r="K426" s="1">
        <v>28011.21</v>
      </c>
      <c r="L426" s="3">
        <v>2382.79</v>
      </c>
      <c r="M426" s="3">
        <v>12107.48</v>
      </c>
      <c r="N426" s="6">
        <f>VLOOKUP(A426,'[1]俄罗斯交易系统市值加权指数历史数据 (1)'!$A:$B,2,)</f>
        <v>1185.79</v>
      </c>
      <c r="O426" s="3">
        <v>5079.21</v>
      </c>
      <c r="P426" s="1">
        <v>518.33000000000004</v>
      </c>
      <c r="Q426" s="3">
        <v>8682</v>
      </c>
      <c r="R426" s="3">
        <v>1135.9000000000001</v>
      </c>
      <c r="S426" s="3">
        <v>9639.6</v>
      </c>
      <c r="T426" s="3">
        <v>7092.43</v>
      </c>
      <c r="U426" s="3">
        <v>3325.99</v>
      </c>
      <c r="V426" s="6">
        <f>VLOOKUP(A426,[2]韩国KOSPI指数历史数据!$A:$B,2,)</f>
        <v>2363.77</v>
      </c>
      <c r="W426" s="6">
        <f>VLOOKUP(A426,[3]日经225指数历史数据!$A:$B,2,)</f>
        <v>21382.62</v>
      </c>
      <c r="X426" s="3">
        <v>1478.52</v>
      </c>
      <c r="Y426" s="6">
        <f>VLOOKUP(A426,[4]上证指数历史数据!$A:$B,2,)</f>
        <v>3129.85</v>
      </c>
      <c r="Z426" s="6">
        <f>VLOOKUP(A426,[5]深证成份指数历史数据!$A:$B,2,)</f>
        <v>10001.23</v>
      </c>
      <c r="AA426" s="6">
        <f>VLOOKUP(A426,[6]台湾加权指数历史数据!$A:$B,2,)</f>
        <v>10371.75</v>
      </c>
      <c r="AB426" s="3">
        <v>29507.42</v>
      </c>
      <c r="AC426" s="3">
        <v>3377.24</v>
      </c>
      <c r="AD426">
        <v>10454.950000000001</v>
      </c>
      <c r="AE426" s="5">
        <f>VLOOKUP(A426,[7]越南VN30指数历史数据!$A:$B,2,)</f>
        <v>996.77</v>
      </c>
      <c r="AF426">
        <v>49287.45</v>
      </c>
      <c r="AG426" s="9">
        <v>19561.169999999998</v>
      </c>
      <c r="AH426">
        <v>13096.31</v>
      </c>
      <c r="AI426">
        <v>1952.87</v>
      </c>
      <c r="AJ426">
        <v>2336.14</v>
      </c>
    </row>
    <row r="427" spans="1:36" x14ac:dyDescent="0.3">
      <c r="A427" s="2">
        <v>43142</v>
      </c>
      <c r="B427" s="3">
        <v>32677.25</v>
      </c>
      <c r="C427" s="4">
        <v>84525</v>
      </c>
      <c r="D427" s="3">
        <v>5904</v>
      </c>
      <c r="E427" s="3">
        <v>25219.38</v>
      </c>
      <c r="F427" s="3">
        <v>15452.64</v>
      </c>
      <c r="G427" s="3">
        <v>1543.55</v>
      </c>
      <c r="H427" s="3">
        <v>2732.22</v>
      </c>
      <c r="I427" s="3">
        <v>7239.46</v>
      </c>
      <c r="J427" s="3">
        <v>48882.78</v>
      </c>
      <c r="K427" s="1">
        <v>28293.23</v>
      </c>
      <c r="L427" s="3">
        <v>2406.96</v>
      </c>
      <c r="M427" s="3">
        <v>12451.96</v>
      </c>
      <c r="N427" s="6">
        <f>VLOOKUP(A427,'[1]俄罗斯交易系统市值加权指数历史数据 (1)'!$A:$B,2,)</f>
        <v>1263.27</v>
      </c>
      <c r="O427" s="3">
        <v>5281.58</v>
      </c>
      <c r="P427" s="1">
        <v>532.27</v>
      </c>
      <c r="Q427" s="3">
        <v>8986.7199999999993</v>
      </c>
      <c r="R427" s="3">
        <v>1165.1099999999999</v>
      </c>
      <c r="S427" s="3">
        <v>9832.1</v>
      </c>
      <c r="T427" s="3">
        <v>7294.7</v>
      </c>
      <c r="U427" s="3">
        <v>3426.8</v>
      </c>
      <c r="V427" s="6">
        <f>VLOOKUP(A427,[2]韩国KOSPI指数历史数据!$A:$B,2,)</f>
        <v>2421.83</v>
      </c>
      <c r="W427" s="6">
        <f>VLOOKUP(A427,[3]日经225指数历史数据!$A:$B,2,)</f>
        <v>21720.25</v>
      </c>
      <c r="X427" s="3">
        <v>1490.2</v>
      </c>
      <c r="Y427" s="6">
        <f>VLOOKUP(A427,[4]上证指数历史数据!$A:$B,2,)</f>
        <v>3199.16</v>
      </c>
      <c r="Z427" s="6">
        <f>VLOOKUP(A427,[5]深证成份指数历史数据!$A:$B,2,)</f>
        <v>10431.91</v>
      </c>
      <c r="AA427" s="6">
        <f>VLOOKUP(A427,[6]台湾加权指数历史数据!$A:$B,2,)</f>
        <v>10421.09</v>
      </c>
      <c r="AB427" s="3">
        <v>31115.43</v>
      </c>
      <c r="AC427" s="3">
        <v>3443.51</v>
      </c>
      <c r="AD427">
        <v>10452.299999999999</v>
      </c>
      <c r="AE427" s="5">
        <f>VLOOKUP(A427,[7]越南VN30指数历史数据!$A:$B,2,)</f>
        <v>1054.0899999999999</v>
      </c>
      <c r="AF427">
        <v>52110.8</v>
      </c>
      <c r="AG427" s="9">
        <v>19702.740000000002</v>
      </c>
      <c r="AH427">
        <v>13161.41</v>
      </c>
      <c r="AI427">
        <v>1936.68</v>
      </c>
      <c r="AJ427">
        <v>2353.11</v>
      </c>
    </row>
    <row r="428" spans="1:36" x14ac:dyDescent="0.3">
      <c r="A428" s="2">
        <v>43149</v>
      </c>
      <c r="B428" s="3">
        <v>32742.39</v>
      </c>
      <c r="C428" s="4">
        <v>87293</v>
      </c>
      <c r="D428" s="3">
        <v>5999.8</v>
      </c>
      <c r="E428" s="3">
        <v>25309.99</v>
      </c>
      <c r="F428" s="3">
        <v>15638.45</v>
      </c>
      <c r="G428" s="3">
        <v>1549.19</v>
      </c>
      <c r="H428" s="3">
        <v>2747.3</v>
      </c>
      <c r="I428" s="3">
        <v>7337.39</v>
      </c>
      <c r="J428" s="3">
        <v>48643.43</v>
      </c>
      <c r="K428" s="1">
        <v>28783.39</v>
      </c>
      <c r="L428" s="3">
        <v>2406.11</v>
      </c>
      <c r="M428" s="3">
        <v>12483.79</v>
      </c>
      <c r="N428" s="6">
        <f>VLOOKUP(A428,'[1]俄罗斯交易系统市值加权指数历史数据 (1)'!$A:$B,2,)</f>
        <v>1301.01</v>
      </c>
      <c r="O428" s="3">
        <v>5317.37</v>
      </c>
      <c r="P428" s="1">
        <v>534.09</v>
      </c>
      <c r="Q428" s="3">
        <v>8948.19</v>
      </c>
      <c r="R428" s="3">
        <v>1175.21</v>
      </c>
      <c r="S428" s="3">
        <v>9822.4</v>
      </c>
      <c r="T428" s="3">
        <v>7244.41</v>
      </c>
      <c r="U428" s="3">
        <v>3441.46</v>
      </c>
      <c r="V428" s="6">
        <f>VLOOKUP(A428,[2]韩国KOSPI指数历史数据!$A:$B,2,)</f>
        <v>2451.52</v>
      </c>
      <c r="W428" s="6">
        <f>VLOOKUP(A428,[3]日经225指数历史数据!$A:$B,2,)</f>
        <v>21892.78</v>
      </c>
      <c r="X428" s="3">
        <v>1499.34</v>
      </c>
      <c r="Y428" s="6">
        <f>VLOOKUP(A428,[4]上证指数历史数据!$A:$B,2,)</f>
        <v>3289.02</v>
      </c>
      <c r="Z428" s="6">
        <f>VLOOKUP(A428,[5]深证成份指数历史数据!$A:$B,2,)</f>
        <v>10662.79</v>
      </c>
      <c r="AA428" s="6">
        <f>VLOOKUP(A428,[6]台湾加权指数历史数据!$A:$B,2,)</f>
        <v>10794.55</v>
      </c>
      <c r="AB428" s="3">
        <v>31267.17</v>
      </c>
      <c r="AC428" s="3">
        <v>3533.22</v>
      </c>
      <c r="AD428">
        <v>10491.05</v>
      </c>
      <c r="AE428" s="5">
        <f>VLOOKUP(A428,[7]越南VN30指数历史数据!$A:$B,2,)</f>
        <v>1089.96</v>
      </c>
      <c r="AF428">
        <v>51747.15</v>
      </c>
      <c r="AG428" s="9">
        <v>20035.37</v>
      </c>
      <c r="AH428">
        <v>13215.31</v>
      </c>
      <c r="AI428">
        <v>1935.15</v>
      </c>
      <c r="AJ428">
        <v>2383.46</v>
      </c>
    </row>
    <row r="429" spans="1:36" x14ac:dyDescent="0.3">
      <c r="A429" s="2">
        <v>43156</v>
      </c>
      <c r="B429" s="3">
        <v>31900.7</v>
      </c>
      <c r="C429" s="4">
        <v>85761</v>
      </c>
      <c r="D429" s="3">
        <v>5928.9</v>
      </c>
      <c r="E429" s="3">
        <v>24538.06</v>
      </c>
      <c r="F429" s="3">
        <v>15384.59</v>
      </c>
      <c r="G429" s="3">
        <v>1533.17</v>
      </c>
      <c r="H429" s="3">
        <v>2691.25</v>
      </c>
      <c r="I429" s="3">
        <v>7257.87</v>
      </c>
      <c r="J429" s="3">
        <v>47548.1</v>
      </c>
      <c r="K429" s="1">
        <v>27799.46</v>
      </c>
      <c r="L429" s="3">
        <v>2314.23</v>
      </c>
      <c r="M429" s="3">
        <v>11913.71</v>
      </c>
      <c r="N429" s="6">
        <f>VLOOKUP(A429,'[1]俄罗斯交易系统市值加权指数历史数据 (1)'!$A:$B,2,)</f>
        <v>1261.6300000000001</v>
      </c>
      <c r="O429" s="3">
        <v>5136.58</v>
      </c>
      <c r="P429" s="1">
        <v>518.72</v>
      </c>
      <c r="Q429" s="3">
        <v>8628.51</v>
      </c>
      <c r="R429" s="3">
        <v>1168.5899999999999</v>
      </c>
      <c r="S429" s="3">
        <v>9531.1</v>
      </c>
      <c r="T429" s="3">
        <v>7069.9</v>
      </c>
      <c r="U429" s="3">
        <v>3324.75</v>
      </c>
      <c r="V429" s="6">
        <f>VLOOKUP(A429,[2]韩国KOSPI指数历史数据!$A:$B,2,)</f>
        <v>2402.16</v>
      </c>
      <c r="W429" s="6">
        <f>VLOOKUP(A429,[3]日经225指数历史数据!$A:$B,2,)</f>
        <v>21181.64</v>
      </c>
      <c r="X429" s="3">
        <v>1500.56</v>
      </c>
      <c r="Y429" s="6">
        <f>VLOOKUP(A429,[4]上证指数历史数据!$A:$B,2,)</f>
        <v>3254.53</v>
      </c>
      <c r="Z429" s="6">
        <f>VLOOKUP(A429,[5]深证成份指数历史数据!$A:$B,2,)</f>
        <v>10856.25</v>
      </c>
      <c r="AA429" s="6">
        <f>VLOOKUP(A429,[6]台湾加权指数历史数据!$A:$B,2,)</f>
        <v>10698.17</v>
      </c>
      <c r="AB429" s="3">
        <v>30583.45</v>
      </c>
      <c r="AC429" s="3">
        <v>3479.2</v>
      </c>
      <c r="AD429">
        <v>10458.35</v>
      </c>
      <c r="AE429" s="5">
        <f>VLOOKUP(A429,[7]越南VN30指数历史数据!$A:$B,2,)</f>
        <v>1106.92</v>
      </c>
      <c r="AF429">
        <v>50824.62</v>
      </c>
      <c r="AG429" s="9">
        <v>20349.32</v>
      </c>
      <c r="AH429">
        <v>13167.08</v>
      </c>
      <c r="AI429">
        <v>1941.56</v>
      </c>
      <c r="AJ429">
        <v>2405.4499999999998</v>
      </c>
    </row>
    <row r="430" spans="1:36" x14ac:dyDescent="0.3">
      <c r="A430" s="2">
        <v>43163</v>
      </c>
      <c r="B430" s="3">
        <v>33182.6</v>
      </c>
      <c r="C430" s="4">
        <v>86371</v>
      </c>
      <c r="D430" s="3">
        <v>5963.2</v>
      </c>
      <c r="E430" s="3">
        <v>25335.74</v>
      </c>
      <c r="F430" s="3">
        <v>15577.81</v>
      </c>
      <c r="G430" s="3">
        <v>1597.14</v>
      </c>
      <c r="H430" s="3">
        <v>2786.57</v>
      </c>
      <c r="I430" s="3">
        <v>7560.81</v>
      </c>
      <c r="J430" s="3">
        <v>48556.45</v>
      </c>
      <c r="K430" s="1">
        <v>28197.82</v>
      </c>
      <c r="L430" s="3">
        <v>2354.54</v>
      </c>
      <c r="M430" s="3">
        <v>12346.68</v>
      </c>
      <c r="N430" s="6">
        <f>VLOOKUP(A430,'[1]俄罗斯交易系统市值加权指数历史数据 (1)'!$A:$B,2,)</f>
        <v>1285.53</v>
      </c>
      <c r="O430" s="3">
        <v>5274.4</v>
      </c>
      <c r="P430" s="1">
        <v>537.14</v>
      </c>
      <c r="Q430" s="3">
        <v>8931.85</v>
      </c>
      <c r="R430" s="3">
        <v>1169.1500000000001</v>
      </c>
      <c r="S430" s="3">
        <v>9686.1</v>
      </c>
      <c r="T430" s="3">
        <v>7224.51</v>
      </c>
      <c r="U430" s="3">
        <v>3420.54</v>
      </c>
      <c r="V430" s="6">
        <f>VLOOKUP(A430,[2]韩国KOSPI指数历史数据!$A:$B,2,)</f>
        <v>2459.4499999999998</v>
      </c>
      <c r="W430" s="6">
        <f>VLOOKUP(A430,[3]日经225指数历史数据!$A:$B,2,)</f>
        <v>21469.200000000001</v>
      </c>
      <c r="X430" s="3">
        <v>1481.35</v>
      </c>
      <c r="Y430" s="6">
        <f>VLOOKUP(A430,[4]上证指数历史数据!$A:$B,2,)</f>
        <v>3307.17</v>
      </c>
      <c r="Z430" s="6">
        <f>VLOOKUP(A430,[5]深证成份指数历史数据!$A:$B,2,)</f>
        <v>11194.91</v>
      </c>
      <c r="AA430" s="6">
        <f>VLOOKUP(A430,[6]台湾加权指数历史数据!$A:$B,2,)</f>
        <v>10864.82</v>
      </c>
      <c r="AB430" s="3">
        <v>30996.21</v>
      </c>
      <c r="AC430" s="3">
        <v>3485.57</v>
      </c>
      <c r="AD430">
        <v>10226.85</v>
      </c>
      <c r="AE430" s="5">
        <f>VLOOKUP(A430,[7]越南VN30指数历史数据!$A:$B,2,)</f>
        <v>1106.54</v>
      </c>
      <c r="AF430">
        <v>52348.57</v>
      </c>
      <c r="AG430" s="9">
        <v>21536.32</v>
      </c>
      <c r="AH430">
        <v>13284.94</v>
      </c>
      <c r="AI430">
        <v>1957.53</v>
      </c>
      <c r="AJ430">
        <v>2362.08</v>
      </c>
    </row>
    <row r="431" spans="1:36" x14ac:dyDescent="0.3">
      <c r="A431" s="2">
        <v>43170</v>
      </c>
      <c r="B431" s="3">
        <v>32555.08</v>
      </c>
      <c r="C431" s="4">
        <v>84886</v>
      </c>
      <c r="D431" s="3">
        <v>5949.4</v>
      </c>
      <c r="E431" s="3">
        <v>24946.51</v>
      </c>
      <c r="F431" s="3">
        <v>15711.33</v>
      </c>
      <c r="G431" s="3">
        <v>1586.05</v>
      </c>
      <c r="H431" s="3">
        <v>2752.01</v>
      </c>
      <c r="I431" s="3">
        <v>7481.99</v>
      </c>
      <c r="J431" s="3">
        <v>47477.58</v>
      </c>
      <c r="K431" s="1">
        <v>28033.02</v>
      </c>
      <c r="L431" s="3">
        <v>2285.08</v>
      </c>
      <c r="M431" s="3">
        <v>12389.58</v>
      </c>
      <c r="N431" s="6">
        <f>VLOOKUP(A431,'[1]俄罗斯交易系统市值加权指数历史数据 (1)'!$A:$B,2,)</f>
        <v>1254.29</v>
      </c>
      <c r="O431" s="3">
        <v>5282.75</v>
      </c>
      <c r="P431" s="1">
        <v>536.91999999999996</v>
      </c>
      <c r="Q431" s="3">
        <v>8882.5300000000007</v>
      </c>
      <c r="R431" s="3">
        <v>1172.1600000000001</v>
      </c>
      <c r="S431" s="3">
        <v>9761</v>
      </c>
      <c r="T431" s="3">
        <v>7164.14</v>
      </c>
      <c r="U431" s="3">
        <v>3437.4</v>
      </c>
      <c r="V431" s="6">
        <f>VLOOKUP(A431,[2]韩国KOSPI指数历史数据!$A:$B,2,)</f>
        <v>2493.9699999999998</v>
      </c>
      <c r="W431" s="6">
        <f>VLOOKUP(A431,[3]日经225指数历史数据!$A:$B,2,)</f>
        <v>21676.51</v>
      </c>
      <c r="X431" s="3">
        <v>1504.95</v>
      </c>
      <c r="Y431" s="6">
        <f>VLOOKUP(A431,[4]上证指数历史数据!$A:$B,2,)</f>
        <v>3269.88</v>
      </c>
      <c r="Z431" s="6">
        <f>VLOOKUP(A431,[5]深证成份指数历史数据!$A:$B,2,)</f>
        <v>11051.12</v>
      </c>
      <c r="AA431" s="6">
        <f>VLOOKUP(A431,[6]台湾加权指数历史数据!$A:$B,2,)</f>
        <v>11027.7</v>
      </c>
      <c r="AB431" s="3">
        <v>31501.97</v>
      </c>
      <c r="AC431" s="3">
        <v>3512.14</v>
      </c>
      <c r="AD431">
        <v>10195.15</v>
      </c>
      <c r="AE431" s="5">
        <f>VLOOKUP(A431,[7]越南VN30指数历史数据!$A:$B,2,)</f>
        <v>1112.93</v>
      </c>
      <c r="AF431">
        <v>51421.64</v>
      </c>
      <c r="AG431" s="9">
        <v>22172.67</v>
      </c>
      <c r="AH431">
        <v>13208.59</v>
      </c>
      <c r="AI431">
        <v>1890.87</v>
      </c>
      <c r="AJ431">
        <v>2412.21</v>
      </c>
    </row>
    <row r="432" spans="1:36" x14ac:dyDescent="0.3">
      <c r="A432" s="2">
        <v>43177</v>
      </c>
      <c r="B432" s="3">
        <v>31461.26</v>
      </c>
      <c r="C432" s="4">
        <v>84377</v>
      </c>
      <c r="D432" s="3">
        <v>5820.7</v>
      </c>
      <c r="E432" s="3">
        <v>23533.200000000001</v>
      </c>
      <c r="F432" s="3">
        <v>15223.74</v>
      </c>
      <c r="G432" s="3">
        <v>1510.08</v>
      </c>
      <c r="H432" s="3">
        <v>2588.2600000000002</v>
      </c>
      <c r="I432" s="3">
        <v>6992.67</v>
      </c>
      <c r="J432" s="3">
        <v>46515.93</v>
      </c>
      <c r="K432" s="1">
        <v>27530.52</v>
      </c>
      <c r="L432" s="3">
        <v>2257.2199999999998</v>
      </c>
      <c r="M432" s="3">
        <v>11886.31</v>
      </c>
      <c r="N432" s="6">
        <f>VLOOKUP(A432,'[1]俄罗斯交易系统市值加权指数历史数据 (1)'!$A:$B,2,)</f>
        <v>1261.44</v>
      </c>
      <c r="O432" s="3">
        <v>5095.22</v>
      </c>
      <c r="P432" s="1">
        <v>521.45000000000005</v>
      </c>
      <c r="Q432" s="3">
        <v>8569.08</v>
      </c>
      <c r="R432" s="3">
        <v>1166.03</v>
      </c>
      <c r="S432" s="3">
        <v>9393.1</v>
      </c>
      <c r="T432" s="3">
        <v>6921.94</v>
      </c>
      <c r="U432" s="3">
        <v>3298.07</v>
      </c>
      <c r="V432" s="6">
        <f>VLOOKUP(A432,[2]韩国KOSPI指数历史数据!$A:$B,2,)</f>
        <v>2416.7600000000002</v>
      </c>
      <c r="W432" s="6">
        <f>VLOOKUP(A432,[3]日经225指数历史数据!$A:$B,2,)</f>
        <v>20617.86</v>
      </c>
      <c r="X432" s="3">
        <v>1470.44</v>
      </c>
      <c r="Y432" s="6">
        <f>VLOOKUP(A432,[4]上证指数历史数据!$A:$B,2,)</f>
        <v>3152.76</v>
      </c>
      <c r="Z432" s="6">
        <f>VLOOKUP(A432,[5]深证成份指数历史数据!$A:$B,2,)</f>
        <v>10439.99</v>
      </c>
      <c r="AA432" s="6">
        <f>VLOOKUP(A432,[6]台湾加权指数历史数据!$A:$B,2,)</f>
        <v>10823.33</v>
      </c>
      <c r="AB432" s="3">
        <v>30309.29</v>
      </c>
      <c r="AC432" s="3">
        <v>3421.39</v>
      </c>
      <c r="AD432">
        <v>9998.0499999999993</v>
      </c>
      <c r="AE432" s="5">
        <f>VLOOKUP(A432,[7]越南VN30指数历史数据!$A:$B,2,)</f>
        <v>1128.93</v>
      </c>
      <c r="AF432">
        <v>49755.199999999997</v>
      </c>
      <c r="AG432" s="9">
        <v>22360.22</v>
      </c>
      <c r="AH432">
        <v>13065.18</v>
      </c>
      <c r="AI432">
        <v>1880.78</v>
      </c>
      <c r="AJ432">
        <v>2356.98</v>
      </c>
    </row>
    <row r="433" spans="1:36" x14ac:dyDescent="0.3">
      <c r="A433" s="2">
        <v>43184</v>
      </c>
      <c r="B433" s="3">
        <v>31114.93</v>
      </c>
      <c r="C433" s="4">
        <v>85366</v>
      </c>
      <c r="D433" s="3">
        <v>5759.4</v>
      </c>
      <c r="E433" s="3">
        <v>24103.11</v>
      </c>
      <c r="F433" s="3">
        <v>15367.29</v>
      </c>
      <c r="G433" s="3">
        <v>1529.43</v>
      </c>
      <c r="H433" s="3">
        <v>2640.87</v>
      </c>
      <c r="I433" s="3">
        <v>7063.44</v>
      </c>
      <c r="J433" s="3">
        <v>46124.85</v>
      </c>
      <c r="K433" s="1">
        <v>27736.23</v>
      </c>
      <c r="L433" s="3">
        <v>2210.38</v>
      </c>
      <c r="M433" s="3">
        <v>12096.73</v>
      </c>
      <c r="N433" s="6">
        <f>VLOOKUP(A433,'[1]俄罗斯交易系统市值加权指数历史数据 (1)'!$A:$B,2,)</f>
        <v>1249.4100000000001</v>
      </c>
      <c r="O433" s="3">
        <v>5167.3</v>
      </c>
      <c r="P433" s="1">
        <v>529.52</v>
      </c>
      <c r="Q433" s="3">
        <v>8740.9699999999993</v>
      </c>
      <c r="R433" s="3">
        <v>1149.3</v>
      </c>
      <c r="S433" s="3">
        <v>9600.4</v>
      </c>
      <c r="T433" s="3">
        <v>7056.61</v>
      </c>
      <c r="U433" s="3">
        <v>3361.5</v>
      </c>
      <c r="V433" s="6">
        <f>VLOOKUP(A433,[2]韩国KOSPI指数历史数据!$A:$B,2,)</f>
        <v>2445.85</v>
      </c>
      <c r="W433" s="6">
        <f>VLOOKUP(A433,[3]日经225指数历史数据!$A:$B,2,)</f>
        <v>21454.3</v>
      </c>
      <c r="X433" s="3">
        <v>1436.22</v>
      </c>
      <c r="Y433" s="6">
        <f>VLOOKUP(A433,[4]上证指数历史数据!$A:$B,2,)</f>
        <v>3168.9</v>
      </c>
      <c r="Z433" s="6">
        <f>VLOOKUP(A433,[5]深证成份指数历史数据!$A:$B,2,)</f>
        <v>10868.66</v>
      </c>
      <c r="AA433" s="6">
        <f>VLOOKUP(A433,[6]台湾加权指数历史数据!$A:$B,2,)</f>
        <v>10919.49</v>
      </c>
      <c r="AB433" s="3">
        <v>30093.38</v>
      </c>
      <c r="AC433" s="3">
        <v>3427.97</v>
      </c>
      <c r="AD433">
        <v>10113.700000000001</v>
      </c>
      <c r="AE433" s="5">
        <f>VLOOKUP(A433,[7]越南VN30指数历史数据!$A:$B,2,)</f>
        <v>1153.08</v>
      </c>
      <c r="AF433">
        <v>48794.5</v>
      </c>
      <c r="AG433" s="9">
        <v>22882.82</v>
      </c>
      <c r="AH433">
        <v>13062.38</v>
      </c>
      <c r="AI433">
        <v>1874.27</v>
      </c>
      <c r="AJ433">
        <v>2409.04</v>
      </c>
    </row>
    <row r="434" spans="1:36" x14ac:dyDescent="0.3">
      <c r="A434" s="2">
        <v>43191</v>
      </c>
      <c r="B434" s="3">
        <v>31738.77</v>
      </c>
      <c r="C434" s="4">
        <v>84820</v>
      </c>
      <c r="D434" s="3">
        <v>5788.7</v>
      </c>
      <c r="E434" s="3">
        <v>23932.76</v>
      </c>
      <c r="F434" s="3">
        <v>15207.41</v>
      </c>
      <c r="G434" s="3">
        <v>1513.3</v>
      </c>
      <c r="H434" s="3">
        <v>2604.4699999999998</v>
      </c>
      <c r="I434" s="3">
        <v>6915.11</v>
      </c>
      <c r="J434" s="3">
        <v>47926.11</v>
      </c>
      <c r="K434" s="1">
        <v>27973.86</v>
      </c>
      <c r="L434" s="3">
        <v>2258.8000000000002</v>
      </c>
      <c r="M434" s="3">
        <v>12241.27</v>
      </c>
      <c r="N434" s="6">
        <f>VLOOKUP(A434,'[1]俄罗斯交易系统市值加权指数历史数据 (1)'!$A:$B,2,)</f>
        <v>1236.48</v>
      </c>
      <c r="O434" s="3">
        <v>5258.24</v>
      </c>
      <c r="P434" s="1">
        <v>539.29</v>
      </c>
      <c r="Q434" s="3">
        <v>8671.0400000000009</v>
      </c>
      <c r="R434" s="3">
        <v>1147.3800000000001</v>
      </c>
      <c r="S434" s="3">
        <v>9682.7999999999993</v>
      </c>
      <c r="T434" s="3">
        <v>7183.64</v>
      </c>
      <c r="U434" s="3">
        <v>3408.1</v>
      </c>
      <c r="V434" s="6">
        <f>VLOOKUP(A434,[2]韩国KOSPI指数历史数据!$A:$B,2,)</f>
        <v>2429.58</v>
      </c>
      <c r="W434" s="6">
        <f>VLOOKUP(A434,[3]日经225指数历史数据!$A:$B,2,)</f>
        <v>21567.52</v>
      </c>
      <c r="X434" s="3">
        <v>1391.67</v>
      </c>
      <c r="Y434" s="6">
        <f>VLOOKUP(A434,[4]上证指数历史数据!$A:$B,2,)</f>
        <v>3131.11</v>
      </c>
      <c r="Z434" s="6">
        <f>VLOOKUP(A434,[5]深证成份指数历史数据!$A:$B,2,)</f>
        <v>10684.56</v>
      </c>
      <c r="AA434" s="6">
        <f>VLOOKUP(A434,[6]台湾加权指数历史数据!$A:$B,2,)</f>
        <v>10821.53</v>
      </c>
      <c r="AB434" s="3">
        <v>29844.94</v>
      </c>
      <c r="AC434" s="3">
        <v>3442.5</v>
      </c>
      <c r="AD434">
        <v>10331.6</v>
      </c>
      <c r="AE434" s="5">
        <f>VLOOKUP(A434,[7]越南VN30指数历史数据!$A:$B,2,)</f>
        <v>1174.3699999999999</v>
      </c>
      <c r="AF434">
        <v>49140.59</v>
      </c>
      <c r="AG434" s="9">
        <v>22884.639999999999</v>
      </c>
      <c r="AH434">
        <v>12895.23</v>
      </c>
      <c r="AI434">
        <v>1846.47</v>
      </c>
      <c r="AJ434">
        <v>2443.5</v>
      </c>
    </row>
    <row r="435" spans="1:36" x14ac:dyDescent="0.3">
      <c r="A435" s="2">
        <v>43198</v>
      </c>
      <c r="B435" s="3">
        <v>31593.11</v>
      </c>
      <c r="C435" s="4">
        <v>84334</v>
      </c>
      <c r="D435" s="3">
        <v>5829.1</v>
      </c>
      <c r="E435" s="3">
        <v>24360.14</v>
      </c>
      <c r="F435" s="3">
        <v>15273.97</v>
      </c>
      <c r="G435" s="3">
        <v>1549.51</v>
      </c>
      <c r="H435" s="3">
        <v>2656.3</v>
      </c>
      <c r="I435" s="3">
        <v>7106.65</v>
      </c>
      <c r="J435" s="3">
        <v>48768.3</v>
      </c>
      <c r="K435" s="1">
        <v>28166.5</v>
      </c>
      <c r="L435" s="3">
        <v>2310.3200000000002</v>
      </c>
      <c r="M435" s="3">
        <v>12442.4</v>
      </c>
      <c r="N435" s="6">
        <f>VLOOKUP(A435,'[1]俄罗斯交易系统市值加权指数历史数据 (1)'!$A:$B,2,)</f>
        <v>1104.51</v>
      </c>
      <c r="O435" s="3">
        <v>5315.02</v>
      </c>
      <c r="P435" s="1">
        <v>548.04999999999995</v>
      </c>
      <c r="Q435" s="3">
        <v>8776.17</v>
      </c>
      <c r="R435" s="3">
        <v>1096.04</v>
      </c>
      <c r="S435" s="3">
        <v>9767.2999999999993</v>
      </c>
      <c r="T435" s="3">
        <v>7264.56</v>
      </c>
      <c r="U435" s="3">
        <v>3448</v>
      </c>
      <c r="V435" s="6">
        <f>VLOOKUP(A435,[2]韩国KOSPI指数历史数据!$A:$B,2,)</f>
        <v>2455.0700000000002</v>
      </c>
      <c r="W435" s="6">
        <f>VLOOKUP(A435,[3]日经225指数历史数据!$A:$B,2,)</f>
        <v>21778.74</v>
      </c>
      <c r="X435" s="3">
        <v>1461.65</v>
      </c>
      <c r="Y435" s="6">
        <f>VLOOKUP(A435,[4]上证指数历史数据!$A:$B,2,)</f>
        <v>3159.05</v>
      </c>
      <c r="Z435" s="6">
        <f>VLOOKUP(A435,[5]深证成份指数历史数据!$A:$B,2,)</f>
        <v>10687.02</v>
      </c>
      <c r="AA435" s="6">
        <f>VLOOKUP(A435,[6]台湾加权指数历史数据!$A:$B,2,)</f>
        <v>10965.39</v>
      </c>
      <c r="AB435" s="3">
        <v>30808.38</v>
      </c>
      <c r="AC435" s="3">
        <v>3501.3</v>
      </c>
      <c r="AD435">
        <v>10480.6</v>
      </c>
      <c r="AE435" s="5">
        <f>VLOOKUP(A435,[7]越南VN30指数历史数据!$A:$B,2,)</f>
        <v>1134.21</v>
      </c>
      <c r="AF435">
        <v>49882.87</v>
      </c>
      <c r="AG435" s="9">
        <v>23264.82</v>
      </c>
      <c r="AH435">
        <v>12993.74</v>
      </c>
      <c r="AI435">
        <v>1838.42</v>
      </c>
      <c r="AJ435">
        <v>2438.09</v>
      </c>
    </row>
    <row r="436" spans="1:36" x14ac:dyDescent="0.3">
      <c r="A436" s="2">
        <v>43205</v>
      </c>
      <c r="B436" s="3">
        <v>31161.7</v>
      </c>
      <c r="C436" s="4">
        <v>85550</v>
      </c>
      <c r="D436" s="3">
        <v>5868.8</v>
      </c>
      <c r="E436" s="3">
        <v>24462.94</v>
      </c>
      <c r="F436" s="3">
        <v>15484.32</v>
      </c>
      <c r="G436" s="3">
        <v>1564.12</v>
      </c>
      <c r="H436" s="3">
        <v>2670.14</v>
      </c>
      <c r="I436" s="3">
        <v>7146.13</v>
      </c>
      <c r="J436" s="3">
        <v>48431.58</v>
      </c>
      <c r="K436" s="1">
        <v>28575.11</v>
      </c>
      <c r="L436" s="3">
        <v>2298.1999999999998</v>
      </c>
      <c r="M436" s="3">
        <v>12540.5</v>
      </c>
      <c r="N436" s="6">
        <f>VLOOKUP(A436,'[1]俄罗斯交易系统市值加权指数历史数据 (1)'!$A:$B,2,)</f>
        <v>1145.8</v>
      </c>
      <c r="O436" s="3">
        <v>5412.83</v>
      </c>
      <c r="P436" s="1">
        <v>550.38</v>
      </c>
      <c r="Q436" s="3">
        <v>8807.7999999999993</v>
      </c>
      <c r="R436" s="3">
        <v>1109.32</v>
      </c>
      <c r="S436" s="3">
        <v>9884.2000000000007</v>
      </c>
      <c r="T436" s="3">
        <v>7368.17</v>
      </c>
      <c r="U436" s="3">
        <v>3494.2</v>
      </c>
      <c r="V436" s="6">
        <f>VLOOKUP(A436,[2]韩国KOSPI指数历史数据!$A:$B,2,)</f>
        <v>2476.33</v>
      </c>
      <c r="W436" s="6">
        <f>VLOOKUP(A436,[3]日经225指数历史数据!$A:$B,2,)</f>
        <v>22162.240000000002</v>
      </c>
      <c r="X436" s="3">
        <v>1484.42</v>
      </c>
      <c r="Y436" s="6">
        <f>VLOOKUP(A436,[4]上证指数历史数据!$A:$B,2,)</f>
        <v>3071.54</v>
      </c>
      <c r="Z436" s="6">
        <f>VLOOKUP(A436,[5]深证成份指数历史数据!$A:$B,2,)</f>
        <v>10408.91</v>
      </c>
      <c r="AA436" s="6">
        <f>VLOOKUP(A436,[6]台湾加权指数历史数据!$A:$B,2,)</f>
        <v>10779.38</v>
      </c>
      <c r="AB436" s="3">
        <v>30418.33</v>
      </c>
      <c r="AC436" s="3">
        <v>3573.38</v>
      </c>
      <c r="AD436">
        <v>10564.05</v>
      </c>
      <c r="AE436" s="5">
        <f>VLOOKUP(A436,[7]越南VN30指数历史数据!$A:$B,2,)</f>
        <v>1089.45</v>
      </c>
      <c r="AF436">
        <v>50765.88</v>
      </c>
      <c r="AG436" s="9">
        <v>23390.880000000001</v>
      </c>
      <c r="AH436">
        <v>12974.23</v>
      </c>
      <c r="AI436">
        <v>1840.84</v>
      </c>
      <c r="AJ436">
        <v>2433.5300000000002</v>
      </c>
    </row>
    <row r="437" spans="1:36" x14ac:dyDescent="0.3">
      <c r="A437" s="2">
        <v>43212</v>
      </c>
      <c r="B437" s="3">
        <v>30006.35</v>
      </c>
      <c r="C437" s="4">
        <v>86445</v>
      </c>
      <c r="D437" s="3">
        <v>5953.6</v>
      </c>
      <c r="E437" s="3">
        <v>24311.19</v>
      </c>
      <c r="F437" s="3">
        <v>15668.93</v>
      </c>
      <c r="G437" s="3">
        <v>1556.24</v>
      </c>
      <c r="H437" s="3">
        <v>2669.91</v>
      </c>
      <c r="I437" s="3">
        <v>7119.8</v>
      </c>
      <c r="J437" s="3">
        <v>48284.61</v>
      </c>
      <c r="K437" s="1">
        <v>28582.25</v>
      </c>
      <c r="L437" s="3">
        <v>2276.41</v>
      </c>
      <c r="M437" s="3">
        <v>12580.87</v>
      </c>
      <c r="N437" s="6">
        <f>VLOOKUP(A437,'[1]俄罗斯交易系统市值加权指数历史数据 (1)'!$A:$B,2,)</f>
        <v>1167.1199999999999</v>
      </c>
      <c r="O437" s="3">
        <v>5483.19</v>
      </c>
      <c r="P437" s="1">
        <v>554.94000000000005</v>
      </c>
      <c r="Q437" s="3">
        <v>8843.02</v>
      </c>
      <c r="R437" s="3">
        <v>1076.1400000000001</v>
      </c>
      <c r="S437" s="3">
        <v>9925.4</v>
      </c>
      <c r="T437" s="3">
        <v>7502.21</v>
      </c>
      <c r="U437" s="3">
        <v>3518.78</v>
      </c>
      <c r="V437" s="6">
        <f>VLOOKUP(A437,[2]韩国KOSPI指数历史数据!$A:$B,2,)</f>
        <v>2492.4</v>
      </c>
      <c r="W437" s="6">
        <f>VLOOKUP(A437,[3]日经225指数历史数据!$A:$B,2,)</f>
        <v>22467.87</v>
      </c>
      <c r="X437" s="3">
        <v>1466.89</v>
      </c>
      <c r="Y437" s="6">
        <f>VLOOKUP(A437,[4]上证指数历史数据!$A:$B,2,)</f>
        <v>3082.23</v>
      </c>
      <c r="Z437" s="6">
        <f>VLOOKUP(A437,[5]深证成份指数历史数据!$A:$B,2,)</f>
        <v>10324.469999999999</v>
      </c>
      <c r="AA437" s="6">
        <f>VLOOKUP(A437,[6]台湾加权指数历史数据!$A:$B,2,)</f>
        <v>10553.43</v>
      </c>
      <c r="AB437" s="3">
        <v>30280.67</v>
      </c>
      <c r="AC437" s="3">
        <v>3577.21</v>
      </c>
      <c r="AD437">
        <v>10692.3</v>
      </c>
      <c r="AE437" s="5">
        <f>VLOOKUP(A437,[7]越南VN30指数历史数据!$A:$B,2,)</f>
        <v>1027.97</v>
      </c>
      <c r="AF437">
        <v>50684.22</v>
      </c>
      <c r="AG437" s="9">
        <v>24006.95</v>
      </c>
      <c r="AH437">
        <v>13056.86</v>
      </c>
      <c r="AI437">
        <v>1875.32</v>
      </c>
      <c r="AJ437">
        <v>2451.11</v>
      </c>
    </row>
    <row r="438" spans="1:36" x14ac:dyDescent="0.3">
      <c r="A438" s="2">
        <v>43219</v>
      </c>
      <c r="B438" s="3">
        <v>28553.27</v>
      </c>
      <c r="C438" s="4">
        <v>83118</v>
      </c>
      <c r="D438" s="3">
        <v>6062.9</v>
      </c>
      <c r="E438" s="3">
        <v>24262.51</v>
      </c>
      <c r="F438" s="3">
        <v>15729.4</v>
      </c>
      <c r="G438" s="3">
        <v>1565.6</v>
      </c>
      <c r="H438" s="3">
        <v>2663.42</v>
      </c>
      <c r="I438" s="3">
        <v>7209.62</v>
      </c>
      <c r="J438" s="3">
        <v>46992.17</v>
      </c>
      <c r="K438" s="1">
        <v>28344.67</v>
      </c>
      <c r="L438" s="3">
        <v>2233.35</v>
      </c>
      <c r="M438" s="3">
        <v>12819.6</v>
      </c>
      <c r="N438" s="6">
        <f>VLOOKUP(A438,'[1]俄罗斯交易系统市值加权指数历史数据 (1)'!$A:$B,2,)</f>
        <v>1146.6099999999999</v>
      </c>
      <c r="O438" s="3">
        <v>5516.05</v>
      </c>
      <c r="P438" s="1">
        <v>555.70000000000005</v>
      </c>
      <c r="Q438" s="3">
        <v>8903.83</v>
      </c>
      <c r="R438" s="3">
        <v>1025.99</v>
      </c>
      <c r="S438" s="3">
        <v>10104.1</v>
      </c>
      <c r="T438" s="3">
        <v>7567.14</v>
      </c>
      <c r="U438" s="3">
        <v>3550.59</v>
      </c>
      <c r="V438" s="6">
        <f>VLOOKUP(A438,[2]韩国KOSPI指数历史数据!$A:$B,2,)</f>
        <v>2461.38</v>
      </c>
      <c r="W438" s="6">
        <f>VLOOKUP(A438,[3]日经225指数历史数据!$A:$B,2,)</f>
        <v>22472.78</v>
      </c>
      <c r="X438" s="3">
        <v>1468.91</v>
      </c>
      <c r="Y438" s="6">
        <f>VLOOKUP(A438,[4]上证指数历史数据!$A:$B,2,)</f>
        <v>3091.03</v>
      </c>
      <c r="Z438" s="6">
        <f>VLOOKUP(A438,[5]深证成份指数历史数据!$A:$B,2,)</f>
        <v>10426.19</v>
      </c>
      <c r="AA438" s="6">
        <f>VLOOKUP(A438,[6]台湾加权指数历史数据!$A:$B,2,)</f>
        <v>10529.37</v>
      </c>
      <c r="AB438" s="3">
        <v>29926.5</v>
      </c>
      <c r="AC438" s="3">
        <v>3545.38</v>
      </c>
      <c r="AD438">
        <v>10618.25</v>
      </c>
      <c r="AE438" s="5">
        <f>VLOOKUP(A438,[7]越南VN30指数历史数据!$A:$B,2,)</f>
        <v>1010.89</v>
      </c>
      <c r="AF438">
        <v>50873.59</v>
      </c>
      <c r="AG438" s="9">
        <v>23268.87</v>
      </c>
      <c r="AH438">
        <v>13038.74</v>
      </c>
      <c r="AI438">
        <v>1873.7</v>
      </c>
      <c r="AJ438">
        <v>2428.3000000000002</v>
      </c>
    </row>
    <row r="439" spans="1:36" x14ac:dyDescent="0.3">
      <c r="A439" s="2">
        <v>43226</v>
      </c>
      <c r="B439" s="3">
        <v>29852.06</v>
      </c>
      <c r="C439" s="4">
        <v>85220</v>
      </c>
      <c r="D439" s="3">
        <v>6116.2</v>
      </c>
      <c r="E439" s="3">
        <v>24831.17</v>
      </c>
      <c r="F439" s="3">
        <v>15983.32</v>
      </c>
      <c r="G439" s="3">
        <v>1606.79</v>
      </c>
      <c r="H439" s="3">
        <v>2727.72</v>
      </c>
      <c r="I439" s="3">
        <v>7402.88</v>
      </c>
      <c r="J439" s="3">
        <v>46728.92</v>
      </c>
      <c r="K439" s="1">
        <v>28796.25</v>
      </c>
      <c r="L439" s="3">
        <v>2329.36</v>
      </c>
      <c r="M439" s="3">
        <v>13001.24</v>
      </c>
      <c r="N439" s="6">
        <f>VLOOKUP(A439,'[1]俄罗斯交易系统市值加权指数历史数据 (1)'!$A:$B,2,)</f>
        <v>1193.98</v>
      </c>
      <c r="O439" s="3">
        <v>5541.94</v>
      </c>
      <c r="P439" s="1">
        <v>562.27</v>
      </c>
      <c r="Q439" s="3">
        <v>8993.51</v>
      </c>
      <c r="R439" s="3">
        <v>1018.52</v>
      </c>
      <c r="S439" s="3">
        <v>10271.4</v>
      </c>
      <c r="T439" s="3">
        <v>7724.55</v>
      </c>
      <c r="U439" s="3">
        <v>3565.52</v>
      </c>
      <c r="V439" s="6">
        <f>VLOOKUP(A439,[2]韩国KOSPI指数历史数据!$A:$B,2,)</f>
        <v>2477.71</v>
      </c>
      <c r="W439" s="6">
        <f>VLOOKUP(A439,[3]日经225指数历史数据!$A:$B,2,)</f>
        <v>22758.48</v>
      </c>
      <c r="X439" s="3">
        <v>1472.19</v>
      </c>
      <c r="Y439" s="6">
        <f>VLOOKUP(A439,[4]上证指数历史数据!$A:$B,2,)</f>
        <v>3163.26</v>
      </c>
      <c r="Z439" s="6">
        <f>VLOOKUP(A439,[5]深证成份指数历史数据!$A:$B,2,)</f>
        <v>10634.3</v>
      </c>
      <c r="AA439" s="6">
        <f>VLOOKUP(A439,[6]台湾加权指数历史数据!$A:$B,2,)</f>
        <v>10858.98</v>
      </c>
      <c r="AB439" s="3">
        <v>31122.06</v>
      </c>
      <c r="AC439" s="3">
        <v>3570.17</v>
      </c>
      <c r="AD439">
        <v>10806.5</v>
      </c>
      <c r="AE439" s="5">
        <f>VLOOKUP(A439,[7]越南VN30指数历史数据!$A:$B,2,)</f>
        <v>1030.79</v>
      </c>
      <c r="AF439">
        <v>51822.78</v>
      </c>
      <c r="AG439" s="9">
        <v>22480.52</v>
      </c>
      <c r="AH439">
        <v>12876</v>
      </c>
      <c r="AI439">
        <v>1865.24</v>
      </c>
      <c r="AJ439">
        <v>2420.66</v>
      </c>
    </row>
    <row r="440" spans="1:36" x14ac:dyDescent="0.3">
      <c r="A440" s="2">
        <v>43233</v>
      </c>
      <c r="B440" s="3">
        <v>31869.82</v>
      </c>
      <c r="C440" s="4">
        <v>83082</v>
      </c>
      <c r="D440" s="3">
        <v>6087.4</v>
      </c>
      <c r="E440" s="3">
        <v>24715.09</v>
      </c>
      <c r="F440" s="3">
        <v>16162.31</v>
      </c>
      <c r="G440" s="3">
        <v>1626.63</v>
      </c>
      <c r="H440" s="3">
        <v>2712.97</v>
      </c>
      <c r="I440" s="3">
        <v>7354.34</v>
      </c>
      <c r="J440" s="3">
        <v>45666.77</v>
      </c>
      <c r="K440" s="1">
        <v>28679.66</v>
      </c>
      <c r="L440" s="3">
        <v>2230.3200000000002</v>
      </c>
      <c r="M440" s="3">
        <v>13077.72</v>
      </c>
      <c r="N440" s="6">
        <f>VLOOKUP(A440,'[1]俄罗斯交易系统市值加权指数历史数据 (1)'!$A:$B,2,)</f>
        <v>1173.1400000000001</v>
      </c>
      <c r="O440" s="3">
        <v>5614.51</v>
      </c>
      <c r="P440" s="1">
        <v>567.03</v>
      </c>
      <c r="Q440" s="3">
        <v>8940.4599999999991</v>
      </c>
      <c r="R440" s="3">
        <v>1024.0999999999999</v>
      </c>
      <c r="S440" s="3">
        <v>10112.4</v>
      </c>
      <c r="T440" s="3">
        <v>7778.79</v>
      </c>
      <c r="U440" s="3">
        <v>3573.76</v>
      </c>
      <c r="V440" s="6">
        <f>VLOOKUP(A440,[2]韩国KOSPI指数历史数据!$A:$B,2,)</f>
        <v>2460.65</v>
      </c>
      <c r="W440" s="6">
        <f>VLOOKUP(A440,[3]日经225指数历史数据!$A:$B,2,)</f>
        <v>22930.36</v>
      </c>
      <c r="X440" s="3">
        <v>1516.37</v>
      </c>
      <c r="Y440" s="6">
        <f>VLOOKUP(A440,[4]上证指数历史数据!$A:$B,2,)</f>
        <v>3193.3</v>
      </c>
      <c r="Z440" s="6">
        <f>VLOOKUP(A440,[5]深证成份指数历史数据!$A:$B,2,)</f>
        <v>10672.52</v>
      </c>
      <c r="AA440" s="6">
        <f>VLOOKUP(A440,[6]台湾加权指数历史数据!$A:$B,2,)</f>
        <v>10830.84</v>
      </c>
      <c r="AB440" s="3">
        <v>31047.91</v>
      </c>
      <c r="AC440" s="3">
        <v>3529.27</v>
      </c>
      <c r="AD440">
        <v>10596.4</v>
      </c>
      <c r="AE440" s="5">
        <f>VLOOKUP(A440,[7]越南VN30指数历史数据!$A:$B,2,)</f>
        <v>1022.21</v>
      </c>
      <c r="AF440">
        <v>51292.18</v>
      </c>
      <c r="AG440" s="9">
        <v>22077.57</v>
      </c>
      <c r="AH440">
        <v>12631.94</v>
      </c>
      <c r="AI440">
        <v>1837.88</v>
      </c>
      <c r="AJ440">
        <v>2317.77</v>
      </c>
    </row>
    <row r="441" spans="1:36" x14ac:dyDescent="0.3">
      <c r="A441" s="2">
        <v>43240</v>
      </c>
      <c r="B441" s="3">
        <v>29664.9</v>
      </c>
      <c r="C441" s="4">
        <v>78898</v>
      </c>
      <c r="D441" s="3">
        <v>6032.8</v>
      </c>
      <c r="E441" s="3">
        <v>24753.09</v>
      </c>
      <c r="F441" s="3">
        <v>16075.67</v>
      </c>
      <c r="G441" s="3">
        <v>1626.93</v>
      </c>
      <c r="H441" s="3">
        <v>2721.33</v>
      </c>
      <c r="I441" s="3">
        <v>7433.85</v>
      </c>
      <c r="J441" s="3">
        <v>45091.99</v>
      </c>
      <c r="K441" s="1">
        <v>28205.5</v>
      </c>
      <c r="L441" s="3">
        <v>2213.2399999999998</v>
      </c>
      <c r="M441" s="3">
        <v>12938.01</v>
      </c>
      <c r="N441" s="6">
        <f>VLOOKUP(A441,'[1]俄罗斯交易系统市值加权指数历史数据 (1)'!$A:$B,2,)</f>
        <v>1169.93</v>
      </c>
      <c r="O441" s="3">
        <v>5542.55</v>
      </c>
      <c r="P441" s="1">
        <v>562.77</v>
      </c>
      <c r="Q441" s="3">
        <v>8759.08</v>
      </c>
      <c r="R441" s="3">
        <v>1032</v>
      </c>
      <c r="S441" s="3">
        <v>9826.5</v>
      </c>
      <c r="T441" s="3">
        <v>7730.28</v>
      </c>
      <c r="U441" s="3">
        <v>3515.36</v>
      </c>
      <c r="V441" s="6">
        <f>VLOOKUP(A441,[2]韩国KOSPI指数历史数据!$A:$B,2,)</f>
        <v>2460.8000000000002</v>
      </c>
      <c r="W441" s="6">
        <f>VLOOKUP(A441,[3]日经225指数历史数据!$A:$B,2,)</f>
        <v>22450.79</v>
      </c>
      <c r="X441" s="3">
        <v>1516.32</v>
      </c>
      <c r="Y441" s="6">
        <f>VLOOKUP(A441,[4]上证指数历史数据!$A:$B,2,)</f>
        <v>3141.3</v>
      </c>
      <c r="Z441" s="6">
        <f>VLOOKUP(A441,[5]深证成份指数历史数据!$A:$B,2,)</f>
        <v>10448.219999999999</v>
      </c>
      <c r="AA441" s="6">
        <f>VLOOKUP(A441,[6]台湾加权指数历史数据!$A:$B,2,)</f>
        <v>10942.3</v>
      </c>
      <c r="AB441" s="3">
        <v>30588.04</v>
      </c>
      <c r="AC441" s="3">
        <v>3513.23</v>
      </c>
      <c r="AD441">
        <v>10605.15</v>
      </c>
      <c r="AE441" s="5">
        <f>VLOOKUP(A441,[7]越南VN30指数历史数据!$A:$B,2,)</f>
        <v>936.32</v>
      </c>
      <c r="AF441">
        <v>50541.99</v>
      </c>
      <c r="AG441" s="9">
        <v>21793.24</v>
      </c>
      <c r="AH441">
        <v>12501.86</v>
      </c>
      <c r="AI441">
        <v>1775.78</v>
      </c>
      <c r="AJ441">
        <v>2310.84</v>
      </c>
    </row>
    <row r="442" spans="1:36" x14ac:dyDescent="0.3">
      <c r="A442" s="2">
        <v>43247</v>
      </c>
      <c r="B442" s="3">
        <v>28436.75</v>
      </c>
      <c r="C442" s="4">
        <v>77240</v>
      </c>
      <c r="D442" s="3">
        <v>5990.4</v>
      </c>
      <c r="E442" s="3">
        <v>24635.21</v>
      </c>
      <c r="F442" s="3">
        <v>16043.54</v>
      </c>
      <c r="G442" s="3">
        <v>1647.98</v>
      </c>
      <c r="H442" s="3">
        <v>2734.62</v>
      </c>
      <c r="I442" s="3">
        <v>7554.33</v>
      </c>
      <c r="J442" s="3">
        <v>45013.120000000003</v>
      </c>
      <c r="K442" s="1">
        <v>27705.23</v>
      </c>
      <c r="L442" s="3">
        <v>2190.2600000000002</v>
      </c>
      <c r="M442" s="3">
        <v>12724.27</v>
      </c>
      <c r="N442" s="6">
        <f>VLOOKUP(A442,'[1]俄罗斯交易系统市值加权指数历史数据 (1)'!$A:$B,2,)</f>
        <v>1164.3699999999999</v>
      </c>
      <c r="O442" s="3">
        <v>5465.53</v>
      </c>
      <c r="P442" s="1">
        <v>559.17999999999995</v>
      </c>
      <c r="Q442" s="3">
        <v>8618.5400000000009</v>
      </c>
      <c r="R442" s="1">
        <v>991.71</v>
      </c>
      <c r="S442" s="3">
        <v>9632.4</v>
      </c>
      <c r="T442" s="3">
        <v>7701.77</v>
      </c>
      <c r="U442" s="3">
        <v>3453.54</v>
      </c>
      <c r="V442" s="6">
        <f>VLOOKUP(A442,[2]韩国KOSPI指数历史数据!$A:$B,2,)</f>
        <v>2438.96</v>
      </c>
      <c r="W442" s="6">
        <f>VLOOKUP(A442,[3]日经225指数历史数据!$A:$B,2,)</f>
        <v>22171.35</v>
      </c>
      <c r="X442" s="3">
        <v>1512.01</v>
      </c>
      <c r="Y442" s="6">
        <f>VLOOKUP(A442,[4]上证指数历史数据!$A:$B,2,)</f>
        <v>3075.14</v>
      </c>
      <c r="Z442" s="6">
        <f>VLOOKUP(A442,[5]深证成份指数历史数据!$A:$B,2,)</f>
        <v>10169.35</v>
      </c>
      <c r="AA442" s="6">
        <f>VLOOKUP(A442,[6]台湾加权指数历史数据!$A:$B,2,)</f>
        <v>10949.08</v>
      </c>
      <c r="AB442" s="3">
        <v>30492.91</v>
      </c>
      <c r="AC442" s="3">
        <v>3427.51</v>
      </c>
      <c r="AD442">
        <v>10696.2</v>
      </c>
      <c r="AE442" s="5">
        <f>VLOOKUP(A442,[7]越南VN30指数历史数据!$A:$B,2,)</f>
        <v>969.15</v>
      </c>
      <c r="AF442">
        <v>50875.01</v>
      </c>
      <c r="AG442" s="9">
        <v>21496.28</v>
      </c>
      <c r="AH442">
        <v>12247.4</v>
      </c>
      <c r="AI442">
        <v>1663.08</v>
      </c>
      <c r="AJ442">
        <v>2306.42</v>
      </c>
    </row>
    <row r="443" spans="1:36" x14ac:dyDescent="0.3">
      <c r="A443" s="2">
        <v>43254</v>
      </c>
      <c r="B443" s="3">
        <v>31444.080000000002</v>
      </c>
      <c r="C443" s="4">
        <v>72942</v>
      </c>
      <c r="D443" s="3">
        <v>6045.2</v>
      </c>
      <c r="E443" s="3">
        <v>25316.53</v>
      </c>
      <c r="F443" s="3">
        <v>16202.69</v>
      </c>
      <c r="G443" s="3">
        <v>1672.49</v>
      </c>
      <c r="H443" s="3">
        <v>2779.03</v>
      </c>
      <c r="I443" s="3">
        <v>7645.51</v>
      </c>
      <c r="J443" s="3">
        <v>45939.54</v>
      </c>
      <c r="K443" s="1">
        <v>27937.27</v>
      </c>
      <c r="L443" s="3">
        <v>2250.06</v>
      </c>
      <c r="M443" s="3">
        <v>12766.55</v>
      </c>
      <c r="N443" s="6">
        <f>VLOOKUP(A443,'[1]俄罗斯交易系统市值加权指数历史数据 (1)'!$A:$B,2,)</f>
        <v>1142.9000000000001</v>
      </c>
      <c r="O443" s="3">
        <v>5450.22</v>
      </c>
      <c r="P443" s="1">
        <v>560.03</v>
      </c>
      <c r="Q443" s="3">
        <v>8512.06</v>
      </c>
      <c r="R443" s="1">
        <v>958.76</v>
      </c>
      <c r="S443" s="3">
        <v>9746.2999999999993</v>
      </c>
      <c r="T443" s="3">
        <v>7681.07</v>
      </c>
      <c r="U443" s="3">
        <v>3447.3</v>
      </c>
      <c r="V443" s="6">
        <f>VLOOKUP(A443,[2]韩国KOSPI指数历史数据!$A:$B,2,)</f>
        <v>2451.58</v>
      </c>
      <c r="W443" s="6">
        <f>VLOOKUP(A443,[3]日经225指数历史数据!$A:$B,2,)</f>
        <v>22694.5</v>
      </c>
      <c r="X443" s="3">
        <v>1532.15</v>
      </c>
      <c r="Y443" s="6">
        <f>VLOOKUP(A443,[4]上证指数历史数据!$A:$B,2,)</f>
        <v>3067.15</v>
      </c>
      <c r="Z443" s="6">
        <f>VLOOKUP(A443,[5]深证成份指数历史数据!$A:$B,2,)</f>
        <v>10205.52</v>
      </c>
      <c r="AA443" s="6">
        <f>VLOOKUP(A443,[6]台湾加权指数历史数据!$A:$B,2,)</f>
        <v>11156.42</v>
      </c>
      <c r="AB443" s="3">
        <v>30958.21</v>
      </c>
      <c r="AC443" s="3">
        <v>3436.37</v>
      </c>
      <c r="AD443">
        <v>10767.65</v>
      </c>
      <c r="AE443" s="5">
        <f>VLOOKUP(A443,[7]越南VN30指数历史数据!$A:$B,2,)</f>
        <v>1025.8699999999999</v>
      </c>
      <c r="AF443">
        <v>51881.93</v>
      </c>
      <c r="AG443" s="9">
        <v>20642.27</v>
      </c>
      <c r="AH443">
        <v>12439.91</v>
      </c>
      <c r="AI443">
        <v>1750.44</v>
      </c>
      <c r="AJ443">
        <v>2316.5</v>
      </c>
    </row>
    <row r="444" spans="1:36" x14ac:dyDescent="0.3">
      <c r="A444" s="2">
        <v>43261</v>
      </c>
      <c r="B444" s="3">
        <v>30147.65</v>
      </c>
      <c r="C444" s="4">
        <v>70758</v>
      </c>
      <c r="D444" s="3">
        <v>6094</v>
      </c>
      <c r="E444" s="3">
        <v>25090.48</v>
      </c>
      <c r="F444" s="3">
        <v>16314.42</v>
      </c>
      <c r="G444" s="3">
        <v>1683.91</v>
      </c>
      <c r="H444" s="3">
        <v>2779.66</v>
      </c>
      <c r="I444" s="3">
        <v>7746.38</v>
      </c>
      <c r="J444" s="3">
        <v>46938.82</v>
      </c>
      <c r="K444" s="1">
        <v>27658.37</v>
      </c>
      <c r="L444" s="3">
        <v>2203.0100000000002</v>
      </c>
      <c r="M444" s="3">
        <v>13010.55</v>
      </c>
      <c r="N444" s="6">
        <f>VLOOKUP(A444,'[1]俄罗斯交易系统市值加权指数历史数据 (1)'!$A:$B,2,)</f>
        <v>1117.04</v>
      </c>
      <c r="O444" s="3">
        <v>5501.88</v>
      </c>
      <c r="P444" s="1">
        <v>561.71</v>
      </c>
      <c r="Q444" s="3">
        <v>8642.6</v>
      </c>
      <c r="R444" s="1">
        <v>945.41</v>
      </c>
      <c r="S444" s="3">
        <v>9851</v>
      </c>
      <c r="T444" s="3">
        <v>7633.91</v>
      </c>
      <c r="U444" s="3">
        <v>3505.02</v>
      </c>
      <c r="V444" s="6">
        <f>VLOOKUP(A444,[2]韩国KOSPI指数历史数据!$A:$B,2,)</f>
        <v>2404.04</v>
      </c>
      <c r="W444" s="6">
        <f>VLOOKUP(A444,[3]日经225指数历史数据!$A:$B,2,)</f>
        <v>22851.75</v>
      </c>
      <c r="X444" s="3">
        <v>1542.16</v>
      </c>
      <c r="Y444" s="6">
        <f>VLOOKUP(A444,[4]上证指数历史数据!$A:$B,2,)</f>
        <v>3021.9</v>
      </c>
      <c r="Z444" s="6">
        <f>VLOOKUP(A444,[5]深证成份指数历史数据!$A:$B,2,)</f>
        <v>9943.1299999999992</v>
      </c>
      <c r="AA444" s="6">
        <f>VLOOKUP(A444,[6]台湾加权指数历史数据!$A:$B,2,)</f>
        <v>11087.47</v>
      </c>
      <c r="AB444" s="3">
        <v>30309.49</v>
      </c>
      <c r="AC444" s="3">
        <v>3356.73</v>
      </c>
      <c r="AD444">
        <v>10817.7</v>
      </c>
      <c r="AE444" s="5">
        <f>VLOOKUP(A444,[7]越南VN30指数历史数据!$A:$B,2,)</f>
        <v>1005.04</v>
      </c>
      <c r="AF444">
        <v>51327.7</v>
      </c>
      <c r="AG444" s="9">
        <v>21043.3</v>
      </c>
      <c r="AH444">
        <v>12324.62</v>
      </c>
      <c r="AI444">
        <v>1761.28</v>
      </c>
      <c r="AJ444">
        <v>2311.11</v>
      </c>
    </row>
    <row r="445" spans="1:36" x14ac:dyDescent="0.3">
      <c r="A445" s="2">
        <v>43268</v>
      </c>
      <c r="B445" s="3">
        <v>30210.61</v>
      </c>
      <c r="C445" s="4">
        <v>70641</v>
      </c>
      <c r="D445" s="3">
        <v>6225.2</v>
      </c>
      <c r="E445" s="3">
        <v>24580.89</v>
      </c>
      <c r="F445" s="3">
        <v>16450.14</v>
      </c>
      <c r="G445" s="3">
        <v>1685.58</v>
      </c>
      <c r="H445" s="3">
        <v>2754.88</v>
      </c>
      <c r="I445" s="3">
        <v>7692.82</v>
      </c>
      <c r="J445" s="3">
        <v>46737.64</v>
      </c>
      <c r="K445" s="1">
        <v>27231.05</v>
      </c>
      <c r="L445" s="3">
        <v>2162.88</v>
      </c>
      <c r="M445" s="3">
        <v>12579.72</v>
      </c>
      <c r="N445" s="6">
        <f>VLOOKUP(A445,'[1]俄罗斯交易系统市值加权指数历史数据 (1)'!$A:$B,2,)</f>
        <v>1125.4100000000001</v>
      </c>
      <c r="O445" s="3">
        <v>5387.38</v>
      </c>
      <c r="P445" s="1">
        <v>560.34</v>
      </c>
      <c r="Q445" s="3">
        <v>8616.56</v>
      </c>
      <c r="R445" s="1">
        <v>958.52</v>
      </c>
      <c r="S445" s="3">
        <v>9792.1</v>
      </c>
      <c r="T445" s="3">
        <v>7682.27</v>
      </c>
      <c r="U445" s="3">
        <v>3441.6</v>
      </c>
      <c r="V445" s="6">
        <f>VLOOKUP(A445,[2]韩国KOSPI指数历史数据!$A:$B,2,)</f>
        <v>2357.2199999999998</v>
      </c>
      <c r="W445" s="6">
        <f>VLOOKUP(A445,[3]日经225指数历史数据!$A:$B,2,)</f>
        <v>22516.83</v>
      </c>
      <c r="X445" s="3">
        <v>1528.47</v>
      </c>
      <c r="Y445" s="6">
        <f>VLOOKUP(A445,[4]上证指数历史数据!$A:$B,2,)</f>
        <v>2889.76</v>
      </c>
      <c r="Z445" s="6">
        <f>VLOOKUP(A445,[5]深证成份指数历史数据!$A:$B,2,)</f>
        <v>9409.9500000000007</v>
      </c>
      <c r="AA445" s="6">
        <f>VLOOKUP(A445,[6]台湾加权指数历史数据!$A:$B,2,)</f>
        <v>10899.28</v>
      </c>
      <c r="AB445" s="3">
        <v>29338.7</v>
      </c>
      <c r="AC445" s="3">
        <v>3287.4</v>
      </c>
      <c r="AD445">
        <v>10821.85</v>
      </c>
      <c r="AE445" s="5">
        <f>VLOOKUP(A445,[7]越南VN30指数历史数据!$A:$B,2,)</f>
        <v>973.05</v>
      </c>
      <c r="AF445">
        <v>50623.1</v>
      </c>
      <c r="AG445" s="9">
        <v>21305.91</v>
      </c>
      <c r="AH445">
        <v>12233.63</v>
      </c>
      <c r="AI445">
        <v>1721.95</v>
      </c>
      <c r="AJ445">
        <v>2303.0100000000002</v>
      </c>
    </row>
    <row r="446" spans="1:36" x14ac:dyDescent="0.3">
      <c r="A446" s="2">
        <v>43275</v>
      </c>
      <c r="B446" s="3">
        <v>26037.01</v>
      </c>
      <c r="C446" s="4">
        <v>72763</v>
      </c>
      <c r="D446" s="3">
        <v>6194.6</v>
      </c>
      <c r="E446" s="3">
        <v>24271.41</v>
      </c>
      <c r="F446" s="3">
        <v>16277.73</v>
      </c>
      <c r="G446" s="3">
        <v>1643.07</v>
      </c>
      <c r="H446" s="3">
        <v>2718.37</v>
      </c>
      <c r="I446" s="3">
        <v>7510.3</v>
      </c>
      <c r="J446" s="3">
        <v>47663.199999999997</v>
      </c>
      <c r="K446" s="1">
        <v>26843.21</v>
      </c>
      <c r="L446" s="3">
        <v>2135.4699999999998</v>
      </c>
      <c r="M446" s="3">
        <v>12306</v>
      </c>
      <c r="N446" s="6">
        <f>VLOOKUP(A446,'[1]俄罗斯交易系统市值加权指数历史数据 (1)'!$A:$B,2,)</f>
        <v>1154.1600000000001</v>
      </c>
      <c r="O446" s="3">
        <v>5323.53</v>
      </c>
      <c r="P446" s="1">
        <v>551.67999999999995</v>
      </c>
      <c r="Q446" s="3">
        <v>8609.2999999999993</v>
      </c>
      <c r="R446" s="1">
        <v>965.2</v>
      </c>
      <c r="S446" s="3">
        <v>9622.7000000000007</v>
      </c>
      <c r="T446" s="3">
        <v>7636.93</v>
      </c>
      <c r="U446" s="3">
        <v>3395.6</v>
      </c>
      <c r="V446" s="6">
        <f>VLOOKUP(A446,[2]韩国KOSPI指数历史数据!$A:$B,2,)</f>
        <v>2326.13</v>
      </c>
      <c r="W446" s="6">
        <f>VLOOKUP(A446,[3]日经225指数历史数据!$A:$B,2,)</f>
        <v>22304.51</v>
      </c>
      <c r="X446" s="3">
        <v>1516.83</v>
      </c>
      <c r="Y446" s="6">
        <f>VLOOKUP(A446,[4]上证指数历史数据!$A:$B,2,)</f>
        <v>2847.42</v>
      </c>
      <c r="Z446" s="6">
        <f>VLOOKUP(A446,[5]深证成份指数历史数据!$A:$B,2,)</f>
        <v>9379.4699999999993</v>
      </c>
      <c r="AA446" s="6">
        <f>VLOOKUP(A446,[6]台湾加权指数历史数据!$A:$B,2,)</f>
        <v>10836.91</v>
      </c>
      <c r="AB446" s="3">
        <v>28955.11</v>
      </c>
      <c r="AC446" s="3">
        <v>3268.7</v>
      </c>
      <c r="AD446">
        <v>10714.3</v>
      </c>
      <c r="AE446" s="5">
        <f>VLOOKUP(A446,[7]越南VN30指数历史数据!$A:$B,2,)</f>
        <v>947.55</v>
      </c>
      <c r="AF446">
        <v>51516.06</v>
      </c>
      <c r="AG446" s="9">
        <v>21334.83</v>
      </c>
      <c r="AH446">
        <v>11878.65</v>
      </c>
      <c r="AI446">
        <v>1739.08</v>
      </c>
      <c r="AJ446">
        <v>2281.12</v>
      </c>
    </row>
    <row r="447" spans="1:36" x14ac:dyDescent="0.3">
      <c r="A447" s="2">
        <v>43282</v>
      </c>
      <c r="B447" s="3">
        <v>27611.040000000001</v>
      </c>
      <c r="C447" s="4">
        <v>75010</v>
      </c>
      <c r="D447" s="3">
        <v>6272.3</v>
      </c>
      <c r="E447" s="3">
        <v>24456.48</v>
      </c>
      <c r="F447" s="3">
        <v>16371.78</v>
      </c>
      <c r="G447" s="3">
        <v>1694.05</v>
      </c>
      <c r="H447" s="3">
        <v>2759.82</v>
      </c>
      <c r="I447" s="3">
        <v>7688.39</v>
      </c>
      <c r="J447" s="3">
        <v>48981.41</v>
      </c>
      <c r="K447" s="1">
        <v>26798.14</v>
      </c>
      <c r="L447" s="3">
        <v>2152.06</v>
      </c>
      <c r="M447" s="3">
        <v>12496.17</v>
      </c>
      <c r="N447" s="6">
        <f>VLOOKUP(A447,'[1]俄罗斯交易系统市值加权指数历史数据 (1)'!$A:$B,2,)</f>
        <v>1173.47</v>
      </c>
      <c r="O447" s="3">
        <v>5375.77</v>
      </c>
      <c r="P447" s="1">
        <v>553.62</v>
      </c>
      <c r="Q447" s="3">
        <v>8697.42</v>
      </c>
      <c r="R447" s="1">
        <v>987.34</v>
      </c>
      <c r="S447" s="3">
        <v>9905</v>
      </c>
      <c r="T447" s="3">
        <v>7617.7</v>
      </c>
      <c r="U447" s="3">
        <v>3448.49</v>
      </c>
      <c r="V447" s="6">
        <f>VLOOKUP(A447,[2]韩国KOSPI指数历史数据!$A:$B,2,)</f>
        <v>2272.87</v>
      </c>
      <c r="W447" s="6">
        <f>VLOOKUP(A447,[3]日经225指数历史数据!$A:$B,2,)</f>
        <v>21788.14</v>
      </c>
      <c r="X447" s="3">
        <v>1523.75</v>
      </c>
      <c r="Y447" s="6">
        <f>VLOOKUP(A447,[4]上证指数历史数据!$A:$B,2,)</f>
        <v>2747.23</v>
      </c>
      <c r="Z447" s="6">
        <f>VLOOKUP(A447,[5]深证成份指数历史数据!$A:$B,2,)</f>
        <v>8911.34</v>
      </c>
      <c r="AA447" s="6">
        <f>VLOOKUP(A447,[6]台湾加权指数历史数据!$A:$B,2,)</f>
        <v>10608.57</v>
      </c>
      <c r="AB447" s="3">
        <v>28315.62</v>
      </c>
      <c r="AC447" s="3">
        <v>3191.82</v>
      </c>
      <c r="AD447">
        <v>10772.65</v>
      </c>
      <c r="AE447" s="5">
        <f>VLOOKUP(A447,[7]越南VN30指数历史数据!$A:$B,2,)</f>
        <v>905.62</v>
      </c>
      <c r="AF447">
        <v>51122.67</v>
      </c>
      <c r="AG447" s="9">
        <v>21005.73</v>
      </c>
      <c r="AH447">
        <v>11703</v>
      </c>
      <c r="AI447">
        <v>1705.14</v>
      </c>
      <c r="AJ447">
        <v>2300.71</v>
      </c>
    </row>
    <row r="448" spans="1:36" x14ac:dyDescent="0.3">
      <c r="A448" s="2">
        <v>43289</v>
      </c>
      <c r="B448" s="3">
        <v>26514.16</v>
      </c>
      <c r="C448" s="4">
        <v>76594</v>
      </c>
      <c r="D448" s="3">
        <v>6268.4</v>
      </c>
      <c r="E448" s="3">
        <v>25019.41</v>
      </c>
      <c r="F448" s="3">
        <v>16561.12</v>
      </c>
      <c r="G448" s="3">
        <v>1687.08</v>
      </c>
      <c r="H448" s="3">
        <v>2801.31</v>
      </c>
      <c r="I448" s="3">
        <v>7825.98</v>
      </c>
      <c r="J448" s="3">
        <v>48406.01</v>
      </c>
      <c r="K448" s="1">
        <v>26849.63</v>
      </c>
      <c r="L448" s="3">
        <v>2157.14</v>
      </c>
      <c r="M448" s="3">
        <v>12540.73</v>
      </c>
      <c r="N448" s="6">
        <f>VLOOKUP(A448,'[1]俄罗斯交易系统市值加权指数历史数据 (1)'!$A:$B,2,)</f>
        <v>1189.3499999999999</v>
      </c>
      <c r="O448" s="3">
        <v>5429.2</v>
      </c>
      <c r="P448" s="1">
        <v>560.12</v>
      </c>
      <c r="Q448" s="3">
        <v>8861.0499999999993</v>
      </c>
      <c r="R448" s="1">
        <v>898.98</v>
      </c>
      <c r="S448" s="3">
        <v>9734.7999999999993</v>
      </c>
      <c r="T448" s="3">
        <v>7661.87</v>
      </c>
      <c r="U448" s="3">
        <v>3454.54</v>
      </c>
      <c r="V448" s="6">
        <f>VLOOKUP(A448,[2]韩国KOSPI指数历史数据!$A:$B,2,)</f>
        <v>2310.9</v>
      </c>
      <c r="W448" s="6">
        <f>VLOOKUP(A448,[3]日经225指数历史数据!$A:$B,2,)</f>
        <v>22597.35</v>
      </c>
      <c r="X448" s="3">
        <v>1549.7</v>
      </c>
      <c r="Y448" s="6">
        <f>VLOOKUP(A448,[4]上证指数历史数据!$A:$B,2,)</f>
        <v>2831.18</v>
      </c>
      <c r="Z448" s="6">
        <f>VLOOKUP(A448,[5]深证成份指数历史数据!$A:$B,2,)</f>
        <v>9326.9699999999993</v>
      </c>
      <c r="AA448" s="6">
        <f>VLOOKUP(A448,[6]台湾加权指数历史数据!$A:$B,2,)</f>
        <v>10864.54</v>
      </c>
      <c r="AB448" s="3">
        <v>28525.439999999999</v>
      </c>
      <c r="AC448" s="3">
        <v>3260.35</v>
      </c>
      <c r="AD448">
        <v>11018.9</v>
      </c>
      <c r="AE448" s="5">
        <f>VLOOKUP(A448,[7]越南VN30指数历史数据!$A:$B,2,)</f>
        <v>899.45</v>
      </c>
      <c r="AF448">
        <v>50244.08</v>
      </c>
      <c r="AG448" s="9">
        <v>20686.3</v>
      </c>
      <c r="AH448">
        <v>11486.28</v>
      </c>
      <c r="AI448">
        <v>1691.62</v>
      </c>
      <c r="AJ448">
        <v>2293.39</v>
      </c>
    </row>
    <row r="449" spans="1:36" x14ac:dyDescent="0.3">
      <c r="A449" s="2">
        <v>43296</v>
      </c>
      <c r="B449" s="3">
        <v>27625.34</v>
      </c>
      <c r="C449" s="4">
        <v>78571</v>
      </c>
      <c r="D449" s="3">
        <v>6285.9</v>
      </c>
      <c r="E449" s="3">
        <v>25058.12</v>
      </c>
      <c r="F449" s="3">
        <v>16435.46</v>
      </c>
      <c r="G449" s="3">
        <v>1696.81</v>
      </c>
      <c r="H449" s="3">
        <v>2801.83</v>
      </c>
      <c r="I449" s="3">
        <v>7820.2</v>
      </c>
      <c r="J449" s="3">
        <v>48908.24</v>
      </c>
      <c r="K449" s="1">
        <v>27337.74</v>
      </c>
      <c r="L449" s="3">
        <v>2182.92</v>
      </c>
      <c r="M449" s="3">
        <v>12561.42</v>
      </c>
      <c r="N449" s="6">
        <f>VLOOKUP(A449,'[1]俄罗斯交易系统市值加权指数历史数据 (1)'!$A:$B,2,)</f>
        <v>1114.5899999999999</v>
      </c>
      <c r="O449" s="3">
        <v>5398.32</v>
      </c>
      <c r="P449" s="1">
        <v>572.20000000000005</v>
      </c>
      <c r="Q449" s="3">
        <v>8991.34</v>
      </c>
      <c r="R449" s="1">
        <v>940.82</v>
      </c>
      <c r="S449" s="3">
        <v>9724.7999999999993</v>
      </c>
      <c r="T449" s="3">
        <v>7678.79</v>
      </c>
      <c r="U449" s="3">
        <v>3460.03</v>
      </c>
      <c r="V449" s="6">
        <f>VLOOKUP(A449,[2]韩国KOSPI指数历史数据!$A:$B,2,)</f>
        <v>2289.19</v>
      </c>
      <c r="W449" s="6">
        <f>VLOOKUP(A449,[3]日经225指数历史数据!$A:$B,2,)</f>
        <v>22697.88</v>
      </c>
      <c r="X449" s="3">
        <v>1544.13</v>
      </c>
      <c r="Y449" s="6">
        <f>VLOOKUP(A449,[4]上证指数历史数据!$A:$B,2,)</f>
        <v>2829.27</v>
      </c>
      <c r="Z449" s="6">
        <f>VLOOKUP(A449,[5]深证成份指数历史数据!$A:$B,2,)</f>
        <v>9251.48</v>
      </c>
      <c r="AA449" s="6">
        <f>VLOOKUP(A449,[6]台湾加权指数历史数据!$A:$B,2,)</f>
        <v>10932.11</v>
      </c>
      <c r="AB449" s="3">
        <v>28224.48</v>
      </c>
      <c r="AC449" s="3">
        <v>3297.83</v>
      </c>
      <c r="AD449">
        <v>11010.2</v>
      </c>
      <c r="AE449" s="5">
        <f>VLOOKUP(A449,[7]越南VN30指数历史数据!$A:$B,2,)</f>
        <v>926.5</v>
      </c>
      <c r="AF449">
        <v>50904.2</v>
      </c>
      <c r="AG449" s="9">
        <v>20120.21</v>
      </c>
      <c r="AH449">
        <v>11427.98</v>
      </c>
      <c r="AI449">
        <v>1642.22</v>
      </c>
      <c r="AJ449">
        <v>2282.39</v>
      </c>
    </row>
    <row r="450" spans="1:36" x14ac:dyDescent="0.3">
      <c r="A450" s="2">
        <v>43303</v>
      </c>
      <c r="B450" s="3">
        <v>29259.02</v>
      </c>
      <c r="C450" s="4">
        <v>79866</v>
      </c>
      <c r="D450" s="3">
        <v>6300.2</v>
      </c>
      <c r="E450" s="3">
        <v>25451.06</v>
      </c>
      <c r="F450" s="3">
        <v>16393.95</v>
      </c>
      <c r="G450" s="3">
        <v>1663.34</v>
      </c>
      <c r="H450" s="3">
        <v>2818.82</v>
      </c>
      <c r="I450" s="3">
        <v>7737.42</v>
      </c>
      <c r="J450" s="3">
        <v>49643.94</v>
      </c>
      <c r="K450" s="1">
        <v>27088.99</v>
      </c>
      <c r="L450" s="3">
        <v>2290.77</v>
      </c>
      <c r="M450" s="3">
        <v>12860.4</v>
      </c>
      <c r="N450" s="6">
        <f>VLOOKUP(A450,'[1]俄罗斯交易系统市值加权指数历史数据 (1)'!$A:$B,2,)</f>
        <v>1151.74</v>
      </c>
      <c r="O450" s="3">
        <v>5511.76</v>
      </c>
      <c r="P450" s="1">
        <v>576.24</v>
      </c>
      <c r="Q450" s="3">
        <v>9173.2000000000007</v>
      </c>
      <c r="R450" s="1">
        <v>955.85</v>
      </c>
      <c r="S450" s="3">
        <v>9867.9</v>
      </c>
      <c r="T450" s="3">
        <v>7701.31</v>
      </c>
      <c r="U450" s="3">
        <v>3527.18</v>
      </c>
      <c r="V450" s="6">
        <f>VLOOKUP(A450,[2]韩国KOSPI指数历史数据!$A:$B,2,)</f>
        <v>2294.9899999999998</v>
      </c>
      <c r="W450" s="6">
        <f>VLOOKUP(A450,[3]日经225指数历史数据!$A:$B,2,)</f>
        <v>22712.75</v>
      </c>
      <c r="X450" s="3">
        <v>1577.7</v>
      </c>
      <c r="Y450" s="6">
        <f>VLOOKUP(A450,[4]上证指数历史数据!$A:$B,2,)</f>
        <v>2873.59</v>
      </c>
      <c r="Z450" s="6">
        <f>VLOOKUP(A450,[5]深证成份指数历史数据!$A:$B,2,)</f>
        <v>9295.93</v>
      </c>
      <c r="AA450" s="6">
        <f>VLOOKUP(A450,[6]台湾加权指数历史数据!$A:$B,2,)</f>
        <v>11075.78</v>
      </c>
      <c r="AB450" s="3">
        <v>28804.28</v>
      </c>
      <c r="AC450" s="3">
        <v>3324.98</v>
      </c>
      <c r="AD450">
        <v>11278.35</v>
      </c>
      <c r="AE450" s="5">
        <f>VLOOKUP(A450,[7]越南VN30指数历史数据!$A:$B,2,)</f>
        <v>927.19</v>
      </c>
      <c r="AF450">
        <v>51126.9</v>
      </c>
      <c r="AG450" s="9">
        <v>19740.509999999998</v>
      </c>
      <c r="AH450">
        <v>11736.66</v>
      </c>
      <c r="AI450">
        <v>1642.22</v>
      </c>
      <c r="AJ450">
        <v>2316.67</v>
      </c>
    </row>
    <row r="451" spans="1:36" x14ac:dyDescent="0.3">
      <c r="A451" s="2">
        <v>43310</v>
      </c>
      <c r="B451" s="3">
        <v>29215.98</v>
      </c>
      <c r="C451" s="4">
        <v>81435</v>
      </c>
      <c r="D451" s="3">
        <v>6234.8</v>
      </c>
      <c r="E451" s="3">
        <v>25462.58</v>
      </c>
      <c r="F451" s="3">
        <v>16420.240000000002</v>
      </c>
      <c r="G451" s="3">
        <v>1673.37</v>
      </c>
      <c r="H451" s="3">
        <v>2840.35</v>
      </c>
      <c r="I451" s="3">
        <v>7812.02</v>
      </c>
      <c r="J451" s="3">
        <v>49302.57</v>
      </c>
      <c r="K451" s="1">
        <v>27256.71</v>
      </c>
      <c r="L451" s="3">
        <v>2286.92</v>
      </c>
      <c r="M451" s="3">
        <v>12615.76</v>
      </c>
      <c r="N451" s="6">
        <f>VLOOKUP(A451,'[1]俄罗斯交易系统市值加权指数历史数据 (1)'!$A:$B,2,)</f>
        <v>1145.08</v>
      </c>
      <c r="O451" s="3">
        <v>5478.98</v>
      </c>
      <c r="P451" s="1">
        <v>572.29</v>
      </c>
      <c r="Q451" s="3">
        <v>9158</v>
      </c>
      <c r="R451" s="1">
        <v>956.1</v>
      </c>
      <c r="S451" s="3">
        <v>9739.7999999999993</v>
      </c>
      <c r="T451" s="3">
        <v>7659.1</v>
      </c>
      <c r="U451" s="3">
        <v>3482.4</v>
      </c>
      <c r="V451" s="6">
        <f>VLOOKUP(A451,[2]韩国KOSPI指数历史数据!$A:$B,2,)</f>
        <v>2287.6799999999998</v>
      </c>
      <c r="W451" s="6">
        <f>VLOOKUP(A451,[3]日经225指数历史数据!$A:$B,2,)</f>
        <v>22525.18</v>
      </c>
      <c r="X451" s="3">
        <v>1578</v>
      </c>
      <c r="Y451" s="6">
        <f>VLOOKUP(A451,[4]上证指数历史数据!$A:$B,2,)</f>
        <v>2740.44</v>
      </c>
      <c r="Z451" s="6">
        <f>VLOOKUP(A451,[5]深证成份指数历史数据!$A:$B,2,)</f>
        <v>8602.1200000000008</v>
      </c>
      <c r="AA451" s="6">
        <f>VLOOKUP(A451,[6]台湾加权指数历史数据!$A:$B,2,)</f>
        <v>11012.43</v>
      </c>
      <c r="AB451" s="3">
        <v>27676.32</v>
      </c>
      <c r="AC451" s="3">
        <v>3265.73</v>
      </c>
      <c r="AD451">
        <v>11360.8</v>
      </c>
      <c r="AE451" s="5">
        <f>VLOOKUP(A451,[7]越南VN30指数历史数据!$A:$B,2,)</f>
        <v>941.12</v>
      </c>
      <c r="AF451">
        <v>50988.46</v>
      </c>
      <c r="AG451" s="9">
        <v>20445.12</v>
      </c>
      <c r="AH451">
        <v>11732.55</v>
      </c>
      <c r="AI451">
        <v>1643.87</v>
      </c>
      <c r="AJ451">
        <v>2315.46</v>
      </c>
    </row>
    <row r="452" spans="1:36" x14ac:dyDescent="0.3">
      <c r="A452" s="2">
        <v>43317</v>
      </c>
      <c r="B452" s="3">
        <v>26856.15</v>
      </c>
      <c r="C452" s="4">
        <v>76514</v>
      </c>
      <c r="D452" s="3">
        <v>6278.4</v>
      </c>
      <c r="E452" s="3">
        <v>25313.14</v>
      </c>
      <c r="F452" s="3">
        <v>16326.51</v>
      </c>
      <c r="G452" s="3">
        <v>1686.8</v>
      </c>
      <c r="H452" s="3">
        <v>2833.28</v>
      </c>
      <c r="I452" s="3">
        <v>7839.11</v>
      </c>
      <c r="J452" s="3">
        <v>48383.59</v>
      </c>
      <c r="K452" s="1">
        <v>26663.91</v>
      </c>
      <c r="L452" s="3">
        <v>2247.15</v>
      </c>
      <c r="M452" s="3">
        <v>12424.35</v>
      </c>
      <c r="N452" s="6">
        <f>VLOOKUP(A452,'[1]俄罗斯交易系统市值加权指数历史数据 (1)'!$A:$B,2,)</f>
        <v>1056.93</v>
      </c>
      <c r="O452" s="3">
        <v>5414.68</v>
      </c>
      <c r="P452" s="1">
        <v>562.98</v>
      </c>
      <c r="Q452" s="3">
        <v>9031.33</v>
      </c>
      <c r="R452" s="1">
        <v>949.4</v>
      </c>
      <c r="S452" s="3">
        <v>9602.1</v>
      </c>
      <c r="T452" s="3">
        <v>7667.01</v>
      </c>
      <c r="U452" s="3">
        <v>3426.28</v>
      </c>
      <c r="V452" s="6">
        <f>VLOOKUP(A452,[2]韩国KOSPI指数历史数据!$A:$B,2,)</f>
        <v>2282.79</v>
      </c>
      <c r="W452" s="6">
        <f>VLOOKUP(A452,[3]日经225指数历史数据!$A:$B,2,)</f>
        <v>22298.080000000002</v>
      </c>
      <c r="X452" s="3">
        <v>1589.84</v>
      </c>
      <c r="Y452" s="6">
        <f>VLOOKUP(A452,[4]上证指数历史数据!$A:$B,2,)</f>
        <v>2795.31</v>
      </c>
      <c r="Z452" s="6">
        <f>VLOOKUP(A452,[5]深证成份指数历史数据!$A:$B,2,)</f>
        <v>8813.49</v>
      </c>
      <c r="AA452" s="6">
        <f>VLOOKUP(A452,[6]台湾加权指数历史数据!$A:$B,2,)</f>
        <v>10983.68</v>
      </c>
      <c r="AB452" s="3">
        <v>28366.62</v>
      </c>
      <c r="AC452" s="3">
        <v>3284.78</v>
      </c>
      <c r="AD452">
        <v>11429.5</v>
      </c>
      <c r="AE452" s="5">
        <f>VLOOKUP(A452,[7]越南VN30指数历史数据!$A:$B,2,)</f>
        <v>948.32</v>
      </c>
      <c r="AF452">
        <v>51577.23</v>
      </c>
      <c r="AG452" s="9">
        <v>20640.53</v>
      </c>
      <c r="AH452">
        <v>11702.66</v>
      </c>
      <c r="AI452">
        <v>1602.31</v>
      </c>
      <c r="AJ452">
        <v>2330.39</v>
      </c>
    </row>
    <row r="453" spans="1:36" x14ac:dyDescent="0.3">
      <c r="A453" s="2">
        <v>43324</v>
      </c>
      <c r="B453" s="3">
        <v>26238.82</v>
      </c>
      <c r="C453" s="4">
        <v>76029</v>
      </c>
      <c r="D453" s="3">
        <v>6339.2</v>
      </c>
      <c r="E453" s="3">
        <v>25669.32</v>
      </c>
      <c r="F453" s="3">
        <v>16323.71</v>
      </c>
      <c r="G453" s="3">
        <v>1692.95</v>
      </c>
      <c r="H453" s="3">
        <v>2850.13</v>
      </c>
      <c r="I453" s="3">
        <v>7816.33</v>
      </c>
      <c r="J453" s="3">
        <v>48264.63</v>
      </c>
      <c r="K453" s="1">
        <v>26502.46</v>
      </c>
      <c r="L453" s="3">
        <v>2217.7399999999998</v>
      </c>
      <c r="M453" s="3">
        <v>12210.55</v>
      </c>
      <c r="N453" s="6">
        <f>VLOOKUP(A453,'[1]俄罗斯交易系统市值加权指数历史数据 (1)'!$A:$B,2,)</f>
        <v>1052.74</v>
      </c>
      <c r="O453" s="3">
        <v>5344.93</v>
      </c>
      <c r="P453" s="1">
        <v>552.95000000000005</v>
      </c>
      <c r="Q453" s="3">
        <v>9003.91</v>
      </c>
      <c r="R453" s="1">
        <v>887.35</v>
      </c>
      <c r="S453" s="3">
        <v>9417.2999999999993</v>
      </c>
      <c r="T453" s="3">
        <v>7558.59</v>
      </c>
      <c r="U453" s="3">
        <v>3372.94</v>
      </c>
      <c r="V453" s="6">
        <f>VLOOKUP(A453,[2]韩国KOSPI指数历史数据!$A:$B,2,)</f>
        <v>2247.0500000000002</v>
      </c>
      <c r="W453" s="6">
        <f>VLOOKUP(A453,[3]日经225指数历史数据!$A:$B,2,)</f>
        <v>22270.38</v>
      </c>
      <c r="X453" s="3">
        <v>1582.79</v>
      </c>
      <c r="Y453" s="6">
        <f>VLOOKUP(A453,[4]上证指数历史数据!$A:$B,2,)</f>
        <v>2668.97</v>
      </c>
      <c r="Z453" s="6">
        <f>VLOOKUP(A453,[5]深证成份指数历史数据!$A:$B,2,)</f>
        <v>8357.0400000000009</v>
      </c>
      <c r="AA453" s="6">
        <f>VLOOKUP(A453,[6]台湾加权指数历史数据!$A:$B,2,)</f>
        <v>10690.96</v>
      </c>
      <c r="AB453" s="3">
        <v>27213.41</v>
      </c>
      <c r="AC453" s="3">
        <v>3209.44</v>
      </c>
      <c r="AD453">
        <v>11470.75</v>
      </c>
      <c r="AE453" s="5">
        <f>VLOOKUP(A453,[7]越南VN30指数历史数据!$A:$B,2,)</f>
        <v>949.23</v>
      </c>
      <c r="AF453">
        <v>50601.89</v>
      </c>
      <c r="AG453" s="9">
        <v>19720.03</v>
      </c>
      <c r="AH453">
        <v>11720.32</v>
      </c>
      <c r="AI453">
        <v>1589.77</v>
      </c>
      <c r="AJ453">
        <v>2277.69</v>
      </c>
    </row>
    <row r="454" spans="1:36" x14ac:dyDescent="0.3">
      <c r="A454" s="2">
        <v>43331</v>
      </c>
      <c r="B454" s="3">
        <v>25167.96</v>
      </c>
      <c r="C454" s="4">
        <v>76262</v>
      </c>
      <c r="D454" s="3">
        <v>6247.3</v>
      </c>
      <c r="E454" s="3">
        <v>25790.35</v>
      </c>
      <c r="F454" s="3">
        <v>16356.05</v>
      </c>
      <c r="G454" s="3">
        <v>1725.67</v>
      </c>
      <c r="H454" s="3">
        <v>2874.69</v>
      </c>
      <c r="I454" s="3">
        <v>7945.98</v>
      </c>
      <c r="J454" s="3">
        <v>49633.77</v>
      </c>
      <c r="K454" s="1">
        <v>26561.360000000001</v>
      </c>
      <c r="L454" s="3">
        <v>2312.6999999999998</v>
      </c>
      <c r="M454" s="3">
        <v>12394.52</v>
      </c>
      <c r="N454" s="6">
        <f>VLOOKUP(A454,'[1]俄罗斯交易系统市值加权指数历史数据 (1)'!$A:$B,2,)</f>
        <v>1064.46</v>
      </c>
      <c r="O454" s="3">
        <v>5432.5</v>
      </c>
      <c r="P454" s="1">
        <v>560.29</v>
      </c>
      <c r="Q454" s="3">
        <v>9052.9</v>
      </c>
      <c r="R454" s="1">
        <v>901.86</v>
      </c>
      <c r="S454" s="3">
        <v>9589.5</v>
      </c>
      <c r="T454" s="3">
        <v>7577.49</v>
      </c>
      <c r="U454" s="3">
        <v>3427.44</v>
      </c>
      <c r="V454" s="6">
        <f>VLOOKUP(A454,[2]韩国KOSPI指数历史数据!$A:$B,2,)</f>
        <v>2293.21</v>
      </c>
      <c r="W454" s="6">
        <f>VLOOKUP(A454,[3]日经225指数历史数据!$A:$B,2,)</f>
        <v>22601.77</v>
      </c>
      <c r="X454" s="3">
        <v>1634.02</v>
      </c>
      <c r="Y454" s="6">
        <f>VLOOKUP(A454,[4]上证指数历史数据!$A:$B,2,)</f>
        <v>2729.43</v>
      </c>
      <c r="Z454" s="6">
        <f>VLOOKUP(A454,[5]深证成份指数历史数据!$A:$B,2,)</f>
        <v>8484.74</v>
      </c>
      <c r="AA454" s="6">
        <f>VLOOKUP(A454,[6]台湾加权指数历史数据!$A:$B,2,)</f>
        <v>10809.35</v>
      </c>
      <c r="AB454" s="3">
        <v>27671.87</v>
      </c>
      <c r="AC454" s="3">
        <v>3213</v>
      </c>
      <c r="AD454">
        <v>11557.1</v>
      </c>
      <c r="AE454" s="5">
        <f>VLOOKUP(A454,[7]越南VN30指数历史数据!$A:$B,2,)</f>
        <v>960.42</v>
      </c>
      <c r="AF454">
        <v>52741.71</v>
      </c>
      <c r="AG454" s="9">
        <v>19708.21</v>
      </c>
      <c r="AH454">
        <v>11702.84</v>
      </c>
      <c r="AI454">
        <v>1582.08</v>
      </c>
      <c r="AJ454">
        <v>2253.96</v>
      </c>
    </row>
    <row r="455" spans="1:36" x14ac:dyDescent="0.3">
      <c r="A455" s="2">
        <v>43338</v>
      </c>
      <c r="B455" s="3">
        <v>29293.52</v>
      </c>
      <c r="C455" s="4">
        <v>76678</v>
      </c>
      <c r="D455" s="3">
        <v>6319.5</v>
      </c>
      <c r="E455" s="3">
        <v>25964.82</v>
      </c>
      <c r="F455" s="3">
        <v>16262.88</v>
      </c>
      <c r="G455" s="3">
        <v>1740.75</v>
      </c>
      <c r="H455" s="3">
        <v>2901.52</v>
      </c>
      <c r="I455" s="3">
        <v>8109.54</v>
      </c>
      <c r="J455" s="3">
        <v>49547.68</v>
      </c>
      <c r="K455" s="1">
        <v>26589.85</v>
      </c>
      <c r="L455" s="3">
        <v>2337.96</v>
      </c>
      <c r="M455" s="3">
        <v>12364.06</v>
      </c>
      <c r="N455" s="6">
        <f>VLOOKUP(A455,'[1]俄罗斯交易系统市值加权指数历史数据 (1)'!$A:$B,2,)</f>
        <v>1092.29</v>
      </c>
      <c r="O455" s="3">
        <v>5406.85</v>
      </c>
      <c r="P455" s="1">
        <v>558.41999999999996</v>
      </c>
      <c r="Q455" s="3">
        <v>8973.56</v>
      </c>
      <c r="R455" s="1">
        <v>927.23</v>
      </c>
      <c r="S455" s="3">
        <v>9399.1</v>
      </c>
      <c r="T455" s="3">
        <v>7432.42</v>
      </c>
      <c r="U455" s="3">
        <v>3392.9</v>
      </c>
      <c r="V455" s="6">
        <f>VLOOKUP(A455,[2]韩国KOSPI指数历史数据!$A:$B,2,)</f>
        <v>2322.88</v>
      </c>
      <c r="W455" s="6">
        <f>VLOOKUP(A455,[3]日经225指数历史数据!$A:$B,2,)</f>
        <v>22865.15</v>
      </c>
      <c r="X455" s="3">
        <v>1666.04</v>
      </c>
      <c r="Y455" s="6">
        <f>VLOOKUP(A455,[4]上证指数历史数据!$A:$B,2,)</f>
        <v>2725.25</v>
      </c>
      <c r="Z455" s="6">
        <f>VLOOKUP(A455,[5]深证成份指数历史数据!$A:$B,2,)</f>
        <v>8465.4699999999993</v>
      </c>
      <c r="AA455" s="6">
        <f>VLOOKUP(A455,[6]台湾加权指数历史数据!$A:$B,2,)</f>
        <v>11063.94</v>
      </c>
      <c r="AB455" s="3">
        <v>27888.55</v>
      </c>
      <c r="AC455" s="3">
        <v>3213.48</v>
      </c>
      <c r="AD455">
        <v>11680.5</v>
      </c>
      <c r="AE455" s="5">
        <f>VLOOKUP(A455,[7]越南VN30指数历史数据!$A:$B,2,)</f>
        <v>969.23</v>
      </c>
      <c r="AF455">
        <v>52464.01</v>
      </c>
      <c r="AG455" s="9">
        <v>20673.98</v>
      </c>
      <c r="AH455">
        <v>11546.49</v>
      </c>
      <c r="AI455">
        <v>1561.37</v>
      </c>
      <c r="AJ455">
        <v>2215.14</v>
      </c>
    </row>
    <row r="456" spans="1:36" x14ac:dyDescent="0.3">
      <c r="A456" s="2">
        <v>43345</v>
      </c>
      <c r="B456" s="3">
        <v>29811.22</v>
      </c>
      <c r="C456" s="4">
        <v>76416</v>
      </c>
      <c r="D456" s="3">
        <v>6143.8</v>
      </c>
      <c r="E456" s="3">
        <v>25916.54</v>
      </c>
      <c r="F456" s="3">
        <v>16090.27</v>
      </c>
      <c r="G456" s="3">
        <v>1713.18</v>
      </c>
      <c r="H456" s="3">
        <v>2871.68</v>
      </c>
      <c r="I456" s="3">
        <v>7902.54</v>
      </c>
      <c r="J456" s="3">
        <v>48971.14</v>
      </c>
      <c r="K456" s="1">
        <v>26452.09</v>
      </c>
      <c r="L456" s="3">
        <v>2257.3000000000002</v>
      </c>
      <c r="M456" s="3">
        <v>11959.63</v>
      </c>
      <c r="N456" s="6">
        <f>VLOOKUP(A456,'[1]俄罗斯交易系统市值加权指数历史数据 (1)'!$A:$B,2,)</f>
        <v>1050.51</v>
      </c>
      <c r="O456" s="3">
        <v>5252.22</v>
      </c>
      <c r="P456" s="1">
        <v>538.51</v>
      </c>
      <c r="Q456" s="3">
        <v>8843.11</v>
      </c>
      <c r="R456" s="1">
        <v>932.74</v>
      </c>
      <c r="S456" s="3">
        <v>9171.2000000000007</v>
      </c>
      <c r="T456" s="3">
        <v>7277.7</v>
      </c>
      <c r="U456" s="3">
        <v>3293.36</v>
      </c>
      <c r="V456" s="6">
        <f>VLOOKUP(A456,[2]韩国KOSPI指数历史数据!$A:$B,2,)</f>
        <v>2281.58</v>
      </c>
      <c r="W456" s="6">
        <f>VLOOKUP(A456,[3]日经225指数历史数据!$A:$B,2,)</f>
        <v>22307.06</v>
      </c>
      <c r="X456" s="3">
        <v>1635.28</v>
      </c>
      <c r="Y456" s="6">
        <f>VLOOKUP(A456,[4]上证指数历史数据!$A:$B,2,)</f>
        <v>2702.3</v>
      </c>
      <c r="Z456" s="6">
        <f>VLOOKUP(A456,[5]深证成份指数历史数据!$A:$B,2,)</f>
        <v>8322.36</v>
      </c>
      <c r="AA456" s="6">
        <f>VLOOKUP(A456,[6]台湾加权指数历史数据!$A:$B,2,)</f>
        <v>10846.99</v>
      </c>
      <c r="AB456" s="3">
        <v>26973.47</v>
      </c>
      <c r="AC456" s="3">
        <v>3134.39</v>
      </c>
      <c r="AD456">
        <v>11589.1</v>
      </c>
      <c r="AE456" s="5">
        <f>VLOOKUP(A456,[7]越南VN30指数历史数据!$A:$B,2,)</f>
        <v>945.59</v>
      </c>
      <c r="AF456">
        <v>50832.75</v>
      </c>
      <c r="AG456" s="9">
        <v>20437.63</v>
      </c>
      <c r="AH456">
        <v>11102.93</v>
      </c>
      <c r="AI456">
        <v>1520.07</v>
      </c>
      <c r="AJ456">
        <v>2177.52</v>
      </c>
    </row>
    <row r="457" spans="1:36" x14ac:dyDescent="0.3">
      <c r="A457" s="2">
        <v>43352</v>
      </c>
      <c r="B457" s="3">
        <v>30177.43</v>
      </c>
      <c r="C457" s="4">
        <v>75429</v>
      </c>
      <c r="D457" s="3">
        <v>6165.3</v>
      </c>
      <c r="E457" s="3">
        <v>26154.67</v>
      </c>
      <c r="F457" s="3">
        <v>16013.49</v>
      </c>
      <c r="G457" s="3">
        <v>1721.72</v>
      </c>
      <c r="H457" s="3">
        <v>2904.98</v>
      </c>
      <c r="I457" s="3">
        <v>8010.04</v>
      </c>
      <c r="J457" s="3">
        <v>49611.93</v>
      </c>
      <c r="K457" s="1">
        <v>27104.65</v>
      </c>
      <c r="L457" s="3">
        <v>2232.0700000000002</v>
      </c>
      <c r="M457" s="3">
        <v>12124.33</v>
      </c>
      <c r="N457" s="6">
        <f>VLOOKUP(A457,'[1]俄罗斯交易系统市值加权指数历史数据 (1)'!$A:$B,2,)</f>
        <v>1094.73</v>
      </c>
      <c r="O457" s="3">
        <v>5352.57</v>
      </c>
      <c r="P457" s="1">
        <v>540.53</v>
      </c>
      <c r="Q457" s="3">
        <v>8970</v>
      </c>
      <c r="R457" s="1">
        <v>947.6</v>
      </c>
      <c r="S457" s="3">
        <v>9365.2999999999993</v>
      </c>
      <c r="T457" s="3">
        <v>7304.04</v>
      </c>
      <c r="U457" s="3">
        <v>3344.63</v>
      </c>
      <c r="V457" s="6">
        <f>VLOOKUP(A457,[2]韩国KOSPI指数历史数据!$A:$B,2,)</f>
        <v>2318.25</v>
      </c>
      <c r="W457" s="6">
        <f>VLOOKUP(A457,[3]日经225指数历史数据!$A:$B,2,)</f>
        <v>23094.67</v>
      </c>
      <c r="X457" s="3">
        <v>1627.84</v>
      </c>
      <c r="Y457" s="6">
        <f>VLOOKUP(A457,[4]上证指数历史数据!$A:$B,2,)</f>
        <v>2681.64</v>
      </c>
      <c r="Z457" s="6">
        <f>VLOOKUP(A457,[5]深证成份指数历史数据!$A:$B,2,)</f>
        <v>8113.88</v>
      </c>
      <c r="AA457" s="6">
        <f>VLOOKUP(A457,[6]台湾加权指数历史数据!$A:$B,2,)</f>
        <v>10868.14</v>
      </c>
      <c r="AB457" s="3">
        <v>27286.41</v>
      </c>
      <c r="AC457" s="3">
        <v>3161.42</v>
      </c>
      <c r="AD457">
        <v>11515.2</v>
      </c>
      <c r="AE457" s="5">
        <f>VLOOKUP(A457,[7]越南VN30指数历史数据!$A:$B,2,)</f>
        <v>960.33</v>
      </c>
      <c r="AF457">
        <v>50440.98</v>
      </c>
      <c r="AG457" s="9">
        <v>19729.77</v>
      </c>
      <c r="AH457">
        <v>11162.43</v>
      </c>
      <c r="AI457">
        <v>1444.73</v>
      </c>
      <c r="AJ457">
        <v>2077.3200000000002</v>
      </c>
    </row>
    <row r="458" spans="1:36" x14ac:dyDescent="0.3">
      <c r="A458" s="2">
        <v>43359</v>
      </c>
      <c r="B458" s="3">
        <v>34327.120000000003</v>
      </c>
      <c r="C458" s="4">
        <v>79444</v>
      </c>
      <c r="D458" s="3">
        <v>6194.6</v>
      </c>
      <c r="E458" s="3">
        <v>26743.5</v>
      </c>
      <c r="F458" s="3">
        <v>16224.13</v>
      </c>
      <c r="G458" s="3">
        <v>1712.32</v>
      </c>
      <c r="H458" s="3">
        <v>2929.67</v>
      </c>
      <c r="I458" s="3">
        <v>7986.96</v>
      </c>
      <c r="J458" s="3">
        <v>49331.51</v>
      </c>
      <c r="K458" s="1">
        <v>27607.13</v>
      </c>
      <c r="L458" s="3">
        <v>2257.4699999999998</v>
      </c>
      <c r="M458" s="3">
        <v>12430.88</v>
      </c>
      <c r="N458" s="6">
        <f>VLOOKUP(A458,'[1]俄罗斯交易系统市值加权指数历史数据 (1)'!$A:$B,2,)</f>
        <v>1149.53</v>
      </c>
      <c r="O458" s="3">
        <v>5494.17</v>
      </c>
      <c r="P458" s="1">
        <v>549.79</v>
      </c>
      <c r="Q458" s="3">
        <v>8995.3799999999992</v>
      </c>
      <c r="R458" s="1">
        <v>979.88</v>
      </c>
      <c r="S458" s="3">
        <v>9590.4</v>
      </c>
      <c r="T458" s="3">
        <v>7490.23</v>
      </c>
      <c r="U458" s="3">
        <v>3430.81</v>
      </c>
      <c r="V458" s="6">
        <f>VLOOKUP(A458,[2]韩国KOSPI指数历史数据!$A:$B,2,)</f>
        <v>2339.17</v>
      </c>
      <c r="W458" s="6">
        <f>VLOOKUP(A458,[3]日经225指数历史数据!$A:$B,2,)</f>
        <v>23869.93</v>
      </c>
      <c r="X458" s="3">
        <v>1670.26</v>
      </c>
      <c r="Y458" s="6">
        <f>VLOOKUP(A458,[4]上证指数历史数据!$A:$B,2,)</f>
        <v>2797.48</v>
      </c>
      <c r="Z458" s="6">
        <f>VLOOKUP(A458,[5]深证成份指数历史数据!$A:$B,2,)</f>
        <v>8409.18</v>
      </c>
      <c r="AA458" s="6">
        <f>VLOOKUP(A458,[6]台湾加权指数历史数据!$A:$B,2,)</f>
        <v>10972.41</v>
      </c>
      <c r="AB458" s="3">
        <v>27953.58</v>
      </c>
      <c r="AC458" s="3">
        <v>3217.68</v>
      </c>
      <c r="AD458">
        <v>11143.1</v>
      </c>
      <c r="AE458" s="5">
        <f>VLOOKUP(A458,[7]越南VN30指数历史数据!$A:$B,2,)</f>
        <v>974.43</v>
      </c>
      <c r="AF458">
        <v>50987.15</v>
      </c>
      <c r="AG458" s="9">
        <v>18005.57</v>
      </c>
      <c r="AH458">
        <v>11196.39</v>
      </c>
      <c r="AI458">
        <v>1461.15</v>
      </c>
      <c r="AJ458">
        <v>2028.35</v>
      </c>
    </row>
    <row r="459" spans="1:36" x14ac:dyDescent="0.3">
      <c r="A459" s="2">
        <v>43366</v>
      </c>
      <c r="B459" s="3">
        <v>33461.769999999997</v>
      </c>
      <c r="C459" s="4">
        <v>79342</v>
      </c>
      <c r="D459" s="3">
        <v>6207.6</v>
      </c>
      <c r="E459" s="3">
        <v>26458.31</v>
      </c>
      <c r="F459" s="3">
        <v>16073.14</v>
      </c>
      <c r="G459" s="3">
        <v>1696.57</v>
      </c>
      <c r="H459" s="3">
        <v>2913.98</v>
      </c>
      <c r="I459" s="3">
        <v>8046.35</v>
      </c>
      <c r="J459" s="3">
        <v>49504.160000000003</v>
      </c>
      <c r="K459" s="1">
        <v>26885.86</v>
      </c>
      <c r="L459" s="3">
        <v>2285.11</v>
      </c>
      <c r="M459" s="3">
        <v>12246.73</v>
      </c>
      <c r="N459" s="6">
        <f>VLOOKUP(A459,'[1]俄罗斯交易系统市值加权指数历史数据 (1)'!$A:$B,2,)</f>
        <v>1192.04</v>
      </c>
      <c r="O459" s="3">
        <v>5493.49</v>
      </c>
      <c r="P459" s="1">
        <v>549.62</v>
      </c>
      <c r="Q459" s="3">
        <v>9087.99</v>
      </c>
      <c r="R459" s="1">
        <v>999.57</v>
      </c>
      <c r="S459" s="3">
        <v>9389.2000000000007</v>
      </c>
      <c r="T459" s="3">
        <v>7510.2</v>
      </c>
      <c r="U459" s="3">
        <v>3399.2</v>
      </c>
      <c r="V459" s="6">
        <f>VLOOKUP(A459,[2]韩国KOSPI指数历史数据!$A:$B,2,)</f>
        <v>2343.0700000000002</v>
      </c>
      <c r="W459" s="6">
        <f>VLOOKUP(A459,[3]日经225指数历史数据!$A:$B,2,)</f>
        <v>24120.04</v>
      </c>
      <c r="X459" s="3">
        <v>1642.77</v>
      </c>
      <c r="Y459" s="6">
        <f>VLOOKUP(A459,[4]上证指数历史数据!$A:$B,2,)</f>
        <v>2821.35</v>
      </c>
      <c r="Z459" s="6">
        <f>VLOOKUP(A459,[5]深证成份指数历史数据!$A:$B,2,)</f>
        <v>8401.09</v>
      </c>
      <c r="AA459" s="6">
        <f>VLOOKUP(A459,[6]台湾加权指数历史数据!$A:$B,2,)</f>
        <v>11006.34</v>
      </c>
      <c r="AB459" s="3">
        <v>27788.52</v>
      </c>
      <c r="AC459" s="3">
        <v>3257.05</v>
      </c>
      <c r="AD459">
        <v>10930.45</v>
      </c>
      <c r="AE459" s="5">
        <f>VLOOKUP(A459,[7]越南VN30指数历史数据!$A:$B,2,)</f>
        <v>994.73</v>
      </c>
      <c r="AF459">
        <v>49520.66</v>
      </c>
      <c r="AG459" s="9">
        <v>18750.349999999999</v>
      </c>
      <c r="AH459">
        <v>11335.55</v>
      </c>
      <c r="AI459">
        <v>1473.63</v>
      </c>
      <c r="AJ459">
        <v>2105.1999999999998</v>
      </c>
    </row>
    <row r="460" spans="1:36" x14ac:dyDescent="0.3">
      <c r="A460" s="2">
        <v>43373</v>
      </c>
      <c r="B460" s="3">
        <v>30168.720000000001</v>
      </c>
      <c r="C460" s="4">
        <v>82322</v>
      </c>
      <c r="D460" s="3">
        <v>6185.5</v>
      </c>
      <c r="E460" s="3">
        <v>26447.05</v>
      </c>
      <c r="F460" s="3">
        <v>15946.17</v>
      </c>
      <c r="G460" s="3">
        <v>1632.11</v>
      </c>
      <c r="H460" s="3">
        <v>2885.57</v>
      </c>
      <c r="I460" s="3">
        <v>7788.45</v>
      </c>
      <c r="J460" s="3">
        <v>48052.85</v>
      </c>
      <c r="K460" s="1">
        <v>26792.58</v>
      </c>
      <c r="L460" s="3">
        <v>2264.1999999999998</v>
      </c>
      <c r="M460" s="3">
        <v>12111.9</v>
      </c>
      <c r="N460" s="6">
        <f>VLOOKUP(A460,'[1]俄罗斯交易系统市值加权指数历史数据 (1)'!$A:$B,2,)</f>
        <v>1159.33</v>
      </c>
      <c r="O460" s="3">
        <v>5359.36</v>
      </c>
      <c r="P460" s="1">
        <v>539.51</v>
      </c>
      <c r="Q460" s="3">
        <v>9042.08</v>
      </c>
      <c r="R460" s="1">
        <v>948.83</v>
      </c>
      <c r="S460" s="3">
        <v>9253.9</v>
      </c>
      <c r="T460" s="3">
        <v>7318.54</v>
      </c>
      <c r="U460" s="3">
        <v>3345.51</v>
      </c>
      <c r="V460" s="6">
        <f>VLOOKUP(A460,[2]韩国KOSPI指数历史数据!$A:$B,2,)</f>
        <v>2267.52</v>
      </c>
      <c r="W460" s="6">
        <f>VLOOKUP(A460,[3]日经225指数历史数据!$A:$B,2,)</f>
        <v>23783.72</v>
      </c>
      <c r="X460" s="3">
        <v>1637.16</v>
      </c>
      <c r="Y460" s="6" t="e">
        <f>VLOOKUP(A460,[4]上证指数历史数据!$A:$B,2,)</f>
        <v>#N/A</v>
      </c>
      <c r="Z460" s="6" t="e">
        <f>VLOOKUP(A460,[5]深证成份指数历史数据!$A:$B,2,)</f>
        <v>#N/A</v>
      </c>
      <c r="AA460" s="6">
        <f>VLOOKUP(A460,[6]台湾加权指数历史数据!$A:$B,2,)</f>
        <v>10517.12</v>
      </c>
      <c r="AB460" s="3">
        <v>26572.57</v>
      </c>
      <c r="AC460" s="3">
        <v>3209.79</v>
      </c>
      <c r="AD460">
        <v>10316.450000000001</v>
      </c>
      <c r="AE460" s="5">
        <f>VLOOKUP(A460,[7]越南VN30指数历史数据!$A:$B,2,)</f>
        <v>980.75</v>
      </c>
      <c r="AF460">
        <v>48258.14</v>
      </c>
      <c r="AG460" s="9">
        <v>18016.34</v>
      </c>
      <c r="AH460">
        <v>11211.21</v>
      </c>
      <c r="AI460">
        <v>1457.49</v>
      </c>
      <c r="AJ460">
        <v>2141.7399999999998</v>
      </c>
    </row>
    <row r="461" spans="1:36" x14ac:dyDescent="0.3">
      <c r="A461" s="2">
        <v>43380</v>
      </c>
      <c r="B461" s="3">
        <v>29598.18</v>
      </c>
      <c r="C461" s="4">
        <v>82921</v>
      </c>
      <c r="D461" s="3">
        <v>5895.7</v>
      </c>
      <c r="E461" s="3">
        <v>25339.99</v>
      </c>
      <c r="F461" s="3">
        <v>15414.29</v>
      </c>
      <c r="G461" s="3">
        <v>1546.68</v>
      </c>
      <c r="H461" s="3">
        <v>2767.13</v>
      </c>
      <c r="I461" s="3">
        <v>7496.89</v>
      </c>
      <c r="J461" s="3">
        <v>47444.05</v>
      </c>
      <c r="K461" s="1">
        <v>26251.46</v>
      </c>
      <c r="L461" s="3">
        <v>2186.62</v>
      </c>
      <c r="M461" s="3">
        <v>11523.81</v>
      </c>
      <c r="N461" s="6">
        <f>VLOOKUP(A461,'[1]俄罗斯交易系统市值加权指数历史数据 (1)'!$A:$B,2,)</f>
        <v>1141.3499999999999</v>
      </c>
      <c r="O461" s="3">
        <v>5095.9799999999996</v>
      </c>
      <c r="P461" s="1">
        <v>516.29</v>
      </c>
      <c r="Q461" s="3">
        <v>8660.3799999999992</v>
      </c>
      <c r="R461" s="1">
        <v>966.57</v>
      </c>
      <c r="S461" s="3">
        <v>8902</v>
      </c>
      <c r="T461" s="3">
        <v>6995.91</v>
      </c>
      <c r="U461" s="3">
        <v>3194.41</v>
      </c>
      <c r="V461" s="6">
        <f>VLOOKUP(A461,[2]韩国KOSPI指数历史数据!$A:$B,2,)</f>
        <v>2161.85</v>
      </c>
      <c r="W461" s="6">
        <f>VLOOKUP(A461,[3]日经225指数历史数据!$A:$B,2,)</f>
        <v>22694.66</v>
      </c>
      <c r="X461" s="3">
        <v>1588.91</v>
      </c>
      <c r="Y461" s="6">
        <f>VLOOKUP(A461,[4]上证指数历史数据!$A:$B,2,)</f>
        <v>2606.91</v>
      </c>
      <c r="Z461" s="6">
        <f>VLOOKUP(A461,[5]深证成份指数历史数据!$A:$B,2,)</f>
        <v>7558.28</v>
      </c>
      <c r="AA461" s="6">
        <f>VLOOKUP(A461,[6]台湾加权指数历史数据!$A:$B,2,)</f>
        <v>10045.81</v>
      </c>
      <c r="AB461" s="3">
        <v>25801.49</v>
      </c>
      <c r="AC461" s="3">
        <v>3069.17</v>
      </c>
      <c r="AD461">
        <v>10472.5</v>
      </c>
      <c r="AE461" s="5">
        <f>VLOOKUP(A461,[7]越南VN30指数历史数据!$A:$B,2,)</f>
        <v>943.49</v>
      </c>
      <c r="AF461">
        <v>47272.6</v>
      </c>
      <c r="AG461" s="9">
        <v>16837.810000000001</v>
      </c>
      <c r="AH461">
        <v>11151.45</v>
      </c>
      <c r="AI461">
        <v>1461.89</v>
      </c>
      <c r="AJ461">
        <v>2116.59</v>
      </c>
    </row>
    <row r="462" spans="1:36" x14ac:dyDescent="0.3">
      <c r="A462" s="2">
        <v>43387</v>
      </c>
      <c r="B462" s="3">
        <v>28673.279999999999</v>
      </c>
      <c r="C462" s="4">
        <v>84220</v>
      </c>
      <c r="D462" s="3">
        <v>5939.5</v>
      </c>
      <c r="E462" s="3">
        <v>25444.34</v>
      </c>
      <c r="F462" s="3">
        <v>15470.1</v>
      </c>
      <c r="G462" s="3">
        <v>1542.04</v>
      </c>
      <c r="H462" s="3">
        <v>2767.78</v>
      </c>
      <c r="I462" s="3">
        <v>7449.03</v>
      </c>
      <c r="J462" s="3">
        <v>47437.45</v>
      </c>
      <c r="K462" s="1">
        <v>26084.09</v>
      </c>
      <c r="L462" s="3">
        <v>2196.9899999999998</v>
      </c>
      <c r="M462" s="3">
        <v>11553.83</v>
      </c>
      <c r="N462" s="6">
        <f>VLOOKUP(A462,'[1]俄罗斯交易系统市值加权指数历史数据 (1)'!$A:$B,2,)</f>
        <v>1126.97</v>
      </c>
      <c r="O462" s="3">
        <v>5084.66</v>
      </c>
      <c r="P462" s="1">
        <v>525.16999999999996</v>
      </c>
      <c r="Q462" s="3">
        <v>8872.09</v>
      </c>
      <c r="R462" s="1">
        <v>964.55</v>
      </c>
      <c r="S462" s="3">
        <v>8892.1</v>
      </c>
      <c r="T462" s="3">
        <v>7049.8</v>
      </c>
      <c r="U462" s="3">
        <v>3210.82</v>
      </c>
      <c r="V462" s="6">
        <f>VLOOKUP(A462,[2]韩国KOSPI指数历史数据!$A:$B,2,)</f>
        <v>2156.2600000000002</v>
      </c>
      <c r="W462" s="6">
        <f>VLOOKUP(A462,[3]日经225指数历史数据!$A:$B,2,)</f>
        <v>22532.080000000002</v>
      </c>
      <c r="X462" s="3">
        <v>1620.64</v>
      </c>
      <c r="Y462" s="6">
        <f>VLOOKUP(A462,[4]上证指数历史数据!$A:$B,2,)</f>
        <v>2550.4699999999998</v>
      </c>
      <c r="Z462" s="6">
        <f>VLOOKUP(A462,[5]深证成份指数历史数据!$A:$B,2,)</f>
        <v>7387.74</v>
      </c>
      <c r="AA462" s="6">
        <f>VLOOKUP(A462,[6]台湾加权指数历史数据!$A:$B,2,)</f>
        <v>9919.26</v>
      </c>
      <c r="AB462" s="3">
        <v>25561.4</v>
      </c>
      <c r="AC462" s="3">
        <v>3062.51</v>
      </c>
      <c r="AD462">
        <v>10303.549999999999</v>
      </c>
      <c r="AE462" s="5">
        <f>VLOOKUP(A462,[7]越南VN30指数历史数据!$A:$B,2,)</f>
        <v>931.69</v>
      </c>
      <c r="AF462">
        <v>45895.360000000001</v>
      </c>
      <c r="AG462" s="9">
        <v>17302.72</v>
      </c>
      <c r="AH462">
        <v>11119.06</v>
      </c>
      <c r="AI462">
        <v>1474.26</v>
      </c>
      <c r="AJ462">
        <v>2081.29</v>
      </c>
    </row>
    <row r="463" spans="1:36" x14ac:dyDescent="0.3">
      <c r="A463" s="2">
        <v>43394</v>
      </c>
      <c r="B463" s="3">
        <v>29369.87</v>
      </c>
      <c r="C463" s="4">
        <v>85720</v>
      </c>
      <c r="D463" s="3">
        <v>5665.2</v>
      </c>
      <c r="E463" s="3">
        <v>24688.31</v>
      </c>
      <c r="F463" s="3">
        <v>14888.26</v>
      </c>
      <c r="G463" s="3">
        <v>1483.82</v>
      </c>
      <c r="H463" s="3">
        <v>2658.69</v>
      </c>
      <c r="I463" s="3">
        <v>7167.21</v>
      </c>
      <c r="J463" s="3">
        <v>45803.33</v>
      </c>
      <c r="K463" s="1">
        <v>26056.06</v>
      </c>
      <c r="L463" s="3">
        <v>2082.77</v>
      </c>
      <c r="M463" s="3">
        <v>11200.62</v>
      </c>
      <c r="N463" s="6">
        <f>VLOOKUP(A463,'[1]俄罗斯交易系统市值加权指数历史数据 (1)'!$A:$B,2,)</f>
        <v>1098.31</v>
      </c>
      <c r="O463" s="3">
        <v>4967.37</v>
      </c>
      <c r="P463" s="1">
        <v>507.52</v>
      </c>
      <c r="Q463" s="3">
        <v>8665.7999999999993</v>
      </c>
      <c r="R463" s="1">
        <v>905.42</v>
      </c>
      <c r="S463" s="3">
        <v>8730.4</v>
      </c>
      <c r="T463" s="3">
        <v>6939.56</v>
      </c>
      <c r="U463" s="3">
        <v>3134.89</v>
      </c>
      <c r="V463" s="6">
        <f>VLOOKUP(A463,[2]韩国KOSPI指数历史数据!$A:$B,2,)</f>
        <v>2027.15</v>
      </c>
      <c r="W463" s="6">
        <f>VLOOKUP(A463,[3]日经225指数历史数据!$A:$B,2,)</f>
        <v>21184.6</v>
      </c>
      <c r="X463" s="3">
        <v>1568.27</v>
      </c>
      <c r="Y463" s="6">
        <f>VLOOKUP(A463,[4]上证指数历史数据!$A:$B,2,)</f>
        <v>2598.85</v>
      </c>
      <c r="Z463" s="6">
        <f>VLOOKUP(A463,[5]深证成份指数历史数据!$A:$B,2,)</f>
        <v>7504.72</v>
      </c>
      <c r="AA463" s="6">
        <f>VLOOKUP(A463,[6]台湾加权指数历史数据!$A:$B,2,)</f>
        <v>9489.18</v>
      </c>
      <c r="AB463" s="3">
        <v>24717.63</v>
      </c>
      <c r="AC463" s="3">
        <v>2972.02</v>
      </c>
      <c r="AD463">
        <v>10030</v>
      </c>
      <c r="AE463" s="5">
        <f>VLOOKUP(A463,[7]越南VN30指数历史数据!$A:$B,2,)</f>
        <v>881.06</v>
      </c>
      <c r="AF463">
        <v>44651.45</v>
      </c>
      <c r="AG463" s="9">
        <v>16411.66</v>
      </c>
      <c r="AH463">
        <v>11070.96</v>
      </c>
      <c r="AI463">
        <v>1476.17</v>
      </c>
      <c r="AJ463">
        <v>2100.34</v>
      </c>
    </row>
    <row r="464" spans="1:36" x14ac:dyDescent="0.3">
      <c r="A464" s="2">
        <v>43401</v>
      </c>
      <c r="B464" s="3">
        <v>31419.26</v>
      </c>
      <c r="C464" s="4">
        <v>88419</v>
      </c>
      <c r="D464" s="3">
        <v>5849.2</v>
      </c>
      <c r="E464" s="3">
        <v>25270.83</v>
      </c>
      <c r="F464" s="3">
        <v>15119.28</v>
      </c>
      <c r="G464" s="3">
        <v>1547.98</v>
      </c>
      <c r="H464" s="3">
        <v>2723.06</v>
      </c>
      <c r="I464" s="3">
        <v>7356.99</v>
      </c>
      <c r="J464" s="3">
        <v>45446.83</v>
      </c>
      <c r="K464" s="1">
        <v>25979.23</v>
      </c>
      <c r="L464" s="3">
        <v>2197.6799999999998</v>
      </c>
      <c r="M464" s="3">
        <v>11518.99</v>
      </c>
      <c r="N464" s="6">
        <f>VLOOKUP(A464,'[1]俄罗斯交易系统市值加权指数历史数据 (1)'!$A:$B,2,)</f>
        <v>1134.8</v>
      </c>
      <c r="O464" s="3">
        <v>5102.13</v>
      </c>
      <c r="P464" s="1">
        <v>521.79999999999995</v>
      </c>
      <c r="Q464" s="3">
        <v>8992.2999999999993</v>
      </c>
      <c r="R464" s="1">
        <v>941.23</v>
      </c>
      <c r="S464" s="3">
        <v>8993</v>
      </c>
      <c r="T464" s="3">
        <v>7094.12</v>
      </c>
      <c r="U464" s="3">
        <v>3214.41</v>
      </c>
      <c r="V464" s="6">
        <f>VLOOKUP(A464,[2]韩国KOSPI指数历史数据!$A:$B,2,)</f>
        <v>2096</v>
      </c>
      <c r="W464" s="6">
        <f>VLOOKUP(A464,[3]日经225指数历史数据!$A:$B,2,)</f>
        <v>22243.66</v>
      </c>
      <c r="X464" s="3">
        <v>1611.43</v>
      </c>
      <c r="Y464" s="6">
        <f>VLOOKUP(A464,[4]上证指数历史数据!$A:$B,2,)</f>
        <v>2676.48</v>
      </c>
      <c r="Z464" s="6">
        <f>VLOOKUP(A464,[5]深证成份指数历史数据!$A:$B,2,)</f>
        <v>7867.54</v>
      </c>
      <c r="AA464" s="6">
        <f>VLOOKUP(A464,[6]台湾加权指数历史数据!$A:$B,2,)</f>
        <v>9906.59</v>
      </c>
      <c r="AB464" s="3">
        <v>26486.35</v>
      </c>
      <c r="AC464" s="3">
        <v>3116.39</v>
      </c>
      <c r="AD464">
        <v>10553</v>
      </c>
      <c r="AE464" s="5">
        <f>VLOOKUP(A464,[7]越南VN30指数历史数据!$A:$B,2,)</f>
        <v>903.43</v>
      </c>
      <c r="AF464">
        <v>47943.67</v>
      </c>
      <c r="AG464" s="9">
        <v>16686.86</v>
      </c>
      <c r="AH464">
        <v>10885.51</v>
      </c>
      <c r="AI464">
        <v>1443.81</v>
      </c>
      <c r="AJ464">
        <v>2060.98</v>
      </c>
    </row>
    <row r="465" spans="1:36" x14ac:dyDescent="0.3">
      <c r="A465" s="2">
        <v>43408</v>
      </c>
      <c r="B465" s="3">
        <v>29912.49</v>
      </c>
      <c r="C465" s="4">
        <v>85641</v>
      </c>
      <c r="D465" s="3">
        <v>5921.8</v>
      </c>
      <c r="E465" s="3">
        <v>25989.3</v>
      </c>
      <c r="F465" s="3">
        <v>15274.44</v>
      </c>
      <c r="G465" s="3">
        <v>1549.49</v>
      </c>
      <c r="H465" s="3">
        <v>2781.01</v>
      </c>
      <c r="I465" s="3">
        <v>7406.9</v>
      </c>
      <c r="J465" s="3">
        <v>44263.74</v>
      </c>
      <c r="K465" s="1">
        <v>26301.23</v>
      </c>
      <c r="L465" s="3">
        <v>2232.25</v>
      </c>
      <c r="M465" s="3">
        <v>11529.16</v>
      </c>
      <c r="N465" s="6">
        <f>VLOOKUP(A465,'[1]俄罗斯交易系统市值加权指数历史数据 (1)'!$A:$B,2,)</f>
        <v>1121.3800000000001</v>
      </c>
      <c r="O465" s="3">
        <v>5106.75</v>
      </c>
      <c r="P465" s="1">
        <v>529.54999999999995</v>
      </c>
      <c r="Q465" s="3">
        <v>9074.0300000000007</v>
      </c>
      <c r="R465" s="1">
        <v>928.39</v>
      </c>
      <c r="S465" s="3">
        <v>9134.7999999999993</v>
      </c>
      <c r="T465" s="3">
        <v>7105.34</v>
      </c>
      <c r="U465" s="3">
        <v>3229.49</v>
      </c>
      <c r="V465" s="6">
        <f>VLOOKUP(A465,[2]韩国KOSPI指数历史数据!$A:$B,2,)</f>
        <v>2086.09</v>
      </c>
      <c r="W465" s="6">
        <f>VLOOKUP(A465,[3]日经225指数历史数据!$A:$B,2,)</f>
        <v>22250.25</v>
      </c>
      <c r="X465" s="3">
        <v>1657.49</v>
      </c>
      <c r="Y465" s="6">
        <f>VLOOKUP(A465,[4]上证指数历史数据!$A:$B,2,)</f>
        <v>2598.87</v>
      </c>
      <c r="Z465" s="6">
        <f>VLOOKUP(A465,[5]深证成份指数历史数据!$A:$B,2,)</f>
        <v>7648.55</v>
      </c>
      <c r="AA465" s="6">
        <f>VLOOKUP(A465,[6]台湾加权指数历史数据!$A:$B,2,)</f>
        <v>9830.01</v>
      </c>
      <c r="AB465" s="3">
        <v>25601.919999999998</v>
      </c>
      <c r="AC465" s="3">
        <v>3077.97</v>
      </c>
      <c r="AD465">
        <v>10585.2</v>
      </c>
      <c r="AE465" s="5">
        <f>VLOOKUP(A465,[7]越南VN30指数历史数据!$A:$B,2,)</f>
        <v>885.65</v>
      </c>
      <c r="AF465">
        <v>46897.279999999999</v>
      </c>
      <c r="AG465" s="9">
        <v>17426.23</v>
      </c>
      <c r="AH465">
        <v>11076.25</v>
      </c>
      <c r="AI465">
        <v>1447.79</v>
      </c>
      <c r="AJ465">
        <v>2064.89</v>
      </c>
    </row>
    <row r="466" spans="1:36" x14ac:dyDescent="0.3">
      <c r="A466" s="2">
        <v>43415</v>
      </c>
      <c r="B466" s="3">
        <v>31109.25</v>
      </c>
      <c r="C466" s="4">
        <v>88515</v>
      </c>
      <c r="D466" s="3">
        <v>5730.6</v>
      </c>
      <c r="E466" s="3">
        <v>25413.22</v>
      </c>
      <c r="F466" s="3">
        <v>15155.5</v>
      </c>
      <c r="G466" s="3">
        <v>1527.53</v>
      </c>
      <c r="H466" s="3">
        <v>2736.27</v>
      </c>
      <c r="I466" s="3">
        <v>7247.87</v>
      </c>
      <c r="J466" s="3">
        <v>42319.27</v>
      </c>
      <c r="K466" s="1">
        <v>26328.34</v>
      </c>
      <c r="L466" s="3">
        <v>2165.46</v>
      </c>
      <c r="M466" s="3">
        <v>11341</v>
      </c>
      <c r="N466" s="6">
        <f>VLOOKUP(A466,'[1]俄罗斯交易系统市值加权指数历史数据 (1)'!$A:$B,2,)</f>
        <v>1134.93</v>
      </c>
      <c r="O466" s="3">
        <v>5025.2</v>
      </c>
      <c r="P466" s="1">
        <v>522.42999999999995</v>
      </c>
      <c r="Q466" s="3">
        <v>8907.39</v>
      </c>
      <c r="R466" s="1">
        <v>936.16</v>
      </c>
      <c r="S466" s="3">
        <v>9056.7999999999993</v>
      </c>
      <c r="T466" s="3">
        <v>7013.88</v>
      </c>
      <c r="U466" s="3">
        <v>3180.74</v>
      </c>
      <c r="V466" s="6">
        <f>VLOOKUP(A466,[2]韩国KOSPI指数历史数据!$A:$B,2,)</f>
        <v>2092.4</v>
      </c>
      <c r="W466" s="6">
        <f>VLOOKUP(A466,[3]日经225指数历史数据!$A:$B,2,)</f>
        <v>21680.34</v>
      </c>
      <c r="X466" s="3">
        <v>1634.82</v>
      </c>
      <c r="Y466" s="6">
        <f>VLOOKUP(A466,[4]上证指数历史数据!$A:$B,2,)</f>
        <v>2679.11</v>
      </c>
      <c r="Z466" s="6">
        <f>VLOOKUP(A466,[5]深证成份指数历史数据!$A:$B,2,)</f>
        <v>8062.29</v>
      </c>
      <c r="AA466" s="6">
        <f>VLOOKUP(A466,[6]台湾加权指数历史数据!$A:$B,2,)</f>
        <v>9797.09</v>
      </c>
      <c r="AB466" s="3">
        <v>26183.53</v>
      </c>
      <c r="AC466" s="3">
        <v>3083.6</v>
      </c>
      <c r="AD466">
        <v>10682.2</v>
      </c>
      <c r="AE466" s="5">
        <f>VLOOKUP(A466,[7]越南VN30指数历史数据!$A:$B,2,)</f>
        <v>869.24</v>
      </c>
      <c r="AF466">
        <v>45851.18</v>
      </c>
      <c r="AG466" s="9">
        <v>17375.63</v>
      </c>
      <c r="AH466">
        <v>11143.56</v>
      </c>
      <c r="AI466">
        <v>1442.98</v>
      </c>
      <c r="AJ466">
        <v>2025.7</v>
      </c>
    </row>
    <row r="467" spans="1:36" x14ac:dyDescent="0.3">
      <c r="A467" s="2">
        <v>43422</v>
      </c>
      <c r="B467" s="3">
        <v>30723.48</v>
      </c>
      <c r="C467" s="4">
        <v>86230</v>
      </c>
      <c r="D467" s="3">
        <v>5716.2</v>
      </c>
      <c r="E467" s="3">
        <v>24285.95</v>
      </c>
      <c r="F467" s="3">
        <v>15010.73</v>
      </c>
      <c r="G467" s="3">
        <v>1488.68</v>
      </c>
      <c r="H467" s="3">
        <v>2632.56</v>
      </c>
      <c r="I467" s="3">
        <v>6938.98</v>
      </c>
      <c r="J467" s="3">
        <v>41144.33</v>
      </c>
      <c r="K467" s="1">
        <v>26095.5</v>
      </c>
      <c r="L467" s="3">
        <v>2225.39</v>
      </c>
      <c r="M467" s="3">
        <v>11192.69</v>
      </c>
      <c r="N467" s="6">
        <f>VLOOKUP(A467,'[1]俄罗斯交易系统市值加权指数历史数据 (1)'!$A:$B,2,)</f>
        <v>1113.52</v>
      </c>
      <c r="O467" s="3">
        <v>4946.95</v>
      </c>
      <c r="P467" s="1">
        <v>513.85</v>
      </c>
      <c r="Q467" s="3">
        <v>8845.9</v>
      </c>
      <c r="R467" s="1">
        <v>930.03</v>
      </c>
      <c r="S467" s="3">
        <v>8916.7000000000007</v>
      </c>
      <c r="T467" s="3">
        <v>6952.86</v>
      </c>
      <c r="U467" s="3">
        <v>3137.21</v>
      </c>
      <c r="V467" s="6">
        <f>VLOOKUP(A467,[2]韩国KOSPI指数历史数据!$A:$B,2,)</f>
        <v>2057.48</v>
      </c>
      <c r="W467" s="6">
        <f>VLOOKUP(A467,[3]日经225指数历史数据!$A:$B,2,)</f>
        <v>21646.55</v>
      </c>
      <c r="X467" s="3">
        <v>1607.54</v>
      </c>
      <c r="Y467" s="6">
        <f>VLOOKUP(A467,[4]上证指数历史数据!$A:$B,2,)</f>
        <v>2579.48</v>
      </c>
      <c r="Z467" s="6">
        <f>VLOOKUP(A467,[5]深证成份指数历史数据!$A:$B,2,)</f>
        <v>7636.7</v>
      </c>
      <c r="AA467" s="6">
        <f>VLOOKUP(A467,[6]台湾加权指数历史数据!$A:$B,2,)</f>
        <v>9667.2999999999993</v>
      </c>
      <c r="AB467" s="3">
        <v>25927.68</v>
      </c>
      <c r="AC467" s="3">
        <v>3052.49</v>
      </c>
      <c r="AD467">
        <v>10526.75</v>
      </c>
      <c r="AE467" s="5">
        <f>VLOOKUP(A467,[7]越南VN30指数历史数据!$A:$B,2,)</f>
        <v>890.62</v>
      </c>
      <c r="AF467">
        <v>44535.5</v>
      </c>
      <c r="AG467" s="9">
        <v>17468.810000000001</v>
      </c>
      <c r="AH467">
        <v>11134.16</v>
      </c>
      <c r="AI467">
        <v>1430.07</v>
      </c>
      <c r="AJ467">
        <v>2034.71</v>
      </c>
    </row>
    <row r="468" spans="1:36" x14ac:dyDescent="0.3">
      <c r="A468" s="2">
        <v>43429</v>
      </c>
      <c r="B468" s="3">
        <v>31482.58</v>
      </c>
      <c r="C468" s="4">
        <v>89504</v>
      </c>
      <c r="D468" s="3">
        <v>5667.2</v>
      </c>
      <c r="E468" s="3">
        <v>25538.46</v>
      </c>
      <c r="F468" s="3">
        <v>15197.82</v>
      </c>
      <c r="G468" s="3">
        <v>1533.27</v>
      </c>
      <c r="H468" s="3">
        <v>2760.17</v>
      </c>
      <c r="I468" s="3">
        <v>7330.54</v>
      </c>
      <c r="J468" s="3">
        <v>41732.78</v>
      </c>
      <c r="K468" s="1">
        <v>25965.55</v>
      </c>
      <c r="L468" s="3">
        <v>2291.08</v>
      </c>
      <c r="M468" s="3">
        <v>11257.24</v>
      </c>
      <c r="N468" s="6">
        <f>VLOOKUP(A468,'[1]俄罗斯交易系统市值加权指数历史数据 (1)'!$A:$B,2,)</f>
        <v>1126.1400000000001</v>
      </c>
      <c r="O468" s="3">
        <v>5003.92</v>
      </c>
      <c r="P468" s="1">
        <v>519.37</v>
      </c>
      <c r="Q468" s="3">
        <v>9037.76</v>
      </c>
      <c r="R468" s="1">
        <v>954.16</v>
      </c>
      <c r="S468" s="3">
        <v>9077.2000000000007</v>
      </c>
      <c r="T468" s="3">
        <v>6980.24</v>
      </c>
      <c r="U468" s="3">
        <v>3173.13</v>
      </c>
      <c r="V468" s="6">
        <f>VLOOKUP(A468,[2]韩国KOSPI指数历史数据!$A:$B,2,)</f>
        <v>2096.86</v>
      </c>
      <c r="W468" s="6">
        <f>VLOOKUP(A468,[3]日经225指数历史数据!$A:$B,2,)</f>
        <v>22351.06</v>
      </c>
      <c r="X468" s="3">
        <v>1629.94</v>
      </c>
      <c r="Y468" s="6">
        <f>VLOOKUP(A468,[4]上证指数历史数据!$A:$B,2,)</f>
        <v>2588.19</v>
      </c>
      <c r="Z468" s="6">
        <f>VLOOKUP(A468,[5]深证成份指数历史数据!$A:$B,2,)</f>
        <v>7681.75</v>
      </c>
      <c r="AA468" s="6">
        <f>VLOOKUP(A468,[6]台湾加权指数历史数据!$A:$B,2,)</f>
        <v>9888.0300000000007</v>
      </c>
      <c r="AB468" s="3">
        <v>26506.75</v>
      </c>
      <c r="AC468" s="3">
        <v>3117.61</v>
      </c>
      <c r="AD468">
        <v>10876.75</v>
      </c>
      <c r="AE468" s="5">
        <f>VLOOKUP(A468,[7]越南VN30指数历史数据!$A:$B,2,)</f>
        <v>894.79</v>
      </c>
      <c r="AF468">
        <v>44656.89</v>
      </c>
      <c r="AG468" s="9">
        <v>17164.02</v>
      </c>
      <c r="AH468">
        <v>11229.28</v>
      </c>
      <c r="AI468">
        <v>1394.99</v>
      </c>
      <c r="AJ468">
        <v>2068.3000000000002</v>
      </c>
    </row>
    <row r="469" spans="1:36" x14ac:dyDescent="0.3">
      <c r="A469" s="2">
        <v>43436</v>
      </c>
      <c r="B469" s="3">
        <v>31550.400000000001</v>
      </c>
      <c r="C469" s="4">
        <v>88115</v>
      </c>
      <c r="D469" s="3">
        <v>5681.5</v>
      </c>
      <c r="E469" s="3">
        <v>24388.95</v>
      </c>
      <c r="F469" s="3">
        <v>14795.13</v>
      </c>
      <c r="G469" s="3">
        <v>1448.09</v>
      </c>
      <c r="H469" s="3">
        <v>2633.08</v>
      </c>
      <c r="I469" s="3">
        <v>6969.25</v>
      </c>
      <c r="J469" s="3">
        <v>41870.129999999997</v>
      </c>
      <c r="K469" s="1">
        <v>25878.97</v>
      </c>
      <c r="L469" s="3">
        <v>2281.54</v>
      </c>
      <c r="M469" s="3">
        <v>10788.09</v>
      </c>
      <c r="N469" s="6">
        <f>VLOOKUP(A469,'[1]俄罗斯交易系统市值加权指数历史数据 (1)'!$A:$B,2,)</f>
        <v>1157.94</v>
      </c>
      <c r="O469" s="3">
        <v>4813.13</v>
      </c>
      <c r="P469" s="1">
        <v>503.98</v>
      </c>
      <c r="Q469" s="3">
        <v>8741.0300000000007</v>
      </c>
      <c r="R469" s="1">
        <v>936.99</v>
      </c>
      <c r="S469" s="3">
        <v>8815.5</v>
      </c>
      <c r="T469" s="3">
        <v>6778.11</v>
      </c>
      <c r="U469" s="3">
        <v>3058.53</v>
      </c>
      <c r="V469" s="6">
        <f>VLOOKUP(A469,[2]韩国KOSPI指数历史数据!$A:$B,2,)</f>
        <v>2075.7600000000002</v>
      </c>
      <c r="W469" s="6">
        <f>VLOOKUP(A469,[3]日经225指数历史数据!$A:$B,2,)</f>
        <v>21678.68</v>
      </c>
      <c r="X469" s="3">
        <v>1596.49</v>
      </c>
      <c r="Y469" s="6">
        <f>VLOOKUP(A469,[4]上证指数历史数据!$A:$B,2,)</f>
        <v>2605.89</v>
      </c>
      <c r="Z469" s="6">
        <f>VLOOKUP(A469,[5]深证成份指数历史数据!$A:$B,2,)</f>
        <v>7733.89</v>
      </c>
      <c r="AA469" s="6">
        <f>VLOOKUP(A469,[6]台湾加权指数历史数据!$A:$B,2,)</f>
        <v>9760.8799999999992</v>
      </c>
      <c r="AB469" s="3">
        <v>26063.759999999998</v>
      </c>
      <c r="AC469" s="3">
        <v>3111.12</v>
      </c>
      <c r="AD469">
        <v>10693.7</v>
      </c>
      <c r="AE469" s="5">
        <f>VLOOKUP(A469,[7]越南VN30指数历史数据!$A:$B,2,)</f>
        <v>929.59</v>
      </c>
      <c r="AF469">
        <v>45005.31</v>
      </c>
      <c r="AG469" s="9">
        <v>15961.85</v>
      </c>
      <c r="AH469">
        <v>11204.04</v>
      </c>
      <c r="AI469">
        <v>1396.37</v>
      </c>
      <c r="AJ469">
        <v>2090.2600000000002</v>
      </c>
    </row>
    <row r="470" spans="1:36" x14ac:dyDescent="0.3">
      <c r="A470" s="2">
        <v>43443</v>
      </c>
      <c r="B470" s="3">
        <v>31109.45</v>
      </c>
      <c r="C470" s="4">
        <v>87450</v>
      </c>
      <c r="D470" s="3">
        <v>5602</v>
      </c>
      <c r="E470" s="3">
        <v>24100.51</v>
      </c>
      <c r="F470" s="3">
        <v>14595.07</v>
      </c>
      <c r="G470" s="3">
        <v>1410.81</v>
      </c>
      <c r="H470" s="3">
        <v>2599.9499999999998</v>
      </c>
      <c r="I470" s="3">
        <v>6910.67</v>
      </c>
      <c r="J470" s="3">
        <v>41312.17</v>
      </c>
      <c r="K470" s="1">
        <v>26184.48</v>
      </c>
      <c r="L470" s="3">
        <v>2303.41</v>
      </c>
      <c r="M470" s="3">
        <v>10865.77</v>
      </c>
      <c r="N470" s="6">
        <f>VLOOKUP(A470,'[1]俄罗斯交易系统市值加权指数历史数据 (1)'!$A:$B,2,)</f>
        <v>1116.5</v>
      </c>
      <c r="O470" s="3">
        <v>4853.7</v>
      </c>
      <c r="P470" s="1">
        <v>506.53</v>
      </c>
      <c r="Q470" s="3">
        <v>8713.68</v>
      </c>
      <c r="R470" s="1">
        <v>905.29</v>
      </c>
      <c r="S470" s="3">
        <v>8886.1</v>
      </c>
      <c r="T470" s="3">
        <v>6845.17</v>
      </c>
      <c r="U470" s="3">
        <v>3092.6</v>
      </c>
      <c r="V470" s="6">
        <f>VLOOKUP(A470,[2]韩国KOSPI指数历史数据!$A:$B,2,)</f>
        <v>2069.38</v>
      </c>
      <c r="W470" s="6">
        <f>VLOOKUP(A470,[3]日经225指数历史数据!$A:$B,2,)</f>
        <v>21374.83</v>
      </c>
      <c r="X470" s="3">
        <v>1596.03</v>
      </c>
      <c r="Y470" s="6">
        <f>VLOOKUP(A470,[4]上证指数历史数据!$A:$B,2,)</f>
        <v>2593.7399999999998</v>
      </c>
      <c r="Z470" s="6">
        <f>VLOOKUP(A470,[5]深证成份指数历史数据!$A:$B,2,)</f>
        <v>7629.65</v>
      </c>
      <c r="AA470" s="6">
        <f>VLOOKUP(A470,[6]台湾加权指数历史数据!$A:$B,2,)</f>
        <v>9774.16</v>
      </c>
      <c r="AB470" s="3">
        <v>26094.79</v>
      </c>
      <c r="AC470" s="3">
        <v>3077.09</v>
      </c>
      <c r="AD470">
        <v>10805.45</v>
      </c>
      <c r="AE470" s="5">
        <f>VLOOKUP(A470,[7]越南VN30指数历史数据!$A:$B,2,)</f>
        <v>918.79</v>
      </c>
      <c r="AF470">
        <v>45528.87</v>
      </c>
      <c r="AG470" s="9">
        <v>16722.28</v>
      </c>
      <c r="AH470">
        <v>11143.73</v>
      </c>
      <c r="AI470">
        <v>1382.81</v>
      </c>
      <c r="AJ470">
        <v>2072.9899999999998</v>
      </c>
    </row>
    <row r="471" spans="1:36" x14ac:dyDescent="0.3">
      <c r="A471" s="2">
        <v>43450</v>
      </c>
      <c r="B471" s="3">
        <v>28456.92</v>
      </c>
      <c r="C471" s="4">
        <v>85697</v>
      </c>
      <c r="D471" s="3">
        <v>5467.6</v>
      </c>
      <c r="E471" s="3">
        <v>22445.37</v>
      </c>
      <c r="F471" s="3">
        <v>13935.44</v>
      </c>
      <c r="G471" s="3">
        <v>1292.0899999999999</v>
      </c>
      <c r="H471" s="3">
        <v>2416.62</v>
      </c>
      <c r="I471" s="3">
        <v>6333</v>
      </c>
      <c r="J471" s="3">
        <v>41468.559999999998</v>
      </c>
      <c r="K471" s="1">
        <v>25725.57</v>
      </c>
      <c r="L471" s="3">
        <v>2259.77</v>
      </c>
      <c r="M471" s="3">
        <v>10633.82</v>
      </c>
      <c r="N471" s="6">
        <f>VLOOKUP(A471,'[1]俄罗斯交易系统市值加权指数历史数据 (1)'!$A:$B,2,)</f>
        <v>1077.17</v>
      </c>
      <c r="O471" s="3">
        <v>4694.38</v>
      </c>
      <c r="P471" s="1">
        <v>484.81</v>
      </c>
      <c r="Q471" s="3">
        <v>8417.2900000000009</v>
      </c>
      <c r="R471" s="1">
        <v>918.61</v>
      </c>
      <c r="S471" s="3">
        <v>8556.7999999999993</v>
      </c>
      <c r="T471" s="3">
        <v>6721.17</v>
      </c>
      <c r="U471" s="3">
        <v>3000.61</v>
      </c>
      <c r="V471" s="6">
        <f>VLOOKUP(A471,[2]韩国KOSPI指数历史数据!$A:$B,2,)</f>
        <v>2061.4899999999998</v>
      </c>
      <c r="W471" s="6">
        <f>VLOOKUP(A471,[3]日经225指数历史数据!$A:$B,2,)</f>
        <v>20166.189999999999</v>
      </c>
      <c r="X471" s="3">
        <v>1526.55</v>
      </c>
      <c r="Y471" s="6">
        <f>VLOOKUP(A471,[4]上证指数历史数据!$A:$B,2,)</f>
        <v>2516.25</v>
      </c>
      <c r="Z471" s="6">
        <f>VLOOKUP(A471,[5]深证成份指数历史数据!$A:$B,2,)</f>
        <v>7337.6</v>
      </c>
      <c r="AA471" s="6">
        <f>VLOOKUP(A471,[6]台湾加权指数历史数据!$A:$B,2,)</f>
        <v>9646.16</v>
      </c>
      <c r="AB471" s="3">
        <v>25753.42</v>
      </c>
      <c r="AC471" s="3">
        <v>3046.04</v>
      </c>
      <c r="AD471">
        <v>10754</v>
      </c>
      <c r="AE471" s="5">
        <f>VLOOKUP(A471,[7]越南VN30指数历史数据!$A:$B,2,)</f>
        <v>873.09</v>
      </c>
      <c r="AF471">
        <v>45554.400000000001</v>
      </c>
      <c r="AG471" s="9">
        <v>16797.29</v>
      </c>
      <c r="AH471">
        <v>11176</v>
      </c>
      <c r="AI471">
        <v>1385.04</v>
      </c>
      <c r="AJ471">
        <v>1994.62</v>
      </c>
    </row>
    <row r="472" spans="1:36" x14ac:dyDescent="0.3">
      <c r="A472" s="2">
        <v>43457</v>
      </c>
      <c r="B472" s="3">
        <v>30292.55</v>
      </c>
      <c r="C472" s="4">
        <v>87887</v>
      </c>
      <c r="D472" s="3">
        <v>5654.3</v>
      </c>
      <c r="E472" s="3">
        <v>23062.400000000001</v>
      </c>
      <c r="F472" s="3">
        <v>14222</v>
      </c>
      <c r="G472" s="3">
        <v>1337.92</v>
      </c>
      <c r="H472" s="3">
        <v>2485.7399999999998</v>
      </c>
      <c r="I472" s="3">
        <v>6584.52</v>
      </c>
      <c r="J472" s="3">
        <v>41459.15</v>
      </c>
      <c r="K472" s="1">
        <v>25949.84</v>
      </c>
      <c r="L472" s="3">
        <v>2276.63</v>
      </c>
      <c r="M472" s="3">
        <v>10558.96</v>
      </c>
      <c r="N472" s="6">
        <f>VLOOKUP(A472,'[1]俄罗斯交易系统市值加权指数历史数据 (1)'!$A:$B,2,)</f>
        <v>1066.1300000000001</v>
      </c>
      <c r="O472" s="3">
        <v>4678.74</v>
      </c>
      <c r="P472" s="1">
        <v>484.17</v>
      </c>
      <c r="Q472" s="3">
        <v>8429.2999999999993</v>
      </c>
      <c r="R472" s="1">
        <v>904.35</v>
      </c>
      <c r="S472" s="3">
        <v>8493.7000000000007</v>
      </c>
      <c r="T472" s="3">
        <v>6733.97</v>
      </c>
      <c r="U472" s="3">
        <v>2986.53</v>
      </c>
      <c r="V472" s="6">
        <f>VLOOKUP(A472,[2]韩国KOSPI指数历史数据!$A:$B,2,)</f>
        <v>2041.04</v>
      </c>
      <c r="W472" s="6">
        <f>VLOOKUP(A472,[3]日经225指数历史数据!$A:$B,2,)</f>
        <v>20014.77</v>
      </c>
      <c r="X472" s="3">
        <v>1448.56</v>
      </c>
      <c r="Y472" s="6">
        <f>VLOOKUP(A472,[4]上证指数历史数据!$A:$B,2,)</f>
        <v>2493.9</v>
      </c>
      <c r="Z472" s="6">
        <f>VLOOKUP(A472,[5]深证成份指数历史数据!$A:$B,2,)</f>
        <v>7239.79</v>
      </c>
      <c r="AA472" s="6">
        <f>VLOOKUP(A472,[6]台湾加权指数历史数据!$A:$B,2,)</f>
        <v>9727.41</v>
      </c>
      <c r="AB472" s="3">
        <v>25504.2</v>
      </c>
      <c r="AC472" s="3">
        <v>3053.43</v>
      </c>
      <c r="AD472">
        <v>10859.9</v>
      </c>
      <c r="AE472" s="5">
        <f>VLOOKUP(A472,[7]越南VN30指数历史数据!$A:$B,2,)</f>
        <v>854.99</v>
      </c>
      <c r="AF472">
        <v>46493.79</v>
      </c>
      <c r="AG472" s="9">
        <v>16702.91</v>
      </c>
      <c r="AH472">
        <v>11188.28</v>
      </c>
      <c r="AI472">
        <v>1402</v>
      </c>
      <c r="AJ472">
        <v>2045.54</v>
      </c>
    </row>
    <row r="473" spans="1:36" x14ac:dyDescent="0.3">
      <c r="A473" s="2">
        <v>43464</v>
      </c>
      <c r="B473" s="3">
        <v>32303.05</v>
      </c>
      <c r="C473" s="4">
        <v>91841</v>
      </c>
      <c r="D473" s="3">
        <v>5619.4</v>
      </c>
      <c r="E473" s="3">
        <v>23433.16</v>
      </c>
      <c r="F473" s="3">
        <v>14426.62</v>
      </c>
      <c r="G473" s="3">
        <v>1380.75</v>
      </c>
      <c r="H473" s="3">
        <v>2531.94</v>
      </c>
      <c r="I473" s="3">
        <v>6738.86</v>
      </c>
      <c r="J473" s="3">
        <v>42455.13</v>
      </c>
      <c r="K473" s="1">
        <v>26300.69</v>
      </c>
      <c r="L473" s="3">
        <v>2284.9499999999998</v>
      </c>
      <c r="M473" s="3">
        <v>10767.69</v>
      </c>
      <c r="N473" s="6">
        <f>VLOOKUP(A473,'[1]俄罗斯交易系统市值加权指数历史数据 (1)'!$A:$B,2,)</f>
        <v>1118.03</v>
      </c>
      <c r="O473" s="3">
        <v>4737.12</v>
      </c>
      <c r="P473" s="1">
        <v>492.01</v>
      </c>
      <c r="Q473" s="3">
        <v>8608.56</v>
      </c>
      <c r="R473" s="1">
        <v>888.31</v>
      </c>
      <c r="S473" s="3">
        <v>8737.7999999999993</v>
      </c>
      <c r="T473" s="3">
        <v>6837.42</v>
      </c>
      <c r="U473" s="3">
        <v>3041.85</v>
      </c>
      <c r="V473" s="6">
        <f>VLOOKUP(A473,[2]韩国KOSPI指数历史数据!$A:$B,2,)</f>
        <v>2010.25</v>
      </c>
      <c r="W473" s="6">
        <f>VLOOKUP(A473,[3]日经225指数历史数据!$A:$B,2,)</f>
        <v>19561.96</v>
      </c>
      <c r="X473" s="3">
        <v>1451.27</v>
      </c>
      <c r="Y473" s="6">
        <f>VLOOKUP(A473,[4]上证指数历史数据!$A:$B,2,)</f>
        <v>2514.87</v>
      </c>
      <c r="Z473" s="6">
        <f>VLOOKUP(A473,[5]深证成份指数历史数据!$A:$B,2,)</f>
        <v>7284.84</v>
      </c>
      <c r="AA473" s="6">
        <f>VLOOKUP(A473,[6]台湾加权指数历史数据!$A:$B,2,)</f>
        <v>9382.51</v>
      </c>
      <c r="AB473" s="3">
        <v>25626.03</v>
      </c>
      <c r="AC473" s="3">
        <v>3059.23</v>
      </c>
      <c r="AD473">
        <v>10727.35</v>
      </c>
      <c r="AE473" s="5">
        <f>VLOOKUP(A473,[7]越南VN30指数历史数据!$A:$B,2,)</f>
        <v>840.17</v>
      </c>
      <c r="AF473">
        <v>46156.11</v>
      </c>
      <c r="AG473" s="9">
        <v>16987.14</v>
      </c>
      <c r="AH473">
        <v>11120.89</v>
      </c>
      <c r="AI473">
        <v>1378.82</v>
      </c>
      <c r="AJ473">
        <v>2040.02</v>
      </c>
    </row>
    <row r="474" spans="1:36" x14ac:dyDescent="0.3">
      <c r="A474" s="2">
        <v>43471</v>
      </c>
      <c r="B474" s="3">
        <v>33884.6</v>
      </c>
      <c r="C474" s="4">
        <v>93658</v>
      </c>
      <c r="D474" s="3">
        <v>5774.6</v>
      </c>
      <c r="E474" s="3">
        <v>23995.95</v>
      </c>
      <c r="F474" s="3">
        <v>14939.18</v>
      </c>
      <c r="G474" s="3">
        <v>1447.38</v>
      </c>
      <c r="H474" s="3">
        <v>2596.2600000000002</v>
      </c>
      <c r="I474" s="3">
        <v>6971.48</v>
      </c>
      <c r="J474" s="3">
        <v>43556.11</v>
      </c>
      <c r="K474" s="1">
        <v>27047.95</v>
      </c>
      <c r="L474" s="3">
        <v>2335.1</v>
      </c>
      <c r="M474" s="3">
        <v>10887.46</v>
      </c>
      <c r="N474" s="6">
        <f>VLOOKUP(A474,'[1]俄罗斯交易系统市值加权指数历史数据 (1)'!$A:$B,2,)</f>
        <v>1148.75</v>
      </c>
      <c r="O474" s="3">
        <v>4781.34</v>
      </c>
      <c r="P474" s="1">
        <v>498.65</v>
      </c>
      <c r="Q474" s="3">
        <v>8828.2199999999993</v>
      </c>
      <c r="R474" s="1">
        <v>916.87</v>
      </c>
      <c r="S474" s="3">
        <v>8877.1</v>
      </c>
      <c r="T474" s="3">
        <v>6918.18</v>
      </c>
      <c r="U474" s="3">
        <v>3070.04</v>
      </c>
      <c r="V474" s="6">
        <f>VLOOKUP(A474,[2]韩国KOSPI指数历史数据!$A:$B,2,)</f>
        <v>2075.5700000000002</v>
      </c>
      <c r="W474" s="6">
        <f>VLOOKUP(A474,[3]日经225指数历史数据!$A:$B,2,)</f>
        <v>20359.7</v>
      </c>
      <c r="X474" s="3">
        <v>1498.63</v>
      </c>
      <c r="Y474" s="6">
        <f>VLOOKUP(A474,[4]上证指数历史数据!$A:$B,2,)</f>
        <v>2553.83</v>
      </c>
      <c r="Z474" s="6">
        <f>VLOOKUP(A474,[5]深证成份指数历史数据!$A:$B,2,)</f>
        <v>7474.01</v>
      </c>
      <c r="AA474" s="6">
        <f>VLOOKUP(A474,[6]台湾加权指数历史数据!$A:$B,2,)</f>
        <v>9759.4</v>
      </c>
      <c r="AB474" s="3">
        <v>26667.27</v>
      </c>
      <c r="AC474" s="3">
        <v>3198.65</v>
      </c>
      <c r="AD474">
        <v>10794.95</v>
      </c>
      <c r="AE474" s="5">
        <f>VLOOKUP(A474,[7]越南VN30指数历史数据!$A:$B,2,)</f>
        <v>860.3</v>
      </c>
      <c r="AF474">
        <v>47491.38</v>
      </c>
      <c r="AG474" s="9">
        <v>17268.02</v>
      </c>
      <c r="AH474">
        <v>11089.52</v>
      </c>
      <c r="AI474">
        <v>1343.94</v>
      </c>
      <c r="AJ474">
        <v>1990.85</v>
      </c>
    </row>
    <row r="475" spans="1:36" x14ac:dyDescent="0.3">
      <c r="A475" s="2">
        <v>43478</v>
      </c>
      <c r="B475" s="3">
        <v>35100.449999999997</v>
      </c>
      <c r="C475" s="4">
        <v>96097</v>
      </c>
      <c r="D475" s="3">
        <v>5879.6</v>
      </c>
      <c r="E475" s="3">
        <v>24706.35</v>
      </c>
      <c r="F475" s="3">
        <v>15303.83</v>
      </c>
      <c r="G475" s="3">
        <v>1482.5</v>
      </c>
      <c r="H475" s="3">
        <v>2670.71</v>
      </c>
      <c r="I475" s="3">
        <v>7157.23</v>
      </c>
      <c r="J475" s="3">
        <v>44241.54</v>
      </c>
      <c r="K475" s="1">
        <v>27598.82</v>
      </c>
      <c r="L475" s="3">
        <v>2377.87</v>
      </c>
      <c r="M475" s="3">
        <v>11205.54</v>
      </c>
      <c r="N475" s="6">
        <f>VLOOKUP(A475,'[1]俄罗斯交易系统市值加权指数历史数据 (1)'!$A:$B,2,)</f>
        <v>1176.42</v>
      </c>
      <c r="O475" s="3">
        <v>4875.93</v>
      </c>
      <c r="P475" s="1">
        <v>509.7</v>
      </c>
      <c r="Q475" s="3">
        <v>9023.9599999999991</v>
      </c>
      <c r="R475" s="1">
        <v>984.55</v>
      </c>
      <c r="S475" s="3">
        <v>9069.1</v>
      </c>
      <c r="T475" s="3">
        <v>6968.33</v>
      </c>
      <c r="U475" s="3">
        <v>3134.92</v>
      </c>
      <c r="V475" s="6">
        <f>VLOOKUP(A475,[2]韩国KOSPI指数历史数据!$A:$B,2,)</f>
        <v>2124.2800000000002</v>
      </c>
      <c r="W475" s="6">
        <f>VLOOKUP(A475,[3]日经225指数历史数据!$A:$B,2,)</f>
        <v>20666.07</v>
      </c>
      <c r="X475" s="3">
        <v>1511.14</v>
      </c>
      <c r="Y475" s="6">
        <f>VLOOKUP(A475,[4]上证指数历史数据!$A:$B,2,)</f>
        <v>2596.0100000000002</v>
      </c>
      <c r="Z475" s="6">
        <f>VLOOKUP(A475,[5]深证成份指数历史数据!$A:$B,2,)</f>
        <v>7581.39</v>
      </c>
      <c r="AA475" s="6">
        <f>VLOOKUP(A475,[6]台湾加权指数历史数据!$A:$B,2,)</f>
        <v>9836.06</v>
      </c>
      <c r="AB475" s="3">
        <v>27090.81</v>
      </c>
      <c r="AC475" s="3">
        <v>3224.34</v>
      </c>
      <c r="AD475">
        <v>10906.95</v>
      </c>
      <c r="AE475" s="5">
        <f>VLOOKUP(A475,[7]越南VN30指数历史数据!$A:$B,2,)</f>
        <v>854.79</v>
      </c>
      <c r="AF475">
        <v>47585.02</v>
      </c>
      <c r="AG475" s="9">
        <v>17155.89</v>
      </c>
      <c r="AH475">
        <v>11202.72</v>
      </c>
      <c r="AI475">
        <v>1378.95</v>
      </c>
      <c r="AJ475">
        <v>2009.66</v>
      </c>
    </row>
    <row r="476" spans="1:36" x14ac:dyDescent="0.3">
      <c r="A476" s="2">
        <v>43485</v>
      </c>
      <c r="B476" s="3">
        <v>34810.51</v>
      </c>
      <c r="C476" s="4">
        <v>97677</v>
      </c>
      <c r="D476" s="3">
        <v>5905.6</v>
      </c>
      <c r="E476" s="3">
        <v>24737.200000000001</v>
      </c>
      <c r="F476" s="3">
        <v>15366.05</v>
      </c>
      <c r="G476" s="3">
        <v>1482.85</v>
      </c>
      <c r="H476" s="3">
        <v>2664.76</v>
      </c>
      <c r="I476" s="3">
        <v>7164.86</v>
      </c>
      <c r="J476" s="3">
        <v>43638.62</v>
      </c>
      <c r="K476" s="1">
        <v>27431.39</v>
      </c>
      <c r="L476" s="3">
        <v>2398.7399999999998</v>
      </c>
      <c r="M476" s="3">
        <v>11281.79</v>
      </c>
      <c r="N476" s="6">
        <f>VLOOKUP(A476,'[1]俄罗斯交易系统市值加权指数历史数据 (1)'!$A:$B,2,)</f>
        <v>1192.02</v>
      </c>
      <c r="O476" s="3">
        <v>4925.82</v>
      </c>
      <c r="P476" s="1">
        <v>515.1</v>
      </c>
      <c r="Q476" s="3">
        <v>8922.49</v>
      </c>
      <c r="R476" s="3">
        <v>1018.01</v>
      </c>
      <c r="S476" s="3">
        <v>9185.2000000000007</v>
      </c>
      <c r="T476" s="3">
        <v>6809.22</v>
      </c>
      <c r="U476" s="3">
        <v>3163.24</v>
      </c>
      <c r="V476" s="6">
        <f>VLOOKUP(A476,[2]韩国KOSPI指数历史数据!$A:$B,2,)</f>
        <v>2177.73</v>
      </c>
      <c r="W476" s="6">
        <f>VLOOKUP(A476,[3]日经225指数历史数据!$A:$B,2,)</f>
        <v>20773.560000000001</v>
      </c>
      <c r="X476" s="3">
        <v>1526.9</v>
      </c>
      <c r="Y476" s="6">
        <f>VLOOKUP(A476,[4]上证指数历史数据!$A:$B,2,)</f>
        <v>2601.7199999999998</v>
      </c>
      <c r="Z476" s="6">
        <f>VLOOKUP(A476,[5]深证成份指数历史数据!$A:$B,2,)</f>
        <v>7595.45</v>
      </c>
      <c r="AA476" s="6">
        <f>VLOOKUP(A476,[6]台湾加权指数历史数据!$A:$B,2,)</f>
        <v>9969.61</v>
      </c>
      <c r="AB476" s="3">
        <v>27569.19</v>
      </c>
      <c r="AC476" s="3">
        <v>3202.25</v>
      </c>
      <c r="AD476">
        <v>10780.55</v>
      </c>
      <c r="AE476" s="5">
        <f>VLOOKUP(A476,[7]越南VN30指数历史数据!$A:$B,2,)</f>
        <v>867.7</v>
      </c>
      <c r="AF476">
        <v>47892.41</v>
      </c>
      <c r="AG476" s="9">
        <v>17035.88</v>
      </c>
      <c r="AH476">
        <v>11301.89</v>
      </c>
      <c r="AI476">
        <v>1402.97</v>
      </c>
      <c r="AJ476">
        <v>2054.4499999999998</v>
      </c>
    </row>
    <row r="477" spans="1:36" x14ac:dyDescent="0.3">
      <c r="A477" s="2">
        <v>43492</v>
      </c>
      <c r="B477" s="3">
        <v>36599.879999999997</v>
      </c>
      <c r="C477" s="4">
        <v>97861</v>
      </c>
      <c r="D477" s="3">
        <v>5862.8</v>
      </c>
      <c r="E477" s="3">
        <v>25063.89</v>
      </c>
      <c r="F477" s="3">
        <v>15506.31</v>
      </c>
      <c r="G477" s="3">
        <v>1502.05</v>
      </c>
      <c r="H477" s="3">
        <v>2706.53</v>
      </c>
      <c r="I477" s="3">
        <v>7263.87</v>
      </c>
      <c r="J477" s="3">
        <v>43738.27</v>
      </c>
      <c r="K477" s="1">
        <v>27508.46</v>
      </c>
      <c r="L477" s="3">
        <v>2393.4299999999998</v>
      </c>
      <c r="M477" s="3">
        <v>11180.66</v>
      </c>
      <c r="N477" s="6">
        <f>VLOOKUP(A477,'[1]俄罗斯交易系统市值加权指数历史数据 (1)'!$A:$B,2,)</f>
        <v>1211.23</v>
      </c>
      <c r="O477" s="3">
        <v>5019.26</v>
      </c>
      <c r="P477" s="1">
        <v>523.24</v>
      </c>
      <c r="Q477" s="3">
        <v>8996.36</v>
      </c>
      <c r="R477" s="3">
        <v>1029.3699999999999</v>
      </c>
      <c r="S477" s="3">
        <v>9019.4</v>
      </c>
      <c r="T477" s="3">
        <v>7020.22</v>
      </c>
      <c r="U477" s="3">
        <v>3171.12</v>
      </c>
      <c r="V477" s="6">
        <f>VLOOKUP(A477,[2]韩国KOSPI指数历史数据!$A:$B,2,)</f>
        <v>2203.46</v>
      </c>
      <c r="W477" s="6">
        <f>VLOOKUP(A477,[3]日经225指数历史数据!$A:$B,2,)</f>
        <v>20788.39</v>
      </c>
      <c r="X477" s="3">
        <v>1554.14</v>
      </c>
      <c r="Y477" s="6">
        <f>VLOOKUP(A477,[4]上证指数历史数据!$A:$B,2,)</f>
        <v>2618.23</v>
      </c>
      <c r="Z477" s="6">
        <f>VLOOKUP(A477,[5]深证成份指数历史数据!$A:$B,2,)</f>
        <v>7684</v>
      </c>
      <c r="AA477" s="6">
        <f>VLOOKUP(A477,[6]台湾加权指数历史数据!$A:$B,2,)</f>
        <v>9932.26</v>
      </c>
      <c r="AB477" s="3">
        <v>27930.74</v>
      </c>
      <c r="AC477" s="3">
        <v>3188.68</v>
      </c>
      <c r="AD477">
        <v>10893.65</v>
      </c>
      <c r="AE477" s="5">
        <f>VLOOKUP(A477,[7]越南VN30指数历史数据!$A:$B,2,)</f>
        <v>859.81</v>
      </c>
      <c r="AF477">
        <v>47697.78</v>
      </c>
      <c r="AG477" s="9">
        <v>18012.46</v>
      </c>
      <c r="AH477">
        <v>11358.73</v>
      </c>
      <c r="AI477">
        <v>1366.69</v>
      </c>
      <c r="AJ477">
        <v>2134</v>
      </c>
    </row>
    <row r="478" spans="1:36" x14ac:dyDescent="0.3">
      <c r="A478" s="2">
        <v>43499</v>
      </c>
      <c r="B478" s="3">
        <v>36664.239999999998</v>
      </c>
      <c r="C478" s="4">
        <v>95343</v>
      </c>
      <c r="D478" s="3">
        <v>6071.5</v>
      </c>
      <c r="E478" s="3">
        <v>25106.33</v>
      </c>
      <c r="F478" s="3">
        <v>15633.33</v>
      </c>
      <c r="G478" s="3">
        <v>1506.39</v>
      </c>
      <c r="H478" s="3">
        <v>2707.88</v>
      </c>
      <c r="I478" s="3">
        <v>7298.2</v>
      </c>
      <c r="J478" s="3">
        <v>43180.45</v>
      </c>
      <c r="K478" s="1">
        <v>27223.77</v>
      </c>
      <c r="L478" s="3">
        <v>2354.11</v>
      </c>
      <c r="M478" s="3">
        <v>10906.78</v>
      </c>
      <c r="N478" s="6">
        <f>VLOOKUP(A478,'[1]俄罗斯交易系统市值加权指数历史数据 (1)'!$A:$B,2,)</f>
        <v>1199.6500000000001</v>
      </c>
      <c r="O478" s="3">
        <v>4961.6400000000003</v>
      </c>
      <c r="P478" s="1">
        <v>527.99</v>
      </c>
      <c r="Q478" s="3">
        <v>9003.41</v>
      </c>
      <c r="R478" s="3">
        <v>1024.52</v>
      </c>
      <c r="S478" s="3">
        <v>8856.7999999999993</v>
      </c>
      <c r="T478" s="3">
        <v>7071.18</v>
      </c>
      <c r="U478" s="3">
        <v>3135.62</v>
      </c>
      <c r="V478" s="6">
        <f>VLOOKUP(A478,[2]韩国KOSPI指数历史数据!$A:$B,2,)</f>
        <v>2177.0500000000002</v>
      </c>
      <c r="W478" s="6">
        <f>VLOOKUP(A478,[3]日经225指数历史数据!$A:$B,2,)</f>
        <v>20333.169999999998</v>
      </c>
      <c r="X478" s="3">
        <v>1538.39</v>
      </c>
      <c r="Y478" s="6" t="e">
        <f>VLOOKUP(A478,[4]上证指数历史数据!$A:$B,2,)</f>
        <v>#N/A</v>
      </c>
      <c r="Z478" s="6">
        <f>VLOOKUP(A478,[5]深证成份指数历史数据!$A:$B,2,)</f>
        <v>7684</v>
      </c>
      <c r="AA478" s="6" t="e">
        <f>VLOOKUP(A478,[6]台湾加权指数历史数据!$A:$B,2,)</f>
        <v>#N/A</v>
      </c>
      <c r="AB478" s="3">
        <v>27946.32</v>
      </c>
      <c r="AC478" s="3">
        <v>3202.04</v>
      </c>
      <c r="AD478">
        <v>10943.6</v>
      </c>
      <c r="AE478" s="5" t="e">
        <f>VLOOKUP(A478,[7]越南VN30指数历史数据!$A:$B,2,)</f>
        <v>#N/A</v>
      </c>
      <c r="AF478">
        <v>47001.79</v>
      </c>
      <c r="AG478" s="9">
        <v>18673.060000000001</v>
      </c>
      <c r="AH478">
        <v>11375.15</v>
      </c>
      <c r="AI478">
        <v>1421.8</v>
      </c>
      <c r="AJ478">
        <v>2146.75</v>
      </c>
    </row>
    <row r="479" spans="1:36" x14ac:dyDescent="0.3">
      <c r="A479" s="2">
        <v>43506</v>
      </c>
      <c r="B479" s="3">
        <v>37469.97</v>
      </c>
      <c r="C479" s="4">
        <v>97526</v>
      </c>
      <c r="D479" s="3">
        <v>6066.1</v>
      </c>
      <c r="E479" s="3">
        <v>25883.25</v>
      </c>
      <c r="F479" s="3">
        <v>15838.24</v>
      </c>
      <c r="G479" s="3">
        <v>1569.25</v>
      </c>
      <c r="H479" s="3">
        <v>2775.6</v>
      </c>
      <c r="I479" s="3">
        <v>7472.41</v>
      </c>
      <c r="J479" s="3">
        <v>42988.72</v>
      </c>
      <c r="K479" s="1">
        <v>27299.02</v>
      </c>
      <c r="L479" s="3">
        <v>2338.1999999999998</v>
      </c>
      <c r="M479" s="3">
        <v>11299.8</v>
      </c>
      <c r="N479" s="6">
        <f>VLOOKUP(A479,'[1]俄罗斯交易系统市值加权指数历史数据 (1)'!$A:$B,2,)</f>
        <v>1177.5</v>
      </c>
      <c r="O479" s="3">
        <v>5153.1899999999996</v>
      </c>
      <c r="P479" s="1">
        <v>539.62</v>
      </c>
      <c r="Q479" s="3">
        <v>9242.1200000000008</v>
      </c>
      <c r="R479" s="3">
        <v>1027.1500000000001</v>
      </c>
      <c r="S479" s="3">
        <v>9123.2000000000007</v>
      </c>
      <c r="T479" s="3">
        <v>7236.68</v>
      </c>
      <c r="U479" s="3">
        <v>3241.25</v>
      </c>
      <c r="V479" s="6">
        <f>VLOOKUP(A479,[2]韩国KOSPI指数历史数据!$A:$B,2,)</f>
        <v>2196.09</v>
      </c>
      <c r="W479" s="6">
        <f>VLOOKUP(A479,[3]日经225指数历史数据!$A:$B,2,)</f>
        <v>20900.63</v>
      </c>
      <c r="X479" s="3">
        <v>1556.65</v>
      </c>
      <c r="Y479" s="6">
        <f>VLOOKUP(A479,[4]上证指数历史数据!$A:$B,2,)</f>
        <v>2682.39</v>
      </c>
      <c r="Z479" s="6">
        <f>VLOOKUP(A479,[5]深证成份指数历史数据!$A:$B,2,)</f>
        <v>8125.63</v>
      </c>
      <c r="AA479" s="6">
        <f>VLOOKUP(A479,[6]台湾加权指数历史数据!$A:$B,2,)</f>
        <v>10064.780000000001</v>
      </c>
      <c r="AB479" s="3">
        <v>27900.84</v>
      </c>
      <c r="AC479" s="3">
        <v>3239.74</v>
      </c>
      <c r="AD479">
        <v>10724.4</v>
      </c>
      <c r="AE479" s="5">
        <f>VLOOKUP(A479,[7]越南VN30指数历史数据!$A:$B,2,)</f>
        <v>897.74</v>
      </c>
      <c r="AF479">
        <v>48446.14</v>
      </c>
      <c r="AG479" s="9">
        <v>18834.07</v>
      </c>
      <c r="AH479">
        <v>11384.56</v>
      </c>
      <c r="AI479">
        <v>1485.14</v>
      </c>
      <c r="AJ479">
        <v>2139.21</v>
      </c>
    </row>
    <row r="480" spans="1:36" x14ac:dyDescent="0.3">
      <c r="A480" s="2">
        <v>43513</v>
      </c>
      <c r="B480" s="3">
        <v>36646.79</v>
      </c>
      <c r="C480" s="4">
        <v>97886</v>
      </c>
      <c r="D480" s="3">
        <v>6167.3</v>
      </c>
      <c r="E480" s="3">
        <v>26031.81</v>
      </c>
      <c r="F480" s="3">
        <v>16013.01</v>
      </c>
      <c r="G480" s="3">
        <v>1590.06</v>
      </c>
      <c r="H480" s="3">
        <v>2792.67</v>
      </c>
      <c r="I480" s="3">
        <v>7527.54</v>
      </c>
      <c r="J480" s="3">
        <v>43738.66</v>
      </c>
      <c r="K480" s="1">
        <v>27638.81</v>
      </c>
      <c r="L480" s="3">
        <v>2355.77</v>
      </c>
      <c r="M480" s="3">
        <v>11457.7</v>
      </c>
      <c r="N480" s="6">
        <f>VLOOKUP(A480,'[1]俄罗斯交易系统市值加权指数历史数据 (1)'!$A:$B,2,)</f>
        <v>1198.4000000000001</v>
      </c>
      <c r="O480" s="3">
        <v>5215.8500000000004</v>
      </c>
      <c r="P480" s="1">
        <v>541.37</v>
      </c>
      <c r="Q480" s="3">
        <v>9348.93</v>
      </c>
      <c r="R480" s="3">
        <v>1031.8599999999999</v>
      </c>
      <c r="S480" s="3">
        <v>9204.6</v>
      </c>
      <c r="T480" s="3">
        <v>7178.6</v>
      </c>
      <c r="U480" s="3">
        <v>3270.55</v>
      </c>
      <c r="V480" s="6">
        <f>VLOOKUP(A480,[2]韩国KOSPI指数历史数据!$A:$B,2,)</f>
        <v>2230.5</v>
      </c>
      <c r="W480" s="6">
        <f>VLOOKUP(A480,[3]日经225指数历史数据!$A:$B,2,)</f>
        <v>21425.51</v>
      </c>
      <c r="X480" s="3">
        <v>1569.92</v>
      </c>
      <c r="Y480" s="6">
        <f>VLOOKUP(A480,[4]上证指数历史数据!$A:$B,2,)</f>
        <v>2804.23</v>
      </c>
      <c r="Z480" s="6">
        <f>VLOOKUP(A480,[5]深证成份指数历史数据!$A:$B,2,)</f>
        <v>8651.2000000000007</v>
      </c>
      <c r="AA480" s="6">
        <f>VLOOKUP(A480,[6]台湾加权指数历史数据!$A:$B,2,)</f>
        <v>10322.92</v>
      </c>
      <c r="AB480" s="3">
        <v>28816.3</v>
      </c>
      <c r="AC480" s="3">
        <v>3269.9</v>
      </c>
      <c r="AD480">
        <v>10791.65</v>
      </c>
      <c r="AE480" s="5">
        <f>VLOOKUP(A480,[7]越南VN30指数历史数据!$A:$B,2,)</f>
        <v>929.5</v>
      </c>
      <c r="AF480">
        <v>49735.69</v>
      </c>
      <c r="AG480" s="9">
        <v>19081.5</v>
      </c>
      <c r="AH480">
        <v>11296.67</v>
      </c>
      <c r="AI480">
        <v>1473.9</v>
      </c>
      <c r="AJ480">
        <v>2148.11</v>
      </c>
    </row>
    <row r="481" spans="1:36" x14ac:dyDescent="0.3">
      <c r="A481" s="2">
        <v>43520</v>
      </c>
      <c r="B481" s="3">
        <v>33834.86</v>
      </c>
      <c r="C481" s="4">
        <v>94604</v>
      </c>
      <c r="D481" s="3">
        <v>6192.7</v>
      </c>
      <c r="E481" s="3">
        <v>26026.32</v>
      </c>
      <c r="F481" s="3">
        <v>16068.25</v>
      </c>
      <c r="G481" s="3">
        <v>1589.64</v>
      </c>
      <c r="H481" s="3">
        <v>2803.69</v>
      </c>
      <c r="I481" s="3">
        <v>7595.35</v>
      </c>
      <c r="J481" s="3">
        <v>42619.23</v>
      </c>
      <c r="K481" s="1">
        <v>26742.03</v>
      </c>
      <c r="L481" s="3">
        <v>2333.11</v>
      </c>
      <c r="M481" s="3">
        <v>11601.68</v>
      </c>
      <c r="N481" s="6">
        <f>VLOOKUP(A481,'[1]俄罗斯交易系统市值加权指数历史数据 (1)'!$A:$B,2,)</f>
        <v>1187.3499999999999</v>
      </c>
      <c r="O481" s="3">
        <v>5265.19</v>
      </c>
      <c r="P481" s="1">
        <v>538.59</v>
      </c>
      <c r="Q481" s="3">
        <v>9412.02</v>
      </c>
      <c r="R481" s="3">
        <v>1032.67</v>
      </c>
      <c r="S481" s="3">
        <v>9267.7000000000007</v>
      </c>
      <c r="T481" s="3">
        <v>7106.73</v>
      </c>
      <c r="U481" s="3">
        <v>3312.1</v>
      </c>
      <c r="V481" s="6">
        <f>VLOOKUP(A481,[2]韩国KOSPI指数历史数据!$A:$B,2,)</f>
        <v>2195.44</v>
      </c>
      <c r="W481" s="6">
        <f>VLOOKUP(A481,[3]日经225指数历史数据!$A:$B,2,)</f>
        <v>21602.69</v>
      </c>
      <c r="X481" s="3">
        <v>1571.21</v>
      </c>
      <c r="Y481" s="6">
        <f>VLOOKUP(A481,[4]上证指数历史数据!$A:$B,2,)</f>
        <v>2994.01</v>
      </c>
      <c r="Z481" s="6">
        <f>VLOOKUP(A481,[5]深证成份指数历史数据!$A:$B,2,)</f>
        <v>9167.65</v>
      </c>
      <c r="AA481" s="6">
        <f>VLOOKUP(A481,[6]台湾加权指数历史数据!$A:$B,2,)</f>
        <v>10389.17</v>
      </c>
      <c r="AB481" s="3">
        <v>28812.17</v>
      </c>
      <c r="AC481" s="3">
        <v>3220.4</v>
      </c>
      <c r="AD481">
        <v>10863.5</v>
      </c>
      <c r="AE481" s="5">
        <f>VLOOKUP(A481,[7]越南VN30指数历史数据!$A:$B,2,)</f>
        <v>915.32</v>
      </c>
      <c r="AF481">
        <v>49841.27</v>
      </c>
      <c r="AG481" s="9">
        <v>18830.240000000002</v>
      </c>
      <c r="AH481">
        <v>11163.7</v>
      </c>
      <c r="AI481">
        <v>1427.91</v>
      </c>
      <c r="AJ481">
        <v>2082</v>
      </c>
    </row>
    <row r="482" spans="1:36" x14ac:dyDescent="0.3">
      <c r="A482" s="2">
        <v>43527</v>
      </c>
      <c r="B482" s="3">
        <v>33020.07</v>
      </c>
      <c r="C482" s="4">
        <v>95365</v>
      </c>
      <c r="D482" s="3">
        <v>6203.8</v>
      </c>
      <c r="E482" s="3">
        <v>25450.240000000002</v>
      </c>
      <c r="F482" s="3">
        <v>15996.21</v>
      </c>
      <c r="G482" s="3">
        <v>1521.88</v>
      </c>
      <c r="H482" s="3">
        <v>2743.07</v>
      </c>
      <c r="I482" s="3">
        <v>7408.14</v>
      </c>
      <c r="J482" s="3">
        <v>41586.699999999997</v>
      </c>
      <c r="K482" s="1">
        <v>26704.92</v>
      </c>
      <c r="L482" s="3">
        <v>2298.9699999999998</v>
      </c>
      <c r="M482" s="3">
        <v>11457.84</v>
      </c>
      <c r="N482" s="6">
        <f>VLOOKUP(A482,'[1]俄罗斯交易系统市值加权指数历史数据 (1)'!$A:$B,2,)</f>
        <v>1179.58</v>
      </c>
      <c r="O482" s="3">
        <v>5231.22</v>
      </c>
      <c r="P482" s="1">
        <v>530.54999999999995</v>
      </c>
      <c r="Q482" s="3">
        <v>9268.36</v>
      </c>
      <c r="R482" s="3">
        <v>1015.38</v>
      </c>
      <c r="S482" s="3">
        <v>9129.2999999999993</v>
      </c>
      <c r="T482" s="3">
        <v>7104.31</v>
      </c>
      <c r="U482" s="3">
        <v>3283.6</v>
      </c>
      <c r="V482" s="6">
        <f>VLOOKUP(A482,[2]韩国KOSPI指数历史数据!$A:$B,2,)</f>
        <v>2137.44</v>
      </c>
      <c r="W482" s="6">
        <f>VLOOKUP(A482,[3]日经225指数历史数据!$A:$B,2,)</f>
        <v>21025.56</v>
      </c>
      <c r="X482" s="3">
        <v>1542.83</v>
      </c>
      <c r="Y482" s="6">
        <f>VLOOKUP(A482,[4]上证指数历史数据!$A:$B,2,)</f>
        <v>2969.86</v>
      </c>
      <c r="Z482" s="6">
        <f>VLOOKUP(A482,[5]深证成份指数历史数据!$A:$B,2,)</f>
        <v>9363.7199999999993</v>
      </c>
      <c r="AA482" s="6">
        <f>VLOOKUP(A482,[6]台湾加权指数历史数据!$A:$B,2,)</f>
        <v>10241.75</v>
      </c>
      <c r="AB482" s="3">
        <v>28228.42</v>
      </c>
      <c r="AC482" s="3">
        <v>3195.87</v>
      </c>
      <c r="AD482">
        <v>11035.4</v>
      </c>
      <c r="AE482" s="5">
        <f>VLOOKUP(A482,[7]越南VN30指数历史数据!$A:$B,2,)</f>
        <v>914.74</v>
      </c>
      <c r="AF482">
        <v>49233.13</v>
      </c>
      <c r="AG482" s="9">
        <v>18975.240000000002</v>
      </c>
      <c r="AH482">
        <v>11106.95</v>
      </c>
      <c r="AI482">
        <v>1438.19</v>
      </c>
      <c r="AJ482">
        <v>2093.75</v>
      </c>
    </row>
    <row r="483" spans="1:36" x14ac:dyDescent="0.3">
      <c r="A483" s="2">
        <v>43534</v>
      </c>
      <c r="B483" s="3">
        <v>33933.08</v>
      </c>
      <c r="C483" s="4">
        <v>99137</v>
      </c>
      <c r="D483" s="3">
        <v>6175.2</v>
      </c>
      <c r="E483" s="3">
        <v>25848.87</v>
      </c>
      <c r="F483" s="3">
        <v>16140.35</v>
      </c>
      <c r="G483" s="3">
        <v>1553.54</v>
      </c>
      <c r="H483" s="3">
        <v>2822.48</v>
      </c>
      <c r="I483" s="3">
        <v>7688.53</v>
      </c>
      <c r="J483" s="3">
        <v>42210.46</v>
      </c>
      <c r="K483" s="1">
        <v>26880.73</v>
      </c>
      <c r="L483" s="3">
        <v>2346.25</v>
      </c>
      <c r="M483" s="3">
        <v>11685.69</v>
      </c>
      <c r="N483" s="6">
        <f>VLOOKUP(A483,'[1]俄罗斯交易系统市值加权指数历史数据 (1)'!$A:$B,2,)</f>
        <v>1196.75</v>
      </c>
      <c r="O483" s="3">
        <v>5405.32</v>
      </c>
      <c r="P483" s="1">
        <v>552.17999999999995</v>
      </c>
      <c r="Q483" s="3">
        <v>9483.1</v>
      </c>
      <c r="R483" s="3">
        <v>1033.04</v>
      </c>
      <c r="S483" s="3">
        <v>9342.2000000000007</v>
      </c>
      <c r="T483" s="3">
        <v>7228.28</v>
      </c>
      <c r="U483" s="3">
        <v>3386.08</v>
      </c>
      <c r="V483" s="6">
        <f>VLOOKUP(A483,[2]韩国KOSPI指数历史数据!$A:$B,2,)</f>
        <v>2176.11</v>
      </c>
      <c r="W483" s="6">
        <f>VLOOKUP(A483,[3]日经225指数历史数据!$A:$B,2,)</f>
        <v>21450.85</v>
      </c>
      <c r="X483" s="3">
        <v>1552.02</v>
      </c>
      <c r="Y483" s="6">
        <f>VLOOKUP(A483,[4]上证指数历史数据!$A:$B,2,)</f>
        <v>3021.75</v>
      </c>
      <c r="Z483" s="6">
        <f>VLOOKUP(A483,[5]深证成份指数历史数据!$A:$B,2,)</f>
        <v>9550.5400000000009</v>
      </c>
      <c r="AA483" s="6">
        <f>VLOOKUP(A483,[6]台湾加权指数历史数据!$A:$B,2,)</f>
        <v>10439.24</v>
      </c>
      <c r="AB483" s="3">
        <v>29012.26</v>
      </c>
      <c r="AC483" s="3">
        <v>3200.18</v>
      </c>
      <c r="AD483">
        <v>11426.85</v>
      </c>
      <c r="AE483" s="5">
        <f>VLOOKUP(A483,[7]越南VN30指数历史数据!$A:$B,2,)</f>
        <v>927.06</v>
      </c>
      <c r="AF483">
        <v>49684.03</v>
      </c>
      <c r="AG483" s="9">
        <v>19190.11</v>
      </c>
      <c r="AH483">
        <v>10978.78</v>
      </c>
      <c r="AI483">
        <v>1401.6</v>
      </c>
      <c r="AJ483">
        <v>2057.0500000000002</v>
      </c>
    </row>
    <row r="484" spans="1:36" x14ac:dyDescent="0.3">
      <c r="A484" s="2">
        <v>43541</v>
      </c>
      <c r="B484" s="3">
        <v>32827.980000000003</v>
      </c>
      <c r="C484" s="4">
        <v>93735</v>
      </c>
      <c r="D484" s="3">
        <v>6195.2</v>
      </c>
      <c r="E484" s="3">
        <v>25502.32</v>
      </c>
      <c r="F484" s="3">
        <v>16089.33</v>
      </c>
      <c r="G484" s="3">
        <v>1505.92</v>
      </c>
      <c r="H484" s="3">
        <v>2800.71</v>
      </c>
      <c r="I484" s="3">
        <v>7642.67</v>
      </c>
      <c r="J484" s="3">
        <v>42292.160000000003</v>
      </c>
      <c r="K484" s="1">
        <v>26409.77</v>
      </c>
      <c r="L484" s="3">
        <v>2319.1</v>
      </c>
      <c r="M484" s="3">
        <v>11364.17</v>
      </c>
      <c r="N484" s="6">
        <f>VLOOKUP(A484,'[1]俄罗斯交易系统市值加权指数历史数据 (1)'!$A:$B,2,)</f>
        <v>1213.4000000000001</v>
      </c>
      <c r="O484" s="3">
        <v>5269.92</v>
      </c>
      <c r="P484" s="1">
        <v>543.9</v>
      </c>
      <c r="Q484" s="3">
        <v>9319.42</v>
      </c>
      <c r="R484" s="1">
        <v>998.35</v>
      </c>
      <c r="S484" s="3">
        <v>9199.4</v>
      </c>
      <c r="T484" s="3">
        <v>7207.59</v>
      </c>
      <c r="U484" s="3">
        <v>3305.73</v>
      </c>
      <c r="V484" s="6">
        <f>VLOOKUP(A484,[2]韩国KOSPI指数历史数据!$A:$B,2,)</f>
        <v>2186.9499999999998</v>
      </c>
      <c r="W484" s="6">
        <f>VLOOKUP(A484,[3]日经225指数历史数据!$A:$B,2,)</f>
        <v>21627.34</v>
      </c>
      <c r="X484" s="3">
        <v>1551.1</v>
      </c>
      <c r="Y484" s="6">
        <f>VLOOKUP(A484,[4]上证指数历史数据!$A:$B,2,)</f>
        <v>3104.15</v>
      </c>
      <c r="Z484" s="6">
        <f>VLOOKUP(A484,[5]深证成份指数历史数据!$A:$B,2,)</f>
        <v>9879.2199999999993</v>
      </c>
      <c r="AA484" s="6">
        <f>VLOOKUP(A484,[6]台湾加权指数历史数据!$A:$B,2,)</f>
        <v>10639.07</v>
      </c>
      <c r="AB484" s="3">
        <v>29113.360000000001</v>
      </c>
      <c r="AC484" s="3">
        <v>3212.1</v>
      </c>
      <c r="AD484">
        <v>11456.9</v>
      </c>
      <c r="AE484" s="5">
        <f>VLOOKUP(A484,[7]越南VN30指数历史数据!$A:$B,2,)</f>
        <v>912.27</v>
      </c>
      <c r="AF484">
        <v>49792.42</v>
      </c>
      <c r="AG484" s="9">
        <v>18947.099999999999</v>
      </c>
      <c r="AH484">
        <v>10965.18</v>
      </c>
      <c r="AI484">
        <v>1398.78</v>
      </c>
      <c r="AJ484">
        <v>2091.88</v>
      </c>
    </row>
    <row r="485" spans="1:36" x14ac:dyDescent="0.3">
      <c r="A485" s="2">
        <v>43548</v>
      </c>
      <c r="B485" s="3">
        <v>33466.03</v>
      </c>
      <c r="C485" s="4">
        <v>95415</v>
      </c>
      <c r="D485" s="3">
        <v>6180.7</v>
      </c>
      <c r="E485" s="3">
        <v>25928.68</v>
      </c>
      <c r="F485" s="3">
        <v>16102.09</v>
      </c>
      <c r="G485" s="3">
        <v>1539.74</v>
      </c>
      <c r="H485" s="3">
        <v>2834.4</v>
      </c>
      <c r="I485" s="3">
        <v>7729.32</v>
      </c>
      <c r="J485" s="3">
        <v>43281.279999999999</v>
      </c>
      <c r="K485" s="1">
        <v>26643.94</v>
      </c>
      <c r="L485" s="3">
        <v>2312.09</v>
      </c>
      <c r="M485" s="3">
        <v>11526.04</v>
      </c>
      <c r="N485" s="6">
        <f>VLOOKUP(A485,'[1]俄罗斯交易系统市值加权指数历史数据 (1)'!$A:$B,2,)</f>
        <v>1198.1099999999999</v>
      </c>
      <c r="O485" s="3">
        <v>5350.53</v>
      </c>
      <c r="P485" s="1">
        <v>548.98</v>
      </c>
      <c r="Q485" s="3">
        <v>9477.84</v>
      </c>
      <c r="R485" s="1">
        <v>937.84</v>
      </c>
      <c r="S485" s="3">
        <v>9240.2999999999993</v>
      </c>
      <c r="T485" s="3">
        <v>7279.19</v>
      </c>
      <c r="U485" s="3">
        <v>3351.71</v>
      </c>
      <c r="V485" s="6">
        <f>VLOOKUP(A485,[2]韩国KOSPI指数历史数据!$A:$B,2,)</f>
        <v>2140.67</v>
      </c>
      <c r="W485" s="6">
        <f>VLOOKUP(A485,[3]日经225指数历史数据!$A:$B,2,)</f>
        <v>21205.81</v>
      </c>
      <c r="X485" s="3">
        <v>1527.35</v>
      </c>
      <c r="Y485" s="6">
        <f>VLOOKUP(A485,[4]上证指数历史数据!$A:$B,2,)</f>
        <v>3090.76</v>
      </c>
      <c r="Z485" s="6">
        <f>VLOOKUP(A485,[5]深证成份指数历史数据!$A:$B,2,)</f>
        <v>9906.86</v>
      </c>
      <c r="AA485" s="6">
        <f>VLOOKUP(A485,[6]台湾加权指数历史数据!$A:$B,2,)</f>
        <v>10641.04</v>
      </c>
      <c r="AB485" s="3">
        <v>29051.360000000001</v>
      </c>
      <c r="AC485" s="3">
        <v>3212.88</v>
      </c>
      <c r="AD485">
        <v>11623.9</v>
      </c>
      <c r="AE485" s="5">
        <f>VLOOKUP(A485,[7]越南VN30指数历史数据!$A:$B,2,)</f>
        <v>900.13</v>
      </c>
      <c r="AF485">
        <v>50273.93</v>
      </c>
      <c r="AG485" s="9">
        <v>18763.14</v>
      </c>
      <c r="AH485">
        <v>10912.23</v>
      </c>
      <c r="AI485">
        <v>1392.65</v>
      </c>
      <c r="AJ485">
        <v>2060.29</v>
      </c>
    </row>
    <row r="486" spans="1:36" x14ac:dyDescent="0.3">
      <c r="A486" s="2">
        <v>43555</v>
      </c>
      <c r="B486" s="3">
        <v>32666.880000000001</v>
      </c>
      <c r="C486" s="4">
        <v>97108</v>
      </c>
      <c r="D486" s="3">
        <v>6181.3</v>
      </c>
      <c r="E486" s="3">
        <v>26424.99</v>
      </c>
      <c r="F486" s="3">
        <v>16396.150000000001</v>
      </c>
      <c r="G486" s="3">
        <v>1582.56</v>
      </c>
      <c r="H486" s="3">
        <v>2892.74</v>
      </c>
      <c r="I486" s="3">
        <v>7938.69</v>
      </c>
      <c r="J486" s="3">
        <v>44989.86</v>
      </c>
      <c r="K486" s="1">
        <v>26622.84</v>
      </c>
      <c r="L486" s="3">
        <v>2351.08</v>
      </c>
      <c r="M486" s="3">
        <v>12009.75</v>
      </c>
      <c r="N486" s="6">
        <f>VLOOKUP(A486,'[1]俄罗斯交易系统市值加权指数历史数据 (1)'!$A:$B,2,)</f>
        <v>1225.8399999999999</v>
      </c>
      <c r="O486" s="3">
        <v>5476.2</v>
      </c>
      <c r="P486" s="1">
        <v>562.58000000000004</v>
      </c>
      <c r="Q486" s="3">
        <v>9541.15</v>
      </c>
      <c r="R486" s="1">
        <v>987.83</v>
      </c>
      <c r="S486" s="3">
        <v>9510.2999999999993</v>
      </c>
      <c r="T486" s="3">
        <v>7446.87</v>
      </c>
      <c r="U486" s="3">
        <v>3447.47</v>
      </c>
      <c r="V486" s="6">
        <f>VLOOKUP(A486,[2]韩国KOSPI指数历史数据!$A:$B,2,)</f>
        <v>2209.61</v>
      </c>
      <c r="W486" s="6">
        <f>VLOOKUP(A486,[3]日经225指数历史数据!$A:$B,2,)</f>
        <v>21807.5</v>
      </c>
      <c r="X486" s="3">
        <v>1549.93</v>
      </c>
      <c r="Y486" s="6">
        <f>VLOOKUP(A486,[4]上证指数历史数据!$A:$B,2,)</f>
        <v>3246.57</v>
      </c>
      <c r="Z486" s="6">
        <f>VLOOKUP(A486,[5]深证成份指数历史数据!$A:$B,2,)</f>
        <v>10415.799999999999</v>
      </c>
      <c r="AA486" s="6">
        <f>VLOOKUP(A486,[6]台湾加权指数历史数据!$A:$B,2,)</f>
        <v>10704.38</v>
      </c>
      <c r="AB486" s="3">
        <v>29936.32</v>
      </c>
      <c r="AC486" s="3">
        <v>3322.64</v>
      </c>
      <c r="AD486">
        <v>11665.95</v>
      </c>
      <c r="AE486" s="5">
        <f>VLOOKUP(A486,[7]越南VN30指数历史数据!$A:$B,2,)</f>
        <v>904.69</v>
      </c>
      <c r="AF486">
        <v>51517.73</v>
      </c>
      <c r="AG486" s="9">
        <v>19256.830000000002</v>
      </c>
      <c r="AH486">
        <v>10928.02</v>
      </c>
      <c r="AI486">
        <v>1324.07</v>
      </c>
      <c r="AJ486">
        <v>2077.7199999999998</v>
      </c>
    </row>
    <row r="487" spans="1:36" x14ac:dyDescent="0.3">
      <c r="A487" s="2">
        <v>43562</v>
      </c>
      <c r="B487" s="3">
        <v>31357.03</v>
      </c>
      <c r="C487" s="4">
        <v>92875</v>
      </c>
      <c r="D487" s="3">
        <v>6251.3</v>
      </c>
      <c r="E487" s="3">
        <v>26412.3</v>
      </c>
      <c r="F487" s="3">
        <v>16480.53</v>
      </c>
      <c r="G487" s="3">
        <v>1584.8</v>
      </c>
      <c r="H487" s="3">
        <v>2907.41</v>
      </c>
      <c r="I487" s="3">
        <v>7984.16</v>
      </c>
      <c r="J487" s="3">
        <v>44686.06</v>
      </c>
      <c r="K487" s="1">
        <v>26570</v>
      </c>
      <c r="L487" s="3">
        <v>2366.71</v>
      </c>
      <c r="M487" s="3">
        <v>11999.93</v>
      </c>
      <c r="N487" s="6">
        <f>VLOOKUP(A487,'[1]俄罗斯交易系统市值加权指数历史数据 (1)'!$A:$B,2,)</f>
        <v>1253.44</v>
      </c>
      <c r="O487" s="3">
        <v>5502.7</v>
      </c>
      <c r="P487" s="1">
        <v>561.61</v>
      </c>
      <c r="Q487" s="3">
        <v>9484.91</v>
      </c>
      <c r="R487" s="1">
        <v>959.77</v>
      </c>
      <c r="S487" s="3">
        <v>9468.5</v>
      </c>
      <c r="T487" s="3">
        <v>7437.06</v>
      </c>
      <c r="U487" s="3">
        <v>3447.83</v>
      </c>
      <c r="V487" s="6">
        <f>VLOOKUP(A487,[2]韩国KOSPI指数历史数据!$A:$B,2,)</f>
        <v>2233.4499999999998</v>
      </c>
      <c r="W487" s="6">
        <f>VLOOKUP(A487,[3]日经225指数历史数据!$A:$B,2,)</f>
        <v>21870.560000000001</v>
      </c>
      <c r="X487" s="3">
        <v>1586.26</v>
      </c>
      <c r="Y487" s="6">
        <f>VLOOKUP(A487,[4]上证指数历史数据!$A:$B,2,)</f>
        <v>3188.63</v>
      </c>
      <c r="Z487" s="6">
        <f>VLOOKUP(A487,[5]深证成份指数历史数据!$A:$B,2,)</f>
        <v>10132.34</v>
      </c>
      <c r="AA487" s="6">
        <f>VLOOKUP(A487,[6]台湾加权指数历史数据!$A:$B,2,)</f>
        <v>10805.3</v>
      </c>
      <c r="AB487" s="3">
        <v>29909.759999999998</v>
      </c>
      <c r="AC487" s="3">
        <v>3331.98</v>
      </c>
      <c r="AD487">
        <v>11643.45</v>
      </c>
      <c r="AE487" s="5">
        <f>VLOOKUP(A487,[7]越南VN30指数历史数据!$A:$B,2,)</f>
        <v>893.1</v>
      </c>
      <c r="AF487">
        <v>52141.52</v>
      </c>
      <c r="AG487" s="9">
        <v>19000.36</v>
      </c>
      <c r="AH487">
        <v>11015</v>
      </c>
      <c r="AI487">
        <v>1324.04</v>
      </c>
      <c r="AJ487">
        <v>2068.9299999999998</v>
      </c>
    </row>
    <row r="488" spans="1:36" x14ac:dyDescent="0.3">
      <c r="A488" s="2">
        <v>43569</v>
      </c>
      <c r="B488" s="3">
        <v>32036.78</v>
      </c>
      <c r="C488" s="4">
        <v>94578</v>
      </c>
      <c r="D488" s="3">
        <v>6259.8</v>
      </c>
      <c r="E488" s="3">
        <v>26559.54</v>
      </c>
      <c r="F488" s="3">
        <v>16612.810000000001</v>
      </c>
      <c r="G488" s="3">
        <v>1565.75</v>
      </c>
      <c r="H488" s="3">
        <v>2905.03</v>
      </c>
      <c r="I488" s="3">
        <v>7998.06</v>
      </c>
      <c r="J488" s="3">
        <v>45525.29</v>
      </c>
      <c r="K488" s="1">
        <v>26654.85</v>
      </c>
      <c r="L488" s="3">
        <v>2365.36</v>
      </c>
      <c r="M488" s="3">
        <v>12222.39</v>
      </c>
      <c r="N488" s="6">
        <f>VLOOKUP(A488,'[1]俄罗斯交易系统市值加权指数历史数据 (1)'!$A:$B,2,)</f>
        <v>1260.82</v>
      </c>
      <c r="O488" s="3">
        <v>5580.38</v>
      </c>
      <c r="P488" s="1">
        <v>569.61</v>
      </c>
      <c r="Q488" s="3">
        <v>9571.2199999999993</v>
      </c>
      <c r="R488" s="1">
        <v>968.61</v>
      </c>
      <c r="S488" s="3">
        <v>9581.9</v>
      </c>
      <c r="T488" s="3">
        <v>7459.88</v>
      </c>
      <c r="U488" s="3">
        <v>3499.23</v>
      </c>
      <c r="V488" s="6">
        <f>VLOOKUP(A488,[2]韩国KOSPI指数历史数据!$A:$B,2,)</f>
        <v>2216.15</v>
      </c>
      <c r="W488" s="6">
        <f>VLOOKUP(A488,[3]日经225指数历史数据!$A:$B,2,)</f>
        <v>22200.560000000001</v>
      </c>
      <c r="X488" s="3">
        <v>1584.56</v>
      </c>
      <c r="Y488" s="6">
        <f>VLOOKUP(A488,[4]上证指数历史数据!$A:$B,2,)</f>
        <v>3270.8</v>
      </c>
      <c r="Z488" s="6">
        <f>VLOOKUP(A488,[5]深证成份指数历史数据!$A:$B,2,)</f>
        <v>10418.24</v>
      </c>
      <c r="AA488" s="6">
        <f>VLOOKUP(A488,[6]台湾加权指数历史数据!$A:$B,2,)</f>
        <v>10968.5</v>
      </c>
      <c r="AB488" s="3">
        <v>29963.26</v>
      </c>
      <c r="AC488" s="3">
        <v>3347.58</v>
      </c>
      <c r="AD488">
        <v>11752.8</v>
      </c>
      <c r="AE488" s="5">
        <f>VLOOKUP(A488,[7]越南VN30指数历史数据!$A:$B,2,)</f>
        <v>880.52</v>
      </c>
      <c r="AF488">
        <v>52872.78</v>
      </c>
      <c r="AG488" s="9">
        <v>18733.73</v>
      </c>
      <c r="AH488">
        <v>11113.87</v>
      </c>
      <c r="AI488">
        <v>1351.59</v>
      </c>
      <c r="AJ488">
        <v>2001.62</v>
      </c>
    </row>
    <row r="489" spans="1:36" x14ac:dyDescent="0.3">
      <c r="A489" s="2">
        <v>43576</v>
      </c>
      <c r="B489" s="3">
        <v>30001.1</v>
      </c>
      <c r="C489" s="4">
        <v>96236</v>
      </c>
      <c r="D489" s="3">
        <v>6385.6</v>
      </c>
      <c r="E489" s="3">
        <v>26543.33</v>
      </c>
      <c r="F489" s="3">
        <v>16613.46</v>
      </c>
      <c r="G489" s="3">
        <v>1591.82</v>
      </c>
      <c r="H489" s="3">
        <v>2939.88</v>
      </c>
      <c r="I489" s="3">
        <v>8146.4</v>
      </c>
      <c r="J489" s="3">
        <v>44974.97</v>
      </c>
      <c r="K489" s="1">
        <v>26334.43</v>
      </c>
      <c r="L489" s="3">
        <v>2372.25</v>
      </c>
      <c r="M489" s="3">
        <v>12315.18</v>
      </c>
      <c r="N489" s="6">
        <f>VLOOKUP(A489,'[1]俄罗斯交易系统市值加权指数历史数据 (1)'!$A:$B,2,)</f>
        <v>1247.01</v>
      </c>
      <c r="O489" s="3">
        <v>5569.36</v>
      </c>
      <c r="P489" s="1">
        <v>567.17999999999995</v>
      </c>
      <c r="Q489" s="3">
        <v>9724.27</v>
      </c>
      <c r="R489" s="1">
        <v>947.83</v>
      </c>
      <c r="S489" s="3">
        <v>9506</v>
      </c>
      <c r="T489" s="3">
        <v>7428.19</v>
      </c>
      <c r="U489" s="3">
        <v>3500.41</v>
      </c>
      <c r="V489" s="6">
        <f>VLOOKUP(A489,[2]韩国KOSPI指数历史数据!$A:$B,2,)</f>
        <v>2179.31</v>
      </c>
      <c r="W489" s="6">
        <f>VLOOKUP(A489,[3]日经225指数历史数据!$A:$B,2,)</f>
        <v>22258.73</v>
      </c>
      <c r="X489" s="3">
        <v>1614.67</v>
      </c>
      <c r="Y489" s="6">
        <f>VLOOKUP(A489,[4]上证指数历史数据!$A:$B,2,)</f>
        <v>3086.4</v>
      </c>
      <c r="Z489" s="6">
        <f>VLOOKUP(A489,[5]深证成份指数历史数据!$A:$B,2,)</f>
        <v>9780.82</v>
      </c>
      <c r="AA489" s="6">
        <f>VLOOKUP(A489,[6]台湾加权指数历史数据!$A:$B,2,)</f>
        <v>10952.47</v>
      </c>
      <c r="AB489" s="3">
        <v>29605.01</v>
      </c>
      <c r="AC489" s="3">
        <v>3356.95</v>
      </c>
      <c r="AD489">
        <v>11754.65</v>
      </c>
      <c r="AE489" s="5">
        <f>VLOOKUP(A489,[7]越南VN30指数历史数据!$A:$B,2,)</f>
        <v>890.55</v>
      </c>
      <c r="AF489">
        <v>52572.04</v>
      </c>
      <c r="AG489" s="9">
        <v>18429.45</v>
      </c>
      <c r="AH489">
        <v>11138.51</v>
      </c>
      <c r="AI489">
        <v>1332.75</v>
      </c>
      <c r="AJ489">
        <v>2033.89</v>
      </c>
    </row>
    <row r="490" spans="1:36" x14ac:dyDescent="0.3">
      <c r="A490" s="2">
        <v>43583</v>
      </c>
      <c r="B490" s="3">
        <v>32412.27</v>
      </c>
      <c r="C490" s="4">
        <v>96008</v>
      </c>
      <c r="D490" s="3">
        <v>6335.8</v>
      </c>
      <c r="E490" s="3">
        <v>26504.95</v>
      </c>
      <c r="F490" s="3">
        <v>16494.43</v>
      </c>
      <c r="G490" s="3">
        <v>1614.02</v>
      </c>
      <c r="H490" s="3">
        <v>2945.64</v>
      </c>
      <c r="I490" s="3">
        <v>8164</v>
      </c>
      <c r="J490" s="3">
        <v>44277.24</v>
      </c>
      <c r="K490" s="1">
        <v>26097.01</v>
      </c>
      <c r="L490" s="3">
        <v>2319.08</v>
      </c>
      <c r="M490" s="3">
        <v>12412.75</v>
      </c>
      <c r="N490" s="6">
        <f>VLOOKUP(A490,'[1]俄罗斯交易系统市值加权指数历史数据 (1)'!$A:$B,2,)</f>
        <v>1248.3900000000001</v>
      </c>
      <c r="O490" s="3">
        <v>5548.84</v>
      </c>
      <c r="P490" s="1">
        <v>568.72</v>
      </c>
      <c r="Q490" s="3">
        <v>9741.99</v>
      </c>
      <c r="R490" s="1">
        <v>939.46</v>
      </c>
      <c r="S490" s="3">
        <v>9409.6</v>
      </c>
      <c r="T490" s="3">
        <v>7380.64</v>
      </c>
      <c r="U490" s="3">
        <v>3502.48</v>
      </c>
      <c r="V490" s="6">
        <f>VLOOKUP(A490,[2]韩国KOSPI指数历史数据!$A:$B,2,)</f>
        <v>2196.3200000000002</v>
      </c>
      <c r="W490" s="6" t="e">
        <f>VLOOKUP(A490,[3]日经225指数历史数据!$A:$B,2,)</f>
        <v>#N/A</v>
      </c>
      <c r="X490" s="3">
        <v>1588.41</v>
      </c>
      <c r="Y490" s="6">
        <f>VLOOKUP(A490,[4]上证指数历史数据!$A:$B,2,)</f>
        <v>3078.34</v>
      </c>
      <c r="Z490" s="6">
        <f>VLOOKUP(A490,[5]深证成份指数历史数据!$A:$B,2,)</f>
        <v>9674.5300000000007</v>
      </c>
      <c r="AA490" s="6">
        <f>VLOOKUP(A490,[6]台湾加权指数历史数据!$A:$B,2,)</f>
        <v>11096.3</v>
      </c>
      <c r="AB490" s="3">
        <v>30081.55</v>
      </c>
      <c r="AC490" s="3">
        <v>3392.29</v>
      </c>
      <c r="AD490">
        <v>11712.25</v>
      </c>
      <c r="AE490" s="5">
        <f>VLOOKUP(A490,[7]越南VN30指数历史数据!$A:$B,2,)</f>
        <v>895.42</v>
      </c>
      <c r="AF490">
        <v>53028.35</v>
      </c>
      <c r="AG490" s="9">
        <v>18513.21</v>
      </c>
      <c r="AH490">
        <v>11161.26</v>
      </c>
      <c r="AI490">
        <v>1313.28</v>
      </c>
      <c r="AJ490">
        <v>1945.35</v>
      </c>
    </row>
    <row r="491" spans="1:36" x14ac:dyDescent="0.3">
      <c r="A491" s="2">
        <v>43590</v>
      </c>
      <c r="B491" s="3">
        <v>33393.81</v>
      </c>
      <c r="C491" s="4">
        <v>94258</v>
      </c>
      <c r="D491" s="3">
        <v>6310.9</v>
      </c>
      <c r="E491" s="3">
        <v>25942.37</v>
      </c>
      <c r="F491" s="3">
        <v>16297.55</v>
      </c>
      <c r="G491" s="3">
        <v>1572.99</v>
      </c>
      <c r="H491" s="3">
        <v>2881.4</v>
      </c>
      <c r="I491" s="3">
        <v>7916.94</v>
      </c>
      <c r="J491" s="3">
        <v>43382.35</v>
      </c>
      <c r="K491" s="1">
        <v>25742.93</v>
      </c>
      <c r="L491" s="3">
        <v>2191.91</v>
      </c>
      <c r="M491" s="3">
        <v>12059.83</v>
      </c>
      <c r="N491" s="6">
        <f>VLOOKUP(A491,'[1]俄罗斯交易系统市值加权指数历史数据 (1)'!$A:$B,2,)</f>
        <v>1213.79</v>
      </c>
      <c r="O491" s="3">
        <v>5327.44</v>
      </c>
      <c r="P491" s="1">
        <v>550.87</v>
      </c>
      <c r="Q491" s="3">
        <v>9472.83</v>
      </c>
      <c r="R491" s="1">
        <v>885.33</v>
      </c>
      <c r="S491" s="3">
        <v>9117.5</v>
      </c>
      <c r="T491" s="3">
        <v>7203.29</v>
      </c>
      <c r="U491" s="3">
        <v>3361.05</v>
      </c>
      <c r="V491" s="6">
        <f>VLOOKUP(A491,[2]韩国KOSPI指数历史数据!$A:$B,2,)</f>
        <v>2108.04</v>
      </c>
      <c r="W491" s="6">
        <f>VLOOKUP(A491,[3]日经225指数历史数据!$A:$B,2,)</f>
        <v>21344.92</v>
      </c>
      <c r="X491" s="3">
        <v>1584.95</v>
      </c>
      <c r="Y491" s="6">
        <f>VLOOKUP(A491,[4]上证指数历史数据!$A:$B,2,)</f>
        <v>2939.21</v>
      </c>
      <c r="Z491" s="6">
        <f>VLOOKUP(A491,[5]深证成份指数历史数据!$A:$B,2,)</f>
        <v>9235.39</v>
      </c>
      <c r="AA491" s="6">
        <f>VLOOKUP(A491,[6]台湾加权指数历史数据!$A:$B,2,)</f>
        <v>10712.99</v>
      </c>
      <c r="AB491" s="3">
        <v>28550.240000000002</v>
      </c>
      <c r="AC491" s="3">
        <v>3273.5</v>
      </c>
      <c r="AD491">
        <v>11278.9</v>
      </c>
      <c r="AE491" s="5">
        <f>VLOOKUP(A491,[7]越南VN30指数历史数据!$A:$B,2,)</f>
        <v>876.45</v>
      </c>
      <c r="AF491">
        <v>50533.59</v>
      </c>
      <c r="AG491" s="9">
        <v>17336.45</v>
      </c>
      <c r="AH491">
        <v>11237.5</v>
      </c>
      <c r="AI491">
        <v>1294.53</v>
      </c>
      <c r="AJ491">
        <v>1919.48</v>
      </c>
    </row>
    <row r="492" spans="1:36" x14ac:dyDescent="0.3">
      <c r="A492" s="2">
        <v>43597</v>
      </c>
      <c r="B492" s="3">
        <v>33315.699999999997</v>
      </c>
      <c r="C492" s="4">
        <v>89993</v>
      </c>
      <c r="D492" s="3">
        <v>6365.3</v>
      </c>
      <c r="E492" s="3">
        <v>25764</v>
      </c>
      <c r="F492" s="3">
        <v>16401.75</v>
      </c>
      <c r="G492" s="3">
        <v>1535.76</v>
      </c>
      <c r="H492" s="3">
        <v>2859.53</v>
      </c>
      <c r="I492" s="3">
        <v>7816.29</v>
      </c>
      <c r="J492" s="3">
        <v>43445.62</v>
      </c>
      <c r="K492" s="1">
        <v>25186.32</v>
      </c>
      <c r="L492" s="3">
        <v>2184.35</v>
      </c>
      <c r="M492" s="3">
        <v>12238.94</v>
      </c>
      <c r="N492" s="6">
        <f>VLOOKUP(A492,'[1]俄罗斯交易系统市值加权指数历史数据 (1)'!$A:$B,2,)</f>
        <v>1254.68</v>
      </c>
      <c r="O492" s="3">
        <v>5438.23</v>
      </c>
      <c r="P492" s="1">
        <v>557.91</v>
      </c>
      <c r="Q492" s="3">
        <v>9659.08</v>
      </c>
      <c r="R492" s="1">
        <v>867.96</v>
      </c>
      <c r="S492" s="3">
        <v>9280.1</v>
      </c>
      <c r="T492" s="3">
        <v>7348.62</v>
      </c>
      <c r="U492" s="3">
        <v>3425.64</v>
      </c>
      <c r="V492" s="6">
        <f>VLOOKUP(A492,[2]韩国KOSPI指数历史数据!$A:$B,2,)</f>
        <v>2055.8000000000002</v>
      </c>
      <c r="W492" s="6">
        <f>VLOOKUP(A492,[3]日经225指数历史数据!$A:$B,2,)</f>
        <v>21250.09</v>
      </c>
      <c r="X492" s="3">
        <v>1569.59</v>
      </c>
      <c r="Y492" s="6">
        <f>VLOOKUP(A492,[4]上证指数历史数据!$A:$B,2,)</f>
        <v>2882.3</v>
      </c>
      <c r="Z492" s="6">
        <f>VLOOKUP(A492,[5]深证成份指数历史数据!$A:$B,2,)</f>
        <v>9000.19</v>
      </c>
      <c r="AA492" s="6">
        <f>VLOOKUP(A492,[6]台湾加权指数历史数据!$A:$B,2,)</f>
        <v>10384.11</v>
      </c>
      <c r="AB492" s="3">
        <v>27946.46</v>
      </c>
      <c r="AC492" s="3">
        <v>3205.46</v>
      </c>
      <c r="AD492">
        <v>11407.15</v>
      </c>
      <c r="AE492" s="5">
        <f>VLOOKUP(A492,[7]越南VN30指数历史数据!$A:$B,2,)</f>
        <v>890.53</v>
      </c>
      <c r="AF492">
        <v>50081.18</v>
      </c>
      <c r="AG492" s="9">
        <v>16910.54</v>
      </c>
      <c r="AH492">
        <v>11351.52</v>
      </c>
      <c r="AI492">
        <v>1255.43</v>
      </c>
      <c r="AJ492">
        <v>1868.66</v>
      </c>
    </row>
    <row r="493" spans="1:36" x14ac:dyDescent="0.3">
      <c r="A493" s="2">
        <v>43604</v>
      </c>
      <c r="B493" s="3">
        <v>35084.92</v>
      </c>
      <c r="C493" s="4">
        <v>93628</v>
      </c>
      <c r="D493" s="3">
        <v>6456</v>
      </c>
      <c r="E493" s="3">
        <v>25585.69</v>
      </c>
      <c r="F493" s="3">
        <v>16230.04</v>
      </c>
      <c r="G493" s="3">
        <v>1514.11</v>
      </c>
      <c r="H493" s="3">
        <v>2826.06</v>
      </c>
      <c r="I493" s="3">
        <v>7637.01</v>
      </c>
      <c r="J493" s="3">
        <v>42617.599999999999</v>
      </c>
      <c r="K493" s="1">
        <v>24952.52</v>
      </c>
      <c r="L493" s="3">
        <v>2188.1999999999998</v>
      </c>
      <c r="M493" s="3">
        <v>12011.04</v>
      </c>
      <c r="N493" s="6">
        <f>VLOOKUP(A493,'[1]俄罗斯交易系统市值加权指数历史数据 (1)'!$A:$B,2,)</f>
        <v>1279.1099999999999</v>
      </c>
      <c r="O493" s="3">
        <v>5316.51</v>
      </c>
      <c r="P493" s="1">
        <v>547.21</v>
      </c>
      <c r="Q493" s="3">
        <v>9666.89</v>
      </c>
      <c r="R493" s="1">
        <v>860.72</v>
      </c>
      <c r="S493" s="3">
        <v>9174.6</v>
      </c>
      <c r="T493" s="3">
        <v>7277.73</v>
      </c>
      <c r="U493" s="3">
        <v>3350.7</v>
      </c>
      <c r="V493" s="6">
        <f>VLOOKUP(A493,[2]韩国KOSPI指数历史数据!$A:$B,2,)</f>
        <v>2045.31</v>
      </c>
      <c r="W493" s="6">
        <f>VLOOKUP(A493,[3]日经225指数历史数据!$A:$B,2,)</f>
        <v>21117.22</v>
      </c>
      <c r="X493" s="3">
        <v>1563.97</v>
      </c>
      <c r="Y493" s="6">
        <f>VLOOKUP(A493,[4]上证指数历史数据!$A:$B,2,)</f>
        <v>2852.99</v>
      </c>
      <c r="Z493" s="6">
        <f>VLOOKUP(A493,[5]深证成份指数历史数据!$A:$B,2,)</f>
        <v>8776.77</v>
      </c>
      <c r="AA493" s="6">
        <f>VLOOKUP(A493,[6]台湾加权指数历史数据!$A:$B,2,)</f>
        <v>10328.280000000001</v>
      </c>
      <c r="AB493" s="3">
        <v>27353.93</v>
      </c>
      <c r="AC493" s="3">
        <v>3169.89</v>
      </c>
      <c r="AD493">
        <v>11844.1</v>
      </c>
      <c r="AE493" s="5">
        <f>VLOOKUP(A493,[7]越南VN30指数历史数据!$A:$B,2,)</f>
        <v>884.48</v>
      </c>
      <c r="AF493">
        <v>48427.67</v>
      </c>
      <c r="AG493" s="9">
        <v>17170.88</v>
      </c>
      <c r="AH493">
        <v>11087.32</v>
      </c>
      <c r="AI493">
        <v>1265.6099999999999</v>
      </c>
      <c r="AJ493">
        <v>1892.55</v>
      </c>
    </row>
    <row r="494" spans="1:36" x14ac:dyDescent="0.3">
      <c r="A494" s="2">
        <v>43611</v>
      </c>
      <c r="B494" s="3">
        <v>33949.53</v>
      </c>
      <c r="C494" s="4">
        <v>97030</v>
      </c>
      <c r="D494" s="3">
        <v>6396.9</v>
      </c>
      <c r="E494" s="3">
        <v>24815.040000000001</v>
      </c>
      <c r="F494" s="3">
        <v>16037.49</v>
      </c>
      <c r="G494" s="3">
        <v>1465.49</v>
      </c>
      <c r="H494" s="3">
        <v>2752.06</v>
      </c>
      <c r="I494" s="3">
        <v>7453.15</v>
      </c>
      <c r="J494" s="3">
        <v>42749.16</v>
      </c>
      <c r="K494" s="1">
        <v>25352.28</v>
      </c>
      <c r="L494" s="3">
        <v>2239.31</v>
      </c>
      <c r="M494" s="3">
        <v>11726.84</v>
      </c>
      <c r="N494" s="6">
        <f>VLOOKUP(A494,'[1]俄罗斯交易系统市值加权指数历史数据 (1)'!$A:$B,2,)</f>
        <v>1287.0899999999999</v>
      </c>
      <c r="O494" s="3">
        <v>5207.63</v>
      </c>
      <c r="P494" s="1">
        <v>540.49</v>
      </c>
      <c r="Q494" s="3">
        <v>9523.98</v>
      </c>
      <c r="R494" s="1">
        <v>905.9</v>
      </c>
      <c r="S494" s="3">
        <v>9004.2000000000007</v>
      </c>
      <c r="T494" s="3">
        <v>7161.71</v>
      </c>
      <c r="U494" s="3">
        <v>3280.43</v>
      </c>
      <c r="V494" s="6">
        <f>VLOOKUP(A494,[2]韩国KOSPI指数历史数据!$A:$B,2,)</f>
        <v>2041.74</v>
      </c>
      <c r="W494" s="6">
        <f>VLOOKUP(A494,[3]日经225指数历史数据!$A:$B,2,)</f>
        <v>20601.189999999999</v>
      </c>
      <c r="X494" s="3">
        <v>1544.44</v>
      </c>
      <c r="Y494" s="6">
        <f>VLOOKUP(A494,[4]上证指数历史数据!$A:$B,2,)</f>
        <v>2898.7</v>
      </c>
      <c r="Z494" s="6">
        <f>VLOOKUP(A494,[5]深证成份指数历史数据!$A:$B,2,)</f>
        <v>8922.69</v>
      </c>
      <c r="AA494" s="6">
        <f>VLOOKUP(A494,[6]台湾加权指数历史数据!$A:$B,2,)</f>
        <v>10498.49</v>
      </c>
      <c r="AB494" s="3">
        <v>26901.09</v>
      </c>
      <c r="AC494" s="3">
        <v>3117.76</v>
      </c>
      <c r="AD494">
        <v>11922.8</v>
      </c>
      <c r="AE494" s="5">
        <f>VLOOKUP(A494,[7]越南VN30指数历史数据!$A:$B,2,)</f>
        <v>876.29</v>
      </c>
      <c r="AF494">
        <v>49587.47</v>
      </c>
      <c r="AG494" s="9">
        <v>17002.91</v>
      </c>
      <c r="AH494">
        <v>10999.88</v>
      </c>
      <c r="AI494">
        <v>1286.68</v>
      </c>
      <c r="AJ494">
        <v>1889.46</v>
      </c>
    </row>
    <row r="495" spans="1:36" x14ac:dyDescent="0.3">
      <c r="A495" s="2">
        <v>43618</v>
      </c>
      <c r="B495" s="3">
        <v>35662.870000000003</v>
      </c>
      <c r="C495" s="4">
        <v>97821</v>
      </c>
      <c r="D495" s="3">
        <v>6443.9</v>
      </c>
      <c r="E495" s="3">
        <v>25983.94</v>
      </c>
      <c r="F495" s="3">
        <v>16230.96</v>
      </c>
      <c r="G495" s="3">
        <v>1514.39</v>
      </c>
      <c r="H495" s="3">
        <v>2873.34</v>
      </c>
      <c r="I495" s="3">
        <v>7742.1</v>
      </c>
      <c r="J495" s="3">
        <v>43291.33</v>
      </c>
      <c r="K495" s="1">
        <v>25241.14</v>
      </c>
      <c r="L495" s="3">
        <v>2280.6</v>
      </c>
      <c r="M495" s="3">
        <v>12045.38</v>
      </c>
      <c r="N495" s="6">
        <f>VLOOKUP(A495,'[1]俄罗斯交易系统市值加权指数历史数据 (1)'!$A:$B,2,)</f>
        <v>1325.95</v>
      </c>
      <c r="O495" s="3">
        <v>5364.05</v>
      </c>
      <c r="P495" s="1">
        <v>550.24</v>
      </c>
      <c r="Q495" s="3">
        <v>9749.1299999999992</v>
      </c>
      <c r="R495" s="1">
        <v>938.09</v>
      </c>
      <c r="S495" s="3">
        <v>9236.1</v>
      </c>
      <c r="T495" s="3">
        <v>7331.94</v>
      </c>
      <c r="U495" s="3">
        <v>3378.38</v>
      </c>
      <c r="V495" s="6">
        <f>VLOOKUP(A495,[2]韩国KOSPI指数历史数据!$A:$B,2,)</f>
        <v>2072.33</v>
      </c>
      <c r="W495" s="6">
        <f>VLOOKUP(A495,[3]日经225指数历史数据!$A:$B,2,)</f>
        <v>20884.71</v>
      </c>
      <c r="X495" s="3">
        <v>1541.28</v>
      </c>
      <c r="Y495" s="6">
        <f>VLOOKUP(A495,[4]上证指数历史数据!$A:$B,2,)</f>
        <v>2827.8</v>
      </c>
      <c r="Z495" s="6">
        <f>VLOOKUP(A495,[5]深证成份指数历史数据!$A:$B,2,)</f>
        <v>8584.94</v>
      </c>
      <c r="AA495" s="6">
        <f>VLOOKUP(A495,[6]台湾加权指数历史数据!$A:$B,2,)</f>
        <v>10409.200000000001</v>
      </c>
      <c r="AB495" s="3">
        <v>26965.279999999999</v>
      </c>
      <c r="AC495" s="3">
        <v>3166.29</v>
      </c>
      <c r="AD495">
        <v>11870.65</v>
      </c>
      <c r="AE495" s="5">
        <f>VLOOKUP(A495,[7]越南VN30指数历史数据!$A:$B,2,)</f>
        <v>869.56</v>
      </c>
      <c r="AF495">
        <v>51976.89</v>
      </c>
      <c r="AG495" s="9">
        <v>17017.78</v>
      </c>
      <c r="AH495">
        <v>11034.35</v>
      </c>
      <c r="AI495">
        <v>1257.5999999999999</v>
      </c>
      <c r="AJ495">
        <v>1905.85</v>
      </c>
    </row>
    <row r="496" spans="1:36" x14ac:dyDescent="0.3">
      <c r="A496" s="2">
        <v>43625</v>
      </c>
      <c r="B496" s="3">
        <v>40487.61</v>
      </c>
      <c r="C496" s="4">
        <v>98040</v>
      </c>
      <c r="D496" s="3">
        <v>6554</v>
      </c>
      <c r="E496" s="3">
        <v>26089.61</v>
      </c>
      <c r="F496" s="3">
        <v>16301.91</v>
      </c>
      <c r="G496" s="3">
        <v>1522.5</v>
      </c>
      <c r="H496" s="3">
        <v>2886.98</v>
      </c>
      <c r="I496" s="3">
        <v>7796.66</v>
      </c>
      <c r="J496" s="3">
        <v>43130.65</v>
      </c>
      <c r="K496" s="1">
        <v>25706.91</v>
      </c>
      <c r="L496" s="3">
        <v>2286.46</v>
      </c>
      <c r="M496" s="3">
        <v>12096.4</v>
      </c>
      <c r="N496" s="6">
        <f>VLOOKUP(A496,'[1]俄罗斯交易系统市值加权指数历史数据 (1)'!$A:$B,2,)</f>
        <v>1341.05</v>
      </c>
      <c r="O496" s="3">
        <v>5367.62</v>
      </c>
      <c r="P496" s="1">
        <v>553.24</v>
      </c>
      <c r="Q496" s="3">
        <v>9847.61</v>
      </c>
      <c r="R496" s="1">
        <v>907.87</v>
      </c>
      <c r="S496" s="3">
        <v>9194.2000000000007</v>
      </c>
      <c r="T496" s="3">
        <v>7345.78</v>
      </c>
      <c r="U496" s="3">
        <v>3379.19</v>
      </c>
      <c r="V496" s="6">
        <f>VLOOKUP(A496,[2]韩国KOSPI指数历史数据!$A:$B,2,)</f>
        <v>2095.41</v>
      </c>
      <c r="W496" s="6">
        <f>VLOOKUP(A496,[3]日经225指数历史数据!$A:$B,2,)</f>
        <v>21116.89</v>
      </c>
      <c r="X496" s="3">
        <v>1557.95</v>
      </c>
      <c r="Y496" s="6">
        <f>VLOOKUP(A496,[4]上证指数历史数据!$A:$B,2,)</f>
        <v>2881.97</v>
      </c>
      <c r="Z496" s="6">
        <f>VLOOKUP(A496,[5]深证成份指数历史数据!$A:$B,2,)</f>
        <v>8810.1299999999992</v>
      </c>
      <c r="AA496" s="6">
        <f>VLOOKUP(A496,[6]台湾加权指数历史数据!$A:$B,2,)</f>
        <v>10524.67</v>
      </c>
      <c r="AB496" s="3">
        <v>27118.35</v>
      </c>
      <c r="AC496" s="3">
        <v>3222.63</v>
      </c>
      <c r="AD496">
        <v>11823.3</v>
      </c>
      <c r="AE496" s="5">
        <f>VLOOKUP(A496,[7]越南VN30指数历史数据!$A:$B,2,)</f>
        <v>861.65</v>
      </c>
      <c r="AF496">
        <v>52166.68</v>
      </c>
      <c r="AG496" s="9">
        <v>17493.62</v>
      </c>
      <c r="AH496">
        <v>11072.74</v>
      </c>
      <c r="AI496">
        <v>1242.32</v>
      </c>
      <c r="AJ496">
        <v>1916.56</v>
      </c>
    </row>
    <row r="497" spans="1:36" x14ac:dyDescent="0.3">
      <c r="A497" s="2">
        <v>43632</v>
      </c>
      <c r="B497" s="3">
        <v>40294.82</v>
      </c>
      <c r="C497" s="4">
        <v>102013</v>
      </c>
      <c r="D497" s="3">
        <v>6650.8</v>
      </c>
      <c r="E497" s="3">
        <v>26719.13</v>
      </c>
      <c r="F497" s="3">
        <v>16525.43</v>
      </c>
      <c r="G497" s="3">
        <v>1549.63</v>
      </c>
      <c r="H497" s="3">
        <v>2950.46</v>
      </c>
      <c r="I497" s="3">
        <v>8031.71</v>
      </c>
      <c r="J497" s="3">
        <v>43526.73</v>
      </c>
      <c r="K497" s="1">
        <v>25714</v>
      </c>
      <c r="L497" s="3">
        <v>2308.3200000000002</v>
      </c>
      <c r="M497" s="3">
        <v>12339.92</v>
      </c>
      <c r="N497" s="6">
        <f>VLOOKUP(A497,'[1]俄罗斯交易系统市值加权指数历史数据 (1)'!$A:$B,2,)</f>
        <v>1375.02</v>
      </c>
      <c r="O497" s="3">
        <v>5528.33</v>
      </c>
      <c r="P497" s="1">
        <v>562.39</v>
      </c>
      <c r="Q497" s="3">
        <v>9922.83</v>
      </c>
      <c r="R497" s="1">
        <v>940.22</v>
      </c>
      <c r="S497" s="3">
        <v>9227.2000000000007</v>
      </c>
      <c r="T497" s="3">
        <v>7407.5</v>
      </c>
      <c r="U497" s="3">
        <v>3466.92</v>
      </c>
      <c r="V497" s="6">
        <f>VLOOKUP(A497,[2]韩国KOSPI指数历史数据!$A:$B,2,)</f>
        <v>2125.62</v>
      </c>
      <c r="W497" s="6">
        <f>VLOOKUP(A497,[3]日经225指数历史数据!$A:$B,2,)</f>
        <v>21258.639999999999</v>
      </c>
      <c r="X497" s="3">
        <v>1576.19</v>
      </c>
      <c r="Y497" s="6">
        <f>VLOOKUP(A497,[4]上证指数历史数据!$A:$B,2,)</f>
        <v>3001.98</v>
      </c>
      <c r="Z497" s="6">
        <f>VLOOKUP(A497,[5]深证成份指数历史数据!$A:$B,2,)</f>
        <v>9214.27</v>
      </c>
      <c r="AA497" s="6">
        <f>VLOOKUP(A497,[6]台湾加权指数历史数据!$A:$B,2,)</f>
        <v>10803.77</v>
      </c>
      <c r="AB497" s="3">
        <v>28473.71</v>
      </c>
      <c r="AC497" s="3">
        <v>3321.4</v>
      </c>
      <c r="AD497">
        <v>11724.1</v>
      </c>
      <c r="AE497" s="5">
        <f>VLOOKUP(A497,[7]越南VN30指数历史数据!$A:$B,2,)</f>
        <v>866.53</v>
      </c>
      <c r="AF497">
        <v>52902.879999999997</v>
      </c>
      <c r="AG497" s="9">
        <v>17233.099999999999</v>
      </c>
      <c r="AH497">
        <v>11437.84</v>
      </c>
      <c r="AI497">
        <v>1245.28</v>
      </c>
      <c r="AJ497">
        <v>1909.07</v>
      </c>
    </row>
    <row r="498" spans="1:36" x14ac:dyDescent="0.3">
      <c r="A498" s="2">
        <v>43639</v>
      </c>
      <c r="B498" s="3">
        <v>41796.36</v>
      </c>
      <c r="C498" s="4">
        <v>100967</v>
      </c>
      <c r="D498" s="3">
        <v>6618.8</v>
      </c>
      <c r="E498" s="3">
        <v>26599.96</v>
      </c>
      <c r="F498" s="3">
        <v>16382.2</v>
      </c>
      <c r="G498" s="3">
        <v>1566.57</v>
      </c>
      <c r="H498" s="3">
        <v>2941.76</v>
      </c>
      <c r="I498" s="3">
        <v>8006.24</v>
      </c>
      <c r="J498" s="3">
        <v>43161.17</v>
      </c>
      <c r="K498" s="1">
        <v>25782.14</v>
      </c>
      <c r="L498" s="3">
        <v>2327.67</v>
      </c>
      <c r="M498" s="3">
        <v>12398.8</v>
      </c>
      <c r="N498" s="6">
        <f>VLOOKUP(A498,'[1]俄罗斯交易系统市值加权指数历史数据 (1)'!$A:$B,2,)</f>
        <v>1380.52</v>
      </c>
      <c r="O498" s="3">
        <v>5538.97</v>
      </c>
      <c r="P498" s="1">
        <v>561.76</v>
      </c>
      <c r="Q498" s="3">
        <v>9898.24</v>
      </c>
      <c r="R498" s="1">
        <v>964.85</v>
      </c>
      <c r="S498" s="3">
        <v>9198.7999999999993</v>
      </c>
      <c r="T498" s="3">
        <v>7425.63</v>
      </c>
      <c r="U498" s="3">
        <v>3473.69</v>
      </c>
      <c r="V498" s="6">
        <f>VLOOKUP(A498,[2]韩国KOSPI指数历史数据!$A:$B,2,)</f>
        <v>2130.62</v>
      </c>
      <c r="W498" s="6">
        <f>VLOOKUP(A498,[3]日经225指数历史数据!$A:$B,2,)</f>
        <v>21275.919999999998</v>
      </c>
      <c r="X498" s="3">
        <v>1579.05</v>
      </c>
      <c r="Y498" s="6">
        <f>VLOOKUP(A498,[4]上证指数历史数据!$A:$B,2,)</f>
        <v>2978.88</v>
      </c>
      <c r="Z498" s="6">
        <f>VLOOKUP(A498,[5]深证成份指数历史数据!$A:$B,2,)</f>
        <v>9178.31</v>
      </c>
      <c r="AA498" s="6">
        <f>VLOOKUP(A498,[6]台湾加权指数历史数据!$A:$B,2,)</f>
        <v>10730.83</v>
      </c>
      <c r="AB498" s="3">
        <v>28542.62</v>
      </c>
      <c r="AC498" s="3">
        <v>3321.61</v>
      </c>
      <c r="AD498">
        <v>11788.85</v>
      </c>
      <c r="AE498" s="5">
        <f>VLOOKUP(A498,[7]越南VN30指数历史数据!$A:$B,2,)</f>
        <v>864.24</v>
      </c>
      <c r="AF498">
        <v>52198.94</v>
      </c>
      <c r="AG498" s="9">
        <v>17376.64</v>
      </c>
      <c r="AH498">
        <v>11287.04</v>
      </c>
      <c r="AI498">
        <v>1255.68</v>
      </c>
      <c r="AJ498">
        <v>1892.27</v>
      </c>
    </row>
    <row r="499" spans="1:36" x14ac:dyDescent="0.3">
      <c r="A499" s="2">
        <v>43646</v>
      </c>
      <c r="B499" s="3">
        <v>41755.69</v>
      </c>
      <c r="C499" s="4">
        <v>104089</v>
      </c>
      <c r="D499" s="3">
        <v>6751.3</v>
      </c>
      <c r="E499" s="3">
        <v>26922.12</v>
      </c>
      <c r="F499" s="3">
        <v>16541.990000000002</v>
      </c>
      <c r="G499" s="3">
        <v>1575.62</v>
      </c>
      <c r="H499" s="3">
        <v>2990.41</v>
      </c>
      <c r="I499" s="3">
        <v>8161.79</v>
      </c>
      <c r="J499" s="3">
        <v>43405.32</v>
      </c>
      <c r="K499" s="1">
        <v>25779.58</v>
      </c>
      <c r="L499" s="3">
        <v>2342.0100000000002</v>
      </c>
      <c r="M499" s="3">
        <v>12568.53</v>
      </c>
      <c r="N499" s="6">
        <f>VLOOKUP(A499,'[1]俄罗斯交易系统市值加权指数历史数据 (1)'!$A:$B,2,)</f>
        <v>1398.75</v>
      </c>
      <c r="O499" s="3">
        <v>5593.72</v>
      </c>
      <c r="P499" s="1">
        <v>570.46</v>
      </c>
      <c r="Q499" s="3">
        <v>9980.2199999999993</v>
      </c>
      <c r="R499" s="1">
        <v>996.35</v>
      </c>
      <c r="S499" s="3">
        <v>9335</v>
      </c>
      <c r="T499" s="3">
        <v>7553.14</v>
      </c>
      <c r="U499" s="3">
        <v>3527.98</v>
      </c>
      <c r="V499" s="6">
        <f>VLOOKUP(A499,[2]韩国KOSPI指数历史数据!$A:$B,2,)</f>
        <v>2110.59</v>
      </c>
      <c r="W499" s="6">
        <f>VLOOKUP(A499,[3]日经225指数历史数据!$A:$B,2,)</f>
        <v>21746.38</v>
      </c>
      <c r="X499" s="3">
        <v>1606.35</v>
      </c>
      <c r="Y499" s="6">
        <f>VLOOKUP(A499,[4]上证指数历史数据!$A:$B,2,)</f>
        <v>3011.06</v>
      </c>
      <c r="Z499" s="6">
        <f>VLOOKUP(A499,[5]深证成份指数历史数据!$A:$B,2,)</f>
        <v>9443.2099999999991</v>
      </c>
      <c r="AA499" s="6">
        <f>VLOOKUP(A499,[6]台湾加权指数历史数据!$A:$B,2,)</f>
        <v>10785.73</v>
      </c>
      <c r="AB499" s="3">
        <v>28774.83</v>
      </c>
      <c r="AC499" s="3">
        <v>3366.81</v>
      </c>
      <c r="AD499">
        <v>11811.15</v>
      </c>
      <c r="AE499" s="5">
        <f>VLOOKUP(A499,[7]越南VN30指数历史数据!$A:$B,2,)</f>
        <v>880.23</v>
      </c>
      <c r="AF499">
        <v>51539.3</v>
      </c>
      <c r="AG499" s="9">
        <v>17250.080000000002</v>
      </c>
      <c r="AH499">
        <v>11241</v>
      </c>
      <c r="AI499">
        <v>1213.9000000000001</v>
      </c>
      <c r="AJ499">
        <v>1889.43</v>
      </c>
    </row>
    <row r="500" spans="1:36" x14ac:dyDescent="0.3">
      <c r="A500" s="2">
        <v>43653</v>
      </c>
      <c r="B500" s="3">
        <v>42753.1</v>
      </c>
      <c r="C500" s="4">
        <v>103906</v>
      </c>
      <c r="D500" s="3">
        <v>6696.5</v>
      </c>
      <c r="E500" s="3">
        <v>27332.03</v>
      </c>
      <c r="F500" s="3">
        <v>16488.12</v>
      </c>
      <c r="G500" s="3">
        <v>1570</v>
      </c>
      <c r="H500" s="3">
        <v>3013.77</v>
      </c>
      <c r="I500" s="3">
        <v>8244.14</v>
      </c>
      <c r="J500" s="3">
        <v>42647.31</v>
      </c>
      <c r="K500" s="1">
        <v>25732.13</v>
      </c>
      <c r="L500" s="3">
        <v>2315.36</v>
      </c>
      <c r="M500" s="3">
        <v>12323.32</v>
      </c>
      <c r="N500" s="6">
        <f>VLOOKUP(A500,'[1]俄罗斯交易系统市值加权指数历史数据 (1)'!$A:$B,2,)</f>
        <v>1387.87</v>
      </c>
      <c r="O500" s="3">
        <v>5572.86</v>
      </c>
      <c r="P500" s="1">
        <v>567.41</v>
      </c>
      <c r="Q500" s="3">
        <v>9762.98</v>
      </c>
      <c r="R500" s="1">
        <v>970.98</v>
      </c>
      <c r="S500" s="3">
        <v>9293.2000000000007</v>
      </c>
      <c r="T500" s="3">
        <v>7505.97</v>
      </c>
      <c r="U500" s="3">
        <v>3497.63</v>
      </c>
      <c r="V500" s="6">
        <f>VLOOKUP(A500,[2]韩国KOSPI指数历史数据!$A:$B,2,)</f>
        <v>2086.66</v>
      </c>
      <c r="W500" s="6">
        <f>VLOOKUP(A500,[3]日经225指数历史数据!$A:$B,2,)</f>
        <v>21685.9</v>
      </c>
      <c r="X500" s="3">
        <v>1597.67</v>
      </c>
      <c r="Y500" s="6">
        <f>VLOOKUP(A500,[4]上证指数历史数据!$A:$B,2,)</f>
        <v>2930.55</v>
      </c>
      <c r="Z500" s="6">
        <f>VLOOKUP(A500,[5]深证成份指数历史数据!$A:$B,2,)</f>
        <v>9213.3799999999992</v>
      </c>
      <c r="AA500" s="6">
        <f>VLOOKUP(A500,[6]台湾加权指数历史数据!$A:$B,2,)</f>
        <v>10824.35</v>
      </c>
      <c r="AB500" s="3">
        <v>28471.62</v>
      </c>
      <c r="AC500" s="3">
        <v>3357.34</v>
      </c>
      <c r="AD500">
        <v>11552.5</v>
      </c>
      <c r="AE500" s="5">
        <f>VLOOKUP(A500,[7]越南VN30指数历史数据!$A:$B,2,)</f>
        <v>874.99</v>
      </c>
      <c r="AF500">
        <v>51189.53</v>
      </c>
      <c r="AG500" s="9">
        <v>16969.32</v>
      </c>
      <c r="AH500">
        <v>11311.02</v>
      </c>
      <c r="AI500">
        <v>1188.26</v>
      </c>
      <c r="AJ500">
        <v>1909.78</v>
      </c>
    </row>
    <row r="501" spans="1:36" x14ac:dyDescent="0.3">
      <c r="A501" s="2">
        <v>43660</v>
      </c>
      <c r="B501" s="3">
        <v>40161.599999999999</v>
      </c>
      <c r="C501" s="4">
        <v>103452</v>
      </c>
      <c r="D501" s="3">
        <v>6700.3</v>
      </c>
      <c r="E501" s="3">
        <v>27154.2</v>
      </c>
      <c r="F501" s="3">
        <v>16485.939999999999</v>
      </c>
      <c r="G501" s="3">
        <v>1547.9</v>
      </c>
      <c r="H501" s="3">
        <v>2976.61</v>
      </c>
      <c r="I501" s="3">
        <v>8146.49</v>
      </c>
      <c r="J501" s="3">
        <v>41606.54</v>
      </c>
      <c r="K501" s="1">
        <v>25669.67</v>
      </c>
      <c r="L501" s="3">
        <v>2344.0300000000002</v>
      </c>
      <c r="M501" s="3">
        <v>12260.07</v>
      </c>
      <c r="N501" s="6">
        <f>VLOOKUP(A501,'[1]俄罗斯交易系统市值加权指数历史数据 (1)'!$A:$B,2,)</f>
        <v>1350.69</v>
      </c>
      <c r="O501" s="3">
        <v>5552.34</v>
      </c>
      <c r="P501" s="1">
        <v>571.84</v>
      </c>
      <c r="Q501" s="3">
        <v>9937.0300000000007</v>
      </c>
      <c r="R501" s="3">
        <v>1018.49</v>
      </c>
      <c r="S501" s="3">
        <v>9170.5</v>
      </c>
      <c r="T501" s="3">
        <v>7508.7</v>
      </c>
      <c r="U501" s="3">
        <v>3480.18</v>
      </c>
      <c r="V501" s="6">
        <f>VLOOKUP(A501,[2]韩国KOSPI指数历史数据!$A:$B,2,)</f>
        <v>2094.36</v>
      </c>
      <c r="W501" s="6">
        <f>VLOOKUP(A501,[3]日经225指数历史数据!$A:$B,2,)</f>
        <v>21466.99</v>
      </c>
      <c r="X501" s="3">
        <v>1564.3</v>
      </c>
      <c r="Y501" s="6">
        <f>VLOOKUP(A501,[4]上证指数历史数据!$A:$B,2,)</f>
        <v>2924.2</v>
      </c>
      <c r="Z501" s="6">
        <f>VLOOKUP(A501,[5]深证成份指数历史数据!$A:$B,2,)</f>
        <v>9228.5499999999993</v>
      </c>
      <c r="AA501" s="6">
        <f>VLOOKUP(A501,[6]台湾加权指数历史数据!$A:$B,2,)</f>
        <v>10873.19</v>
      </c>
      <c r="AB501" s="3">
        <v>28765.4</v>
      </c>
      <c r="AC501" s="3">
        <v>3377.96</v>
      </c>
      <c r="AD501">
        <v>11419.25</v>
      </c>
      <c r="AE501" s="5">
        <f>VLOOKUP(A501,[7]越南VN30指数历史数据!$A:$B,2,)</f>
        <v>880.79</v>
      </c>
      <c r="AF501">
        <v>52107.18</v>
      </c>
      <c r="AG501" s="9">
        <v>16795.330000000002</v>
      </c>
      <c r="AH501">
        <v>11482.12</v>
      </c>
      <c r="AI501">
        <v>1155.48</v>
      </c>
      <c r="AJ501">
        <v>1924.15</v>
      </c>
    </row>
    <row r="502" spans="1:36" x14ac:dyDescent="0.3">
      <c r="A502" s="2">
        <v>43667</v>
      </c>
      <c r="B502" s="3">
        <v>41983.74</v>
      </c>
      <c r="C502" s="4">
        <v>102819</v>
      </c>
      <c r="D502" s="3">
        <v>6793.4</v>
      </c>
      <c r="E502" s="3">
        <v>27192.45</v>
      </c>
      <c r="F502" s="3">
        <v>16531.04</v>
      </c>
      <c r="G502" s="3">
        <v>1578.97</v>
      </c>
      <c r="H502" s="3">
        <v>3025.86</v>
      </c>
      <c r="I502" s="3">
        <v>8330.2099999999991</v>
      </c>
      <c r="J502" s="3">
        <v>40673.78</v>
      </c>
      <c r="K502" s="1">
        <v>25292.82</v>
      </c>
      <c r="L502" s="3">
        <v>2305.79</v>
      </c>
      <c r="M502" s="3">
        <v>12419.9</v>
      </c>
      <c r="N502" s="6">
        <f>VLOOKUP(A502,'[1]俄罗斯交易系统市值加权指数历史数据 (1)'!$A:$B,2,)</f>
        <v>1348.3</v>
      </c>
      <c r="O502" s="3">
        <v>5610.05</v>
      </c>
      <c r="P502" s="1">
        <v>580.08000000000004</v>
      </c>
      <c r="Q502" s="3">
        <v>9968.08</v>
      </c>
      <c r="R502" s="3">
        <v>1028.3699999999999</v>
      </c>
      <c r="S502" s="3">
        <v>9225.5</v>
      </c>
      <c r="T502" s="3">
        <v>7549.06</v>
      </c>
      <c r="U502" s="3">
        <v>3524.47</v>
      </c>
      <c r="V502" s="6">
        <f>VLOOKUP(A502,[2]韩国KOSPI指数历史数据!$A:$B,2,)</f>
        <v>2066.2600000000002</v>
      </c>
      <c r="W502" s="6">
        <f>VLOOKUP(A502,[3]日经225指数历史数据!$A:$B,2,)</f>
        <v>21658.15</v>
      </c>
      <c r="X502" s="3">
        <v>1609.52</v>
      </c>
      <c r="Y502" s="6">
        <f>VLOOKUP(A502,[4]上证指数历史数据!$A:$B,2,)</f>
        <v>2944.54</v>
      </c>
      <c r="Z502" s="6">
        <f>VLOOKUP(A502,[5]深证成份指数历史数据!$A:$B,2,)</f>
        <v>9349</v>
      </c>
      <c r="AA502" s="6">
        <f>VLOOKUP(A502,[6]台湾加权指数历史数据!$A:$B,2,)</f>
        <v>10891.98</v>
      </c>
      <c r="AB502" s="3">
        <v>28397.74</v>
      </c>
      <c r="AC502" s="3">
        <v>3363.76</v>
      </c>
      <c r="AD502">
        <v>11284.3</v>
      </c>
      <c r="AE502" s="5">
        <f>VLOOKUP(A502,[7]越南VN30指数历史数据!$A:$B,2,)</f>
        <v>887.84</v>
      </c>
      <c r="AF502">
        <v>51522.69</v>
      </c>
      <c r="AG502" s="9">
        <v>16545.73</v>
      </c>
      <c r="AH502">
        <v>11563.98</v>
      </c>
      <c r="AI502">
        <v>1158.47</v>
      </c>
      <c r="AJ502">
        <v>1944.9</v>
      </c>
    </row>
    <row r="503" spans="1:36" x14ac:dyDescent="0.3">
      <c r="A503" s="2">
        <v>43674</v>
      </c>
      <c r="B503" s="3">
        <v>41359.15</v>
      </c>
      <c r="C503" s="4">
        <v>102674</v>
      </c>
      <c r="D503" s="3">
        <v>6768.6</v>
      </c>
      <c r="E503" s="3">
        <v>26485.01</v>
      </c>
      <c r="F503" s="3">
        <v>16271.66</v>
      </c>
      <c r="G503" s="3">
        <v>1533.66</v>
      </c>
      <c r="H503" s="3">
        <v>2932.05</v>
      </c>
      <c r="I503" s="3">
        <v>8004.07</v>
      </c>
      <c r="J503" s="3">
        <v>39977.519999999997</v>
      </c>
      <c r="K503" s="1">
        <v>24855.01</v>
      </c>
      <c r="L503" s="3">
        <v>2216.5100000000002</v>
      </c>
      <c r="M503" s="3">
        <v>11872.44</v>
      </c>
      <c r="N503" s="6">
        <f>VLOOKUP(A503,'[1]俄罗斯交易系统市值加权指数历史数据 (1)'!$A:$B,2,)</f>
        <v>1293.19</v>
      </c>
      <c r="O503" s="3">
        <v>5359</v>
      </c>
      <c r="P503" s="1">
        <v>554.32000000000005</v>
      </c>
      <c r="Q503" s="3">
        <v>9803.69</v>
      </c>
      <c r="R503" s="1">
        <v>996.79</v>
      </c>
      <c r="S503" s="3">
        <v>8897.6</v>
      </c>
      <c r="T503" s="3">
        <v>7407.06</v>
      </c>
      <c r="U503" s="3">
        <v>3376.12</v>
      </c>
      <c r="V503" s="6">
        <f>VLOOKUP(A503,[2]韩国KOSPI指数历史数据!$A:$B,2,)</f>
        <v>1998.13</v>
      </c>
      <c r="W503" s="6">
        <f>VLOOKUP(A503,[3]日经225指数历史数据!$A:$B,2,)</f>
        <v>21087.16</v>
      </c>
      <c r="X503" s="3">
        <v>1631.09</v>
      </c>
      <c r="Y503" s="6">
        <f>VLOOKUP(A503,[4]上证指数历史数据!$A:$B,2,)</f>
        <v>2867.84</v>
      </c>
      <c r="Z503" s="6">
        <f>VLOOKUP(A503,[5]深证成份指数历史数据!$A:$B,2,)</f>
        <v>9136.4599999999991</v>
      </c>
      <c r="AA503" s="6">
        <f>VLOOKUP(A503,[6]台湾加权指数历史数据!$A:$B,2,)</f>
        <v>10549.04</v>
      </c>
      <c r="AB503" s="3">
        <v>26918.58</v>
      </c>
      <c r="AC503" s="3">
        <v>3261.11</v>
      </c>
      <c r="AD503">
        <v>10997.35</v>
      </c>
      <c r="AE503" s="5">
        <f>VLOOKUP(A503,[7]越南VN30指数历史数据!$A:$B,2,)</f>
        <v>885.29</v>
      </c>
      <c r="AF503">
        <v>50332.33</v>
      </c>
      <c r="AG503" s="9">
        <v>16475.45</v>
      </c>
      <c r="AH503">
        <v>11611.55</v>
      </c>
      <c r="AI503">
        <v>1133.3399999999999</v>
      </c>
      <c r="AJ503">
        <v>1923.37</v>
      </c>
    </row>
    <row r="504" spans="1:36" x14ac:dyDescent="0.3">
      <c r="A504" s="2">
        <v>43681</v>
      </c>
      <c r="B504" s="3">
        <v>44355.09</v>
      </c>
      <c r="C504" s="4">
        <v>103996</v>
      </c>
      <c r="D504" s="3">
        <v>6584.4</v>
      </c>
      <c r="E504" s="3">
        <v>26287.439999999999</v>
      </c>
      <c r="F504" s="3">
        <v>16341.34</v>
      </c>
      <c r="G504" s="3">
        <v>1513.04</v>
      </c>
      <c r="H504" s="3">
        <v>2918.65</v>
      </c>
      <c r="I504" s="3">
        <v>7959.14</v>
      </c>
      <c r="J504" s="3">
        <v>40421.279999999999</v>
      </c>
      <c r="K504" s="1">
        <v>24902.87</v>
      </c>
      <c r="L504" s="3">
        <v>2127.61</v>
      </c>
      <c r="M504" s="3">
        <v>11693.8</v>
      </c>
      <c r="N504" s="6">
        <f>VLOOKUP(A504,'[1]俄罗斯交易系统市值加权指数历史数据 (1)'!$A:$B,2,)</f>
        <v>1289.47</v>
      </c>
      <c r="O504" s="3">
        <v>5327.92</v>
      </c>
      <c r="P504" s="1">
        <v>542.22</v>
      </c>
      <c r="Q504" s="3">
        <v>9749.92</v>
      </c>
      <c r="R504" s="1">
        <v>994.05</v>
      </c>
      <c r="S504" s="3">
        <v>8757.7999999999993</v>
      </c>
      <c r="T504" s="3">
        <v>7253.85</v>
      </c>
      <c r="U504" s="3">
        <v>3333.74</v>
      </c>
      <c r="V504" s="6">
        <f>VLOOKUP(A504,[2]韩国KOSPI指数历史数据!$A:$B,2,)</f>
        <v>1937.75</v>
      </c>
      <c r="W504" s="6">
        <f>VLOOKUP(A504,[3]日经225指数历史数据!$A:$B,2,)</f>
        <v>20684.82</v>
      </c>
      <c r="X504" s="3">
        <v>1614.53</v>
      </c>
      <c r="Y504" s="6">
        <f>VLOOKUP(A504,[4]上证指数历史数据!$A:$B,2,)</f>
        <v>2774.75</v>
      </c>
      <c r="Z504" s="6">
        <f>VLOOKUP(A504,[5]深证成份指数历史数据!$A:$B,2,)</f>
        <v>8795.18</v>
      </c>
      <c r="AA504" s="6">
        <f>VLOOKUP(A504,[6]台湾加权指数历史数据!$A:$B,2,)</f>
        <v>10494.49</v>
      </c>
      <c r="AB504" s="3">
        <v>25939.3</v>
      </c>
      <c r="AC504" s="3">
        <v>3168.94</v>
      </c>
      <c r="AD504">
        <v>11109.65</v>
      </c>
      <c r="AE504" s="5">
        <f>VLOOKUP(A504,[7]越南VN30指数历史数据!$A:$B,2,)</f>
        <v>878.62</v>
      </c>
      <c r="AF504">
        <v>49619.58</v>
      </c>
      <c r="AG504" s="9">
        <v>17409.41</v>
      </c>
      <c r="AH504">
        <v>11565.2</v>
      </c>
      <c r="AI504">
        <v>1099.52</v>
      </c>
      <c r="AJ504">
        <v>1975.94</v>
      </c>
    </row>
    <row r="505" spans="1:36" x14ac:dyDescent="0.3">
      <c r="A505" s="2">
        <v>43688</v>
      </c>
      <c r="B505" s="3">
        <v>30406.65</v>
      </c>
      <c r="C505" s="4">
        <v>99806</v>
      </c>
      <c r="D505" s="3">
        <v>6405.5</v>
      </c>
      <c r="E505" s="3">
        <v>25886.01</v>
      </c>
      <c r="F505" s="3">
        <v>16149.79</v>
      </c>
      <c r="G505" s="3">
        <v>1493.64</v>
      </c>
      <c r="H505" s="3">
        <v>2888.68</v>
      </c>
      <c r="I505" s="3">
        <v>7895.99</v>
      </c>
      <c r="J505" s="3">
        <v>39339.550000000003</v>
      </c>
      <c r="K505" s="1">
        <v>24385.55</v>
      </c>
      <c r="L505" s="3">
        <v>2064.12</v>
      </c>
      <c r="M505" s="3">
        <v>11562.74</v>
      </c>
      <c r="N505" s="6">
        <f>VLOOKUP(A505,'[1]俄罗斯交易系统市值加权指数历史数据 (1)'!$A:$B,2,)</f>
        <v>1239.81</v>
      </c>
      <c r="O505" s="3">
        <v>5300.79</v>
      </c>
      <c r="P505" s="1">
        <v>541.94000000000005</v>
      </c>
      <c r="Q505" s="3">
        <v>9728.39</v>
      </c>
      <c r="R505" s="1">
        <v>957.34</v>
      </c>
      <c r="S505" s="3">
        <v>8670.4</v>
      </c>
      <c r="T505" s="3">
        <v>7117.15</v>
      </c>
      <c r="U505" s="3">
        <v>3329.08</v>
      </c>
      <c r="V505" s="6">
        <f>VLOOKUP(A505,[2]韩国KOSPI指数历史数据!$A:$B,2,)</f>
        <v>1927.17</v>
      </c>
      <c r="W505" s="6">
        <f>VLOOKUP(A505,[3]日经225指数历史数据!$A:$B,2,)</f>
        <v>20418.810000000001</v>
      </c>
      <c r="X505" s="3">
        <v>1553.21</v>
      </c>
      <c r="Y505" s="6">
        <f>VLOOKUP(A505,[4]上证指数历史数据!$A:$B,2,)</f>
        <v>2823.82</v>
      </c>
      <c r="Z505" s="6">
        <f>VLOOKUP(A505,[5]深证成份指数历史数据!$A:$B,2,)</f>
        <v>9060.92</v>
      </c>
      <c r="AA505" s="6">
        <f>VLOOKUP(A505,[6]台湾加权指数历史数据!$A:$B,2,)</f>
        <v>10420.89</v>
      </c>
      <c r="AB505" s="3">
        <v>25734.22</v>
      </c>
      <c r="AC505" s="3">
        <v>3115.03</v>
      </c>
      <c r="AD505">
        <v>11047.8</v>
      </c>
      <c r="AE505" s="5">
        <f>VLOOKUP(A505,[7]越南VN30指数历史数据!$A:$B,2,)</f>
        <v>892.44</v>
      </c>
      <c r="AF505">
        <v>48158.38</v>
      </c>
      <c r="AG505" s="9">
        <v>17556.61</v>
      </c>
      <c r="AH505">
        <v>11618.02</v>
      </c>
      <c r="AI505">
        <v>1060.3800000000001</v>
      </c>
      <c r="AJ505">
        <v>1943.43</v>
      </c>
    </row>
    <row r="506" spans="1:36" x14ac:dyDescent="0.3">
      <c r="A506" s="2">
        <v>43695</v>
      </c>
      <c r="B506" s="3">
        <v>26585.97</v>
      </c>
      <c r="C506" s="4">
        <v>97667</v>
      </c>
      <c r="D506" s="3">
        <v>6523.1</v>
      </c>
      <c r="E506" s="3">
        <v>25628.9</v>
      </c>
      <c r="F506" s="3">
        <v>16037.58</v>
      </c>
      <c r="G506" s="3">
        <v>1459.49</v>
      </c>
      <c r="H506" s="3">
        <v>2847.11</v>
      </c>
      <c r="I506" s="3">
        <v>7751.77</v>
      </c>
      <c r="J506" s="3">
        <v>39862.07</v>
      </c>
      <c r="K506" s="1">
        <v>23637.94</v>
      </c>
      <c r="L506" s="3">
        <v>2103.6799999999998</v>
      </c>
      <c r="M506" s="3">
        <v>11611.51</v>
      </c>
      <c r="N506" s="6">
        <f>VLOOKUP(A506,'[1]俄罗斯交易系统市值加权指数历史数据 (1)'!$A:$B,2,)</f>
        <v>1268.45</v>
      </c>
      <c r="O506" s="3">
        <v>5326.87</v>
      </c>
      <c r="P506" s="1">
        <v>542.09</v>
      </c>
      <c r="Q506" s="3">
        <v>9744.98</v>
      </c>
      <c r="R506" s="1">
        <v>971.49</v>
      </c>
      <c r="S506" s="3">
        <v>8649.5</v>
      </c>
      <c r="T506" s="3">
        <v>7094.98</v>
      </c>
      <c r="U506" s="3">
        <v>3334.25</v>
      </c>
      <c r="V506" s="6">
        <f>VLOOKUP(A506,[2]韩国KOSPI指数历史数据!$A:$B,2,)</f>
        <v>1948.3</v>
      </c>
      <c r="W506" s="6">
        <f>VLOOKUP(A506,[3]日经225指数历史数据!$A:$B,2,)</f>
        <v>20710.91</v>
      </c>
      <c r="X506" s="3">
        <v>1595.05</v>
      </c>
      <c r="Y506" s="6">
        <f>VLOOKUP(A506,[4]上证指数历史数据!$A:$B,2,)</f>
        <v>2897.43</v>
      </c>
      <c r="Z506" s="6">
        <f>VLOOKUP(A506,[5]深证成份指数历史数据!$A:$B,2,)</f>
        <v>9362.5499999999993</v>
      </c>
      <c r="AA506" s="6">
        <f>VLOOKUP(A506,[6]台湾加权指数历史数据!$A:$B,2,)</f>
        <v>10538.11</v>
      </c>
      <c r="AB506" s="3">
        <v>26179.33</v>
      </c>
      <c r="AC506" s="3">
        <v>3110.35</v>
      </c>
      <c r="AD506">
        <v>10829.35</v>
      </c>
      <c r="AE506" s="5">
        <f>VLOOKUP(A506,[7]越南VN30指数历史数据!$A:$B,2,)</f>
        <v>900.53</v>
      </c>
      <c r="AF506">
        <v>48247.95</v>
      </c>
      <c r="AG506" s="9">
        <v>17636.22</v>
      </c>
      <c r="AH506">
        <v>11610.09</v>
      </c>
      <c r="AI506">
        <v>1112.6500000000001</v>
      </c>
      <c r="AJ506">
        <v>1938.94</v>
      </c>
    </row>
    <row r="507" spans="1:36" x14ac:dyDescent="0.3">
      <c r="A507" s="2">
        <v>43702</v>
      </c>
      <c r="B507" s="3">
        <v>24608.560000000001</v>
      </c>
      <c r="C507" s="4">
        <v>101135</v>
      </c>
      <c r="D507" s="3">
        <v>6604.2</v>
      </c>
      <c r="E507" s="3">
        <v>26403.279999999999</v>
      </c>
      <c r="F507" s="3">
        <v>16442.07</v>
      </c>
      <c r="G507" s="3">
        <v>1494.84</v>
      </c>
      <c r="H507" s="3">
        <v>2926.46</v>
      </c>
      <c r="I507" s="3">
        <v>7962.88</v>
      </c>
      <c r="J507" s="3">
        <v>42622.5</v>
      </c>
      <c r="K507" s="1">
        <v>24278.74</v>
      </c>
      <c r="L507" s="3">
        <v>2135.25</v>
      </c>
      <c r="M507" s="3">
        <v>11939.28</v>
      </c>
      <c r="N507" s="6">
        <f>VLOOKUP(A507,'[1]俄罗斯交易系统市值加权指数历史数据 (1)'!$A:$B,2,)</f>
        <v>1293.32</v>
      </c>
      <c r="O507" s="3">
        <v>5480.48</v>
      </c>
      <c r="P507" s="1">
        <v>558.35</v>
      </c>
      <c r="Q507" s="3">
        <v>9895.65</v>
      </c>
      <c r="R507" s="1">
        <v>967.18</v>
      </c>
      <c r="S507" s="3">
        <v>8812.9</v>
      </c>
      <c r="T507" s="3">
        <v>7207.18</v>
      </c>
      <c r="U507" s="3">
        <v>3426.76</v>
      </c>
      <c r="V507" s="6">
        <f>VLOOKUP(A507,[2]韩国KOSPI指数历史数据!$A:$B,2,)</f>
        <v>1967.79</v>
      </c>
      <c r="W507" s="6">
        <f>VLOOKUP(A507,[3]日经225指数历史数据!$A:$B,2,)</f>
        <v>20704.37</v>
      </c>
      <c r="X507" s="3">
        <v>1561.98</v>
      </c>
      <c r="Y507" s="6">
        <f>VLOOKUP(A507,[4]上证指数历史数据!$A:$B,2,)</f>
        <v>2886.24</v>
      </c>
      <c r="Z507" s="6">
        <f>VLOOKUP(A507,[5]深证成份指数历史数据!$A:$B,2,)</f>
        <v>9365.68</v>
      </c>
      <c r="AA507" s="6">
        <f>VLOOKUP(A507,[6]台湾加权指数历史数据!$A:$B,2,)</f>
        <v>10618.05</v>
      </c>
      <c r="AB507" s="3">
        <v>25724.73</v>
      </c>
      <c r="AC507" s="3">
        <v>3106.52</v>
      </c>
      <c r="AD507">
        <v>11023.25</v>
      </c>
      <c r="AE507" s="5">
        <f>VLOOKUP(A507,[7]越南VN30指数历史数据!$A:$B,2,)</f>
        <v>892.51</v>
      </c>
      <c r="AF507">
        <v>49320.23</v>
      </c>
      <c r="AG507" s="9">
        <v>18063.669999999998</v>
      </c>
      <c r="AH507">
        <v>11710.94</v>
      </c>
      <c r="AI507">
        <v>1087.68</v>
      </c>
      <c r="AJ507">
        <v>1946.22</v>
      </c>
    </row>
    <row r="508" spans="1:36" x14ac:dyDescent="0.3">
      <c r="A508" s="2">
        <v>43709</v>
      </c>
      <c r="B508" s="3">
        <v>27659.66</v>
      </c>
      <c r="C508" s="4">
        <v>102935</v>
      </c>
      <c r="D508" s="3">
        <v>6647.3</v>
      </c>
      <c r="E508" s="3">
        <v>26797.46</v>
      </c>
      <c r="F508" s="3">
        <v>16535.330000000002</v>
      </c>
      <c r="G508" s="3">
        <v>1505.17</v>
      </c>
      <c r="H508" s="3">
        <v>2978.71</v>
      </c>
      <c r="I508" s="3">
        <v>8103.07</v>
      </c>
      <c r="J508" s="3">
        <v>42707.66</v>
      </c>
      <c r="K508" s="1">
        <v>24345.13</v>
      </c>
      <c r="L508" s="3">
        <v>2122.6</v>
      </c>
      <c r="M508" s="3">
        <v>12191.73</v>
      </c>
      <c r="N508" s="6">
        <f>VLOOKUP(A508,'[1]俄罗斯交易系统市值加权指数历史数据 (1)'!$A:$B,2,)</f>
        <v>1340.52</v>
      </c>
      <c r="O508" s="3">
        <v>5603.99</v>
      </c>
      <c r="P508" s="1">
        <v>569.84</v>
      </c>
      <c r="Q508" s="3">
        <v>10073.82</v>
      </c>
      <c r="R508" s="1">
        <v>989.87</v>
      </c>
      <c r="S508" s="3">
        <v>8990.1</v>
      </c>
      <c r="T508" s="3">
        <v>7282.34</v>
      </c>
      <c r="U508" s="3">
        <v>3495.19</v>
      </c>
      <c r="V508" s="6">
        <f>VLOOKUP(A508,[2]韩国KOSPI指数历史数据!$A:$B,2,)</f>
        <v>2009.13</v>
      </c>
      <c r="W508" s="6">
        <f>VLOOKUP(A508,[3]日经225指数历史数据!$A:$B,2,)</f>
        <v>21199.57</v>
      </c>
      <c r="X508" s="3">
        <v>1562.28</v>
      </c>
      <c r="Y508" s="6">
        <f>VLOOKUP(A508,[4]上证指数历史数据!$A:$B,2,)</f>
        <v>2999.6</v>
      </c>
      <c r="Z508" s="6">
        <f>VLOOKUP(A508,[5]深证成份指数历史数据!$A:$B,2,)</f>
        <v>9823.42</v>
      </c>
      <c r="AA508" s="6">
        <f>VLOOKUP(A508,[6]台湾加权指数历史数据!$A:$B,2,)</f>
        <v>10780.64</v>
      </c>
      <c r="AB508" s="3">
        <v>26690.76</v>
      </c>
      <c r="AC508" s="3">
        <v>3144.48</v>
      </c>
      <c r="AD508">
        <v>10946.2</v>
      </c>
      <c r="AE508" s="5">
        <f>VLOOKUP(A508,[7]越南VN30指数历史数据!$A:$B,2,)</f>
        <v>885.95</v>
      </c>
      <c r="AF508">
        <v>49673.77</v>
      </c>
      <c r="AG508" s="9">
        <v>18127.09</v>
      </c>
      <c r="AH508">
        <v>11592.69</v>
      </c>
      <c r="AI508">
        <v>1073.0899999999999</v>
      </c>
      <c r="AJ508">
        <v>1924.56</v>
      </c>
    </row>
    <row r="509" spans="1:36" x14ac:dyDescent="0.3">
      <c r="A509" s="2">
        <v>43716</v>
      </c>
      <c r="B509" s="3">
        <v>30136.28</v>
      </c>
      <c r="C509" s="4">
        <v>103501</v>
      </c>
      <c r="D509" s="3">
        <v>6669.2</v>
      </c>
      <c r="E509" s="3">
        <v>27219.52</v>
      </c>
      <c r="F509" s="3">
        <v>16682.419999999998</v>
      </c>
      <c r="G509" s="3">
        <v>1578.14</v>
      </c>
      <c r="H509" s="3">
        <v>3007.39</v>
      </c>
      <c r="I509" s="3">
        <v>8176.71</v>
      </c>
      <c r="J509" s="3">
        <v>42841.46</v>
      </c>
      <c r="K509" s="1">
        <v>25191.15</v>
      </c>
      <c r="L509" s="3">
        <v>2200.9499999999998</v>
      </c>
      <c r="M509" s="3">
        <v>12468.53</v>
      </c>
      <c r="N509" s="6">
        <f>VLOOKUP(A509,'[1]俄罗斯交易系统市值加权指数历史数据 (1)'!$A:$B,2,)</f>
        <v>1368.93</v>
      </c>
      <c r="O509" s="3">
        <v>5655.46</v>
      </c>
      <c r="P509" s="1">
        <v>576.83000000000004</v>
      </c>
      <c r="Q509" s="3">
        <v>10047.34</v>
      </c>
      <c r="R509" s="3">
        <v>1030.72</v>
      </c>
      <c r="S509" s="3">
        <v>9137.9</v>
      </c>
      <c r="T509" s="3">
        <v>7367.46</v>
      </c>
      <c r="U509" s="3">
        <v>3550.11</v>
      </c>
      <c r="V509" s="6">
        <f>VLOOKUP(A509,[2]韩国KOSPI指数历史数据!$A:$B,2,)</f>
        <v>2049.1999999999998</v>
      </c>
      <c r="W509" s="6">
        <f>VLOOKUP(A509,[3]日经225指数历史数据!$A:$B,2,)</f>
        <v>21988.29</v>
      </c>
      <c r="X509" s="3">
        <v>1615.61</v>
      </c>
      <c r="Y509" s="6">
        <f>VLOOKUP(A509,[4]上证指数历史数据!$A:$B,2,)</f>
        <v>3031.24</v>
      </c>
      <c r="Z509" s="6">
        <f>VLOOKUP(A509,[5]深证成份指数历史数据!$A:$B,2,)</f>
        <v>9919.7999999999993</v>
      </c>
      <c r="AA509" s="6">
        <f>VLOOKUP(A509,[6]台湾加权指数历史数据!$A:$B,2,)</f>
        <v>10827.55</v>
      </c>
      <c r="AB509" s="3">
        <v>27352.69</v>
      </c>
      <c r="AC509" s="3">
        <v>3211.49</v>
      </c>
      <c r="AD509">
        <v>11075.9</v>
      </c>
      <c r="AE509" s="5">
        <f>VLOOKUP(A509,[7]越南VN30指数历史数据!$A:$B,2,)</f>
        <v>905.05</v>
      </c>
      <c r="AF509">
        <v>51145.56</v>
      </c>
      <c r="AG509" s="9">
        <v>18355.28</v>
      </c>
      <c r="AH509">
        <v>11601.68</v>
      </c>
      <c r="AI509">
        <v>1102.33</v>
      </c>
      <c r="AJ509">
        <v>1909.36</v>
      </c>
    </row>
    <row r="510" spans="1:36" x14ac:dyDescent="0.3">
      <c r="A510" s="2">
        <v>43723</v>
      </c>
      <c r="B510" s="3">
        <v>30060.46</v>
      </c>
      <c r="C510" s="4">
        <v>104817</v>
      </c>
      <c r="D510" s="3">
        <v>6730.8</v>
      </c>
      <c r="E510" s="3">
        <v>26935.07</v>
      </c>
      <c r="F510" s="3">
        <v>16899.689999999999</v>
      </c>
      <c r="G510" s="3">
        <v>1559.76</v>
      </c>
      <c r="H510" s="3">
        <v>2992.07</v>
      </c>
      <c r="I510" s="3">
        <v>8117.67</v>
      </c>
      <c r="J510" s="3">
        <v>43559.45</v>
      </c>
      <c r="K510" s="1">
        <v>25502.12</v>
      </c>
      <c r="L510" s="3">
        <v>2171.75</v>
      </c>
      <c r="M510" s="3">
        <v>12468.01</v>
      </c>
      <c r="N510" s="6">
        <f>VLOOKUP(A510,'[1]俄罗斯交易系统市值加权指数历史数据 (1)'!$A:$B,2,)</f>
        <v>1377.38</v>
      </c>
      <c r="O510" s="3">
        <v>5690.78</v>
      </c>
      <c r="P510" s="1">
        <v>577.44000000000005</v>
      </c>
      <c r="Q510" s="3">
        <v>10056.83</v>
      </c>
      <c r="R510" s="3">
        <v>1002.37</v>
      </c>
      <c r="S510" s="3">
        <v>9179</v>
      </c>
      <c r="T510" s="3">
        <v>7344.92</v>
      </c>
      <c r="U510" s="3">
        <v>3571.39</v>
      </c>
      <c r="V510" s="6">
        <f>VLOOKUP(A510,[2]韩国KOSPI指数历史数据!$A:$B,2,)</f>
        <v>2091.52</v>
      </c>
      <c r="W510" s="6">
        <f>VLOOKUP(A510,[3]日经225指数历史数据!$A:$B,2,)</f>
        <v>22079.09</v>
      </c>
      <c r="X510" s="3">
        <v>1621.49</v>
      </c>
      <c r="Y510" s="6">
        <f>VLOOKUP(A510,[4]上证指数历史数据!$A:$B,2,)</f>
        <v>3006.45</v>
      </c>
      <c r="Z510" s="6">
        <f>VLOOKUP(A510,[5]深证成份指数历史数据!$A:$B,2,)</f>
        <v>9881.25</v>
      </c>
      <c r="AA510" s="6">
        <f>VLOOKUP(A510,[6]台湾加权指数历史数据!$A:$B,2,)</f>
        <v>10929.69</v>
      </c>
      <c r="AB510" s="3">
        <v>26435.67</v>
      </c>
      <c r="AC510" s="3">
        <v>3159.68</v>
      </c>
      <c r="AD510">
        <v>11274.2</v>
      </c>
      <c r="AE510" s="5">
        <f>VLOOKUP(A510,[7]越南VN30指数历史数据!$A:$B,2,)</f>
        <v>915.16</v>
      </c>
      <c r="AF510">
        <v>50341.64</v>
      </c>
      <c r="AG510" s="9">
        <v>17889.099999999999</v>
      </c>
      <c r="AH510">
        <v>11441.98</v>
      </c>
      <c r="AI510">
        <v>1131.21</v>
      </c>
      <c r="AJ510">
        <v>1930.47</v>
      </c>
    </row>
    <row r="511" spans="1:36" x14ac:dyDescent="0.3">
      <c r="A511" s="2">
        <v>43730</v>
      </c>
      <c r="B511" s="3">
        <v>28877.51</v>
      </c>
      <c r="C511" s="4">
        <v>105078</v>
      </c>
      <c r="D511" s="3">
        <v>6716.1</v>
      </c>
      <c r="E511" s="3">
        <v>26820.25</v>
      </c>
      <c r="F511" s="3">
        <v>16694.27</v>
      </c>
      <c r="G511" s="3">
        <v>1520.48</v>
      </c>
      <c r="H511" s="3">
        <v>2961.79</v>
      </c>
      <c r="I511" s="3">
        <v>7939.63</v>
      </c>
      <c r="J511" s="3">
        <v>42857.58</v>
      </c>
      <c r="K511" s="1">
        <v>25637.41</v>
      </c>
      <c r="L511" s="3">
        <v>2186.31</v>
      </c>
      <c r="M511" s="3">
        <v>12380.94</v>
      </c>
      <c r="N511" s="6">
        <f>VLOOKUP(A511,'[1]俄罗斯交易系统市值加权指数历史数据 (1)'!$A:$B,2,)</f>
        <v>1347.72</v>
      </c>
      <c r="O511" s="3">
        <v>5640.58</v>
      </c>
      <c r="P511" s="1">
        <v>578.30999999999995</v>
      </c>
      <c r="Q511" s="3">
        <v>10037.81</v>
      </c>
      <c r="R511" s="3">
        <v>1051.52</v>
      </c>
      <c r="S511" s="3">
        <v>9184.1</v>
      </c>
      <c r="T511" s="3">
        <v>7426.21</v>
      </c>
      <c r="U511" s="3">
        <v>3545.88</v>
      </c>
      <c r="V511" s="6">
        <f>VLOOKUP(A511,[2]韩国KOSPI指数历史数据!$A:$B,2,)</f>
        <v>2049.9299999999998</v>
      </c>
      <c r="W511" s="6">
        <f>VLOOKUP(A511,[3]日经225指数历史数据!$A:$B,2,)</f>
        <v>21878.9</v>
      </c>
      <c r="X511" s="3">
        <v>1615.48</v>
      </c>
      <c r="Y511" s="6">
        <f>VLOOKUP(A511,[4]上证指数历史数据!$A:$B,2,)</f>
        <v>2932.17</v>
      </c>
      <c r="Z511" s="6">
        <f>VLOOKUP(A511,[5]深证成份指数历史数据!$A:$B,2,)</f>
        <v>9548.9599999999991</v>
      </c>
      <c r="AA511" s="6">
        <f>VLOOKUP(A511,[6]台湾加权指数历史数据!$A:$B,2,)</f>
        <v>10829.68</v>
      </c>
      <c r="AB511" s="3">
        <v>25954.81</v>
      </c>
      <c r="AC511" s="3">
        <v>3125.63</v>
      </c>
      <c r="AD511">
        <v>11512.4</v>
      </c>
      <c r="AE511" s="5">
        <f>VLOOKUP(A511,[7]越南VN30指数历史数据!$A:$B,2,)</f>
        <v>924.83</v>
      </c>
      <c r="AF511">
        <v>49167.519999999997</v>
      </c>
      <c r="AG511" s="9">
        <v>16710.3</v>
      </c>
      <c r="AH511">
        <v>11530.23</v>
      </c>
      <c r="AI511">
        <v>1136.1199999999999</v>
      </c>
      <c r="AJ511">
        <v>1928.83</v>
      </c>
    </row>
    <row r="512" spans="1:36" x14ac:dyDescent="0.3">
      <c r="A512" s="2">
        <v>43737</v>
      </c>
      <c r="B512" s="3">
        <v>31816.5</v>
      </c>
      <c r="C512" s="4">
        <v>102551</v>
      </c>
      <c r="D512" s="3">
        <v>6517.1</v>
      </c>
      <c r="E512" s="3">
        <v>26573.72</v>
      </c>
      <c r="F512" s="3">
        <v>16449.349999999999</v>
      </c>
      <c r="G512" s="3">
        <v>1500.7</v>
      </c>
      <c r="H512" s="3">
        <v>2952.01</v>
      </c>
      <c r="I512" s="3">
        <v>7982.46</v>
      </c>
      <c r="J512" s="3">
        <v>43416.9</v>
      </c>
      <c r="K512" s="1">
        <v>25400.26</v>
      </c>
      <c r="L512" s="3">
        <v>2121.16</v>
      </c>
      <c r="M512" s="3">
        <v>12012.81</v>
      </c>
      <c r="N512" s="6">
        <f>VLOOKUP(A512,'[1]俄罗斯交易系统市值加权指数历史数据 (1)'!$A:$B,2,)</f>
        <v>1311.65</v>
      </c>
      <c r="O512" s="3">
        <v>5488.32</v>
      </c>
      <c r="P512" s="1">
        <v>564.59</v>
      </c>
      <c r="Q512" s="3">
        <v>9827.7199999999993</v>
      </c>
      <c r="R512" s="3">
        <v>1034.6400000000001</v>
      </c>
      <c r="S512" s="3">
        <v>8961.7999999999993</v>
      </c>
      <c r="T512" s="3">
        <v>7155.38</v>
      </c>
      <c r="U512" s="3">
        <v>3446.71</v>
      </c>
      <c r="V512" s="6">
        <f>VLOOKUP(A512,[2]韩国KOSPI指数历史数据!$A:$B,2,)</f>
        <v>2020.69</v>
      </c>
      <c r="W512" s="6">
        <f>VLOOKUP(A512,[3]日经225指数历史数据!$A:$B,2,)</f>
        <v>21410.2</v>
      </c>
      <c r="X512" s="3">
        <v>1589.87</v>
      </c>
      <c r="Y512" s="6">
        <f>VLOOKUP(A512,[4]上证指数历史数据!$A:$B,2,)</f>
        <v>2905.19</v>
      </c>
      <c r="Z512" s="6">
        <f>VLOOKUP(A512,[5]深证成份指数历史数据!$A:$B,2,)</f>
        <v>9446.24</v>
      </c>
      <c r="AA512" s="6">
        <f>VLOOKUP(A512,[6]台湾加权指数历史数据!$A:$B,2,)</f>
        <v>10894.48</v>
      </c>
      <c r="AB512" s="3">
        <v>25821.03</v>
      </c>
      <c r="AC512" s="3">
        <v>3078.36</v>
      </c>
      <c r="AD512">
        <v>11174.75</v>
      </c>
      <c r="AE512" s="5">
        <f>VLOOKUP(A512,[7]越南VN30指数历史数据!$A:$B,2,)</f>
        <v>915.16</v>
      </c>
      <c r="AF512">
        <v>47975.44</v>
      </c>
      <c r="AG512" s="9">
        <v>17135.96</v>
      </c>
      <c r="AH512">
        <v>11446.54</v>
      </c>
      <c r="AI512">
        <v>1104.3399999999999</v>
      </c>
      <c r="AJ512">
        <v>1923.62</v>
      </c>
    </row>
    <row r="513" spans="1:36" x14ac:dyDescent="0.3">
      <c r="A513" s="2">
        <v>43744</v>
      </c>
      <c r="B513" s="3">
        <v>31798.11</v>
      </c>
      <c r="C513" s="4">
        <v>103832</v>
      </c>
      <c r="D513" s="3">
        <v>6606.8</v>
      </c>
      <c r="E513" s="3">
        <v>26816.59</v>
      </c>
      <c r="F513" s="3">
        <v>16415.16</v>
      </c>
      <c r="G513" s="3">
        <v>1511.9</v>
      </c>
      <c r="H513" s="3">
        <v>2970.27</v>
      </c>
      <c r="I513" s="3">
        <v>8057.04</v>
      </c>
      <c r="J513" s="3">
        <v>43214.6</v>
      </c>
      <c r="K513" s="1">
        <v>25871.53</v>
      </c>
      <c r="L513" s="3">
        <v>2159.91</v>
      </c>
      <c r="M513" s="3">
        <v>12511.65</v>
      </c>
      <c r="N513" s="6">
        <f>VLOOKUP(A513,'[1]俄罗斯交易系统市值加权指数历史数据 (1)'!$A:$B,2,)</f>
        <v>1329.63</v>
      </c>
      <c r="O513" s="3">
        <v>5665.48</v>
      </c>
      <c r="P513" s="1">
        <v>577.41999999999996</v>
      </c>
      <c r="Q513" s="3">
        <v>10017.39</v>
      </c>
      <c r="R513" s="1">
        <v>990.28</v>
      </c>
      <c r="S513" s="3">
        <v>9273.7999999999993</v>
      </c>
      <c r="T513" s="3">
        <v>7247.08</v>
      </c>
      <c r="U513" s="3">
        <v>3569.92</v>
      </c>
      <c r="V513" s="6">
        <f>VLOOKUP(A513,[2]韩国KOSPI指数历史数据!$A:$B,2,)</f>
        <v>2044.61</v>
      </c>
      <c r="W513" s="6">
        <f>VLOOKUP(A513,[3]日经225指数历史数据!$A:$B,2,)</f>
        <v>21798.87</v>
      </c>
      <c r="X513" s="3">
        <v>1611.46</v>
      </c>
      <c r="Y513" s="6">
        <f>VLOOKUP(A513,[4]上证指数历史数据!$A:$B,2,)</f>
        <v>2973.66</v>
      </c>
      <c r="Z513" s="6">
        <f>VLOOKUP(A513,[5]深证成份指数历史数据!$A:$B,2,)</f>
        <v>9666.58</v>
      </c>
      <c r="AA513" s="6">
        <f>VLOOKUP(A513,[6]台湾加权指数历史数据!$A:$B,2,)</f>
        <v>10889.96</v>
      </c>
      <c r="AB513" s="3">
        <v>26308.44</v>
      </c>
      <c r="AC513" s="3">
        <v>3113.97</v>
      </c>
      <c r="AD513">
        <v>11305.05</v>
      </c>
      <c r="AE513" s="5">
        <f>VLOOKUP(A513,[7]越南VN30指数历史数据!$A:$B,2,)</f>
        <v>916.68</v>
      </c>
      <c r="AF513">
        <v>49404.06</v>
      </c>
      <c r="AG513" s="9">
        <v>17195.57</v>
      </c>
      <c r="AH513">
        <v>11362.98</v>
      </c>
      <c r="AI513">
        <v>1078</v>
      </c>
      <c r="AJ513">
        <v>1918.84</v>
      </c>
    </row>
    <row r="514" spans="1:36" x14ac:dyDescent="0.3">
      <c r="A514" s="2">
        <v>43751</v>
      </c>
      <c r="B514" s="3">
        <v>31968.47</v>
      </c>
      <c r="C514" s="4">
        <v>104729</v>
      </c>
      <c r="D514" s="3">
        <v>6649.7</v>
      </c>
      <c r="E514" s="3">
        <v>26770.2</v>
      </c>
      <c r="F514" s="3">
        <v>16377.12</v>
      </c>
      <c r="G514" s="3">
        <v>1535.48</v>
      </c>
      <c r="H514" s="3">
        <v>2986.2</v>
      </c>
      <c r="I514" s="3">
        <v>8089.54</v>
      </c>
      <c r="J514" s="3">
        <v>43178.63</v>
      </c>
      <c r="K514" s="1">
        <v>26136.79</v>
      </c>
      <c r="L514" s="3">
        <v>2164.75</v>
      </c>
      <c r="M514" s="3">
        <v>12633.6</v>
      </c>
      <c r="N514" s="6">
        <f>VLOOKUP(A514,'[1]俄罗斯交易系统市值加权指数历史数据 (1)'!$A:$B,2,)</f>
        <v>1355.27</v>
      </c>
      <c r="O514" s="3">
        <v>5636.25</v>
      </c>
      <c r="P514" s="1">
        <v>572.72</v>
      </c>
      <c r="Q514" s="3">
        <v>9965.49</v>
      </c>
      <c r="R514" s="1">
        <v>984.15</v>
      </c>
      <c r="S514" s="3">
        <v>9329.7999999999993</v>
      </c>
      <c r="T514" s="3">
        <v>7150.57</v>
      </c>
      <c r="U514" s="3">
        <v>3579.41</v>
      </c>
      <c r="V514" s="6">
        <f>VLOOKUP(A514,[2]韩国KOSPI指数历史数据!$A:$B,2,)</f>
        <v>2060.69</v>
      </c>
      <c r="W514" s="6">
        <f>VLOOKUP(A514,[3]日经225指数历史数据!$A:$B,2,)</f>
        <v>22492.68</v>
      </c>
      <c r="X514" s="3">
        <v>1648.74</v>
      </c>
      <c r="Y514" s="6">
        <f>VLOOKUP(A514,[4]上证指数历史数据!$A:$B,2,)</f>
        <v>2938.14</v>
      </c>
      <c r="Z514" s="6">
        <f>VLOOKUP(A514,[5]深证成份指数历史数据!$A:$B,2,)</f>
        <v>9533.5</v>
      </c>
      <c r="AA514" s="6">
        <f>VLOOKUP(A514,[6]台湾加权指数历史数据!$A:$B,2,)</f>
        <v>11180.22</v>
      </c>
      <c r="AB514" s="3">
        <v>26719.58</v>
      </c>
      <c r="AC514" s="3">
        <v>3114.16</v>
      </c>
      <c r="AD514">
        <v>11661.85</v>
      </c>
      <c r="AE514" s="5">
        <f>VLOOKUP(A514,[7]越南VN30指数历史数据!$A:$B,2,)</f>
        <v>919.13</v>
      </c>
      <c r="AF514">
        <v>49510.9</v>
      </c>
      <c r="AG514" s="9">
        <v>17119.330000000002</v>
      </c>
      <c r="AH514">
        <v>11507.74</v>
      </c>
      <c r="AI514">
        <v>1069.31</v>
      </c>
      <c r="AJ514">
        <v>1926.04</v>
      </c>
    </row>
    <row r="515" spans="1:36" x14ac:dyDescent="0.3">
      <c r="A515" s="2">
        <v>43758</v>
      </c>
      <c r="B515" s="3">
        <v>34522.25</v>
      </c>
      <c r="C515" s="4">
        <v>107364</v>
      </c>
      <c r="D515" s="3">
        <v>6739.2</v>
      </c>
      <c r="E515" s="3">
        <v>26958.06</v>
      </c>
      <c r="F515" s="3">
        <v>16404.490000000002</v>
      </c>
      <c r="G515" s="3">
        <v>1558.71</v>
      </c>
      <c r="H515" s="3">
        <v>3022.55</v>
      </c>
      <c r="I515" s="3">
        <v>8243.1200000000008</v>
      </c>
      <c r="J515" s="3">
        <v>43389.16</v>
      </c>
      <c r="K515" s="1">
        <v>24888.28</v>
      </c>
      <c r="L515" s="3">
        <v>2175.27</v>
      </c>
      <c r="M515" s="3">
        <v>12894.51</v>
      </c>
      <c r="N515" s="6">
        <f>VLOOKUP(A515,'[1]俄罗斯交易系统市值加权指数历史数据 (1)'!$A:$B,2,)</f>
        <v>1421.2</v>
      </c>
      <c r="O515" s="3">
        <v>5722.15</v>
      </c>
      <c r="P515" s="1">
        <v>583.80999999999995</v>
      </c>
      <c r="Q515" s="3">
        <v>10197.09</v>
      </c>
      <c r="R515" s="3">
        <v>1002.16</v>
      </c>
      <c r="S515" s="3">
        <v>9430.2000000000007</v>
      </c>
      <c r="T515" s="3">
        <v>7324.47</v>
      </c>
      <c r="U515" s="3">
        <v>3624.68</v>
      </c>
      <c r="V515" s="6">
        <f>VLOOKUP(A515,[2]韩国KOSPI指数历史数据!$A:$B,2,)</f>
        <v>2087.89</v>
      </c>
      <c r="W515" s="6">
        <f>VLOOKUP(A515,[3]日经225指数历史数据!$A:$B,2,)</f>
        <v>22799.81</v>
      </c>
      <c r="X515" s="3">
        <v>1653.18</v>
      </c>
      <c r="Y515" s="6">
        <f>VLOOKUP(A515,[4]上证指数历史数据!$A:$B,2,)</f>
        <v>2954.93</v>
      </c>
      <c r="Z515" s="6">
        <f>VLOOKUP(A515,[5]深证成份指数历史数据!$A:$B,2,)</f>
        <v>9660.44</v>
      </c>
      <c r="AA515" s="6">
        <f>VLOOKUP(A515,[6]台湾加权指数历史数据!$A:$B,2,)</f>
        <v>11296.12</v>
      </c>
      <c r="AB515" s="3">
        <v>26667.39</v>
      </c>
      <c r="AC515" s="3">
        <v>3185.53</v>
      </c>
      <c r="AD515">
        <v>11583.9</v>
      </c>
      <c r="AE515" s="5">
        <f>VLOOKUP(A515,[7]越南VN30指数历史数据!$A:$B,2,)</f>
        <v>927.05</v>
      </c>
      <c r="AF515">
        <v>48858.47</v>
      </c>
      <c r="AG515" s="9">
        <v>17089.53</v>
      </c>
      <c r="AH515">
        <v>11574.59</v>
      </c>
      <c r="AI515">
        <v>1066.52</v>
      </c>
      <c r="AJ515">
        <v>1980.62</v>
      </c>
    </row>
    <row r="516" spans="1:36" x14ac:dyDescent="0.3">
      <c r="A516" s="2">
        <v>43765</v>
      </c>
      <c r="B516" s="3">
        <v>35743.040000000001</v>
      </c>
      <c r="C516" s="4">
        <v>108196</v>
      </c>
      <c r="D516" s="3">
        <v>6669.1</v>
      </c>
      <c r="E516" s="3">
        <v>27347.360000000001</v>
      </c>
      <c r="F516" s="3">
        <v>16594.07</v>
      </c>
      <c r="G516" s="3">
        <v>1589.33</v>
      </c>
      <c r="H516" s="3">
        <v>3066.91</v>
      </c>
      <c r="I516" s="3">
        <v>8386.4</v>
      </c>
      <c r="J516" s="3">
        <v>43814.55</v>
      </c>
      <c r="K516" s="1">
        <v>23838.15</v>
      </c>
      <c r="L516" s="3">
        <v>2194.1</v>
      </c>
      <c r="M516" s="3">
        <v>12961.05</v>
      </c>
      <c r="N516" s="6">
        <f>VLOOKUP(A516,'[1]俄罗斯交易系统市值加权指数历史数据 (1)'!$A:$B,2,)</f>
        <v>1455.44</v>
      </c>
      <c r="O516" s="3">
        <v>5761.89</v>
      </c>
      <c r="P516" s="1">
        <v>580.78</v>
      </c>
      <c r="Q516" s="3">
        <v>10252.24</v>
      </c>
      <c r="R516" s="1">
        <v>984.63</v>
      </c>
      <c r="S516" s="3">
        <v>9328</v>
      </c>
      <c r="T516" s="3">
        <v>7302.42</v>
      </c>
      <c r="U516" s="3">
        <v>3623.74</v>
      </c>
      <c r="V516" s="6">
        <f>VLOOKUP(A516,[2]韩国KOSPI指数历史数据!$A:$B,2,)</f>
        <v>2100.1999999999998</v>
      </c>
      <c r="W516" s="6">
        <f>VLOOKUP(A516,[3]日经225指数历史数据!$A:$B,2,)</f>
        <v>22850.77</v>
      </c>
      <c r="X516" s="3">
        <v>1654.13</v>
      </c>
      <c r="Y516" s="6">
        <f>VLOOKUP(A516,[4]上证指数历史数据!$A:$B,2,)</f>
        <v>2958.2</v>
      </c>
      <c r="Z516" s="6">
        <f>VLOOKUP(A516,[5]深证成份指数历史数据!$A:$B,2,)</f>
        <v>9802.33</v>
      </c>
      <c r="AA516" s="6">
        <f>VLOOKUP(A516,[6]台湾加权指数历史数据!$A:$B,2,)</f>
        <v>11399.53</v>
      </c>
      <c r="AB516" s="3">
        <v>27100.76</v>
      </c>
      <c r="AC516" s="3">
        <v>3229.43</v>
      </c>
      <c r="AD516">
        <v>11890.6</v>
      </c>
      <c r="AE516" s="5">
        <f>VLOOKUP(A516,[7]越南VN30指数历史数据!$A:$B,2,)</f>
        <v>933.55</v>
      </c>
      <c r="AF516">
        <v>50428.14</v>
      </c>
      <c r="AG516" s="9">
        <v>17530.72</v>
      </c>
      <c r="AH516">
        <v>11575.56</v>
      </c>
      <c r="AI516">
        <v>1067.28</v>
      </c>
      <c r="AJ516">
        <v>2049.6799999999998</v>
      </c>
    </row>
    <row r="517" spans="1:36" x14ac:dyDescent="0.3">
      <c r="A517" s="2">
        <v>43772</v>
      </c>
      <c r="B517" s="3">
        <v>34131.050000000003</v>
      </c>
      <c r="C517" s="4">
        <v>107629</v>
      </c>
      <c r="D517" s="3">
        <v>6724.1</v>
      </c>
      <c r="E517" s="3">
        <v>27681.24</v>
      </c>
      <c r="F517" s="3">
        <v>16877.419999999998</v>
      </c>
      <c r="G517" s="3">
        <v>1598.86</v>
      </c>
      <c r="H517" s="3">
        <v>3093.08</v>
      </c>
      <c r="I517" s="3">
        <v>8475.31</v>
      </c>
      <c r="J517" s="3">
        <v>43702.23</v>
      </c>
      <c r="K517" s="1">
        <v>23470.37</v>
      </c>
      <c r="L517" s="3">
        <v>2255.46</v>
      </c>
      <c r="M517" s="3">
        <v>13228.56</v>
      </c>
      <c r="N517" s="6">
        <f>VLOOKUP(A517,'[1]俄罗斯交易系统市值加权指数历史数据 (1)'!$A:$B,2,)</f>
        <v>1468.17</v>
      </c>
      <c r="O517" s="3">
        <v>5889.7</v>
      </c>
      <c r="P517" s="1">
        <v>596.5</v>
      </c>
      <c r="Q517" s="3">
        <v>10309.23</v>
      </c>
      <c r="R517" s="3">
        <v>1031.53</v>
      </c>
      <c r="S517" s="3">
        <v>9393.7000000000007</v>
      </c>
      <c r="T517" s="3">
        <v>7359.38</v>
      </c>
      <c r="U517" s="3">
        <v>3699.65</v>
      </c>
      <c r="V517" s="6">
        <f>VLOOKUP(A517,[2]韩国KOSPI指数历史数据!$A:$B,2,)</f>
        <v>2137.23</v>
      </c>
      <c r="W517" s="6">
        <f>VLOOKUP(A517,[3]日经225指数历史数据!$A:$B,2,)</f>
        <v>23391.87</v>
      </c>
      <c r="X517" s="3">
        <v>1668.76</v>
      </c>
      <c r="Y517" s="6">
        <f>VLOOKUP(A517,[4]上证指数历史数据!$A:$B,2,)</f>
        <v>2964.18</v>
      </c>
      <c r="Z517" s="6">
        <f>VLOOKUP(A517,[5]深证成份指数历史数据!$A:$B,2,)</f>
        <v>9895.34</v>
      </c>
      <c r="AA517" s="6">
        <f>VLOOKUP(A517,[6]台湾加权指数历史数据!$A:$B,2,)</f>
        <v>11579.54</v>
      </c>
      <c r="AB517" s="3">
        <v>27651.14</v>
      </c>
      <c r="AC517" s="3">
        <v>3264.3</v>
      </c>
      <c r="AD517">
        <v>11908.15</v>
      </c>
      <c r="AE517" s="5">
        <f>VLOOKUP(A517,[7]越南VN30指数历史数据!$A:$B,2,)</f>
        <v>944.7</v>
      </c>
      <c r="AF517">
        <v>50406.94</v>
      </c>
      <c r="AG517" s="9">
        <v>17659.46</v>
      </c>
      <c r="AH517">
        <v>11578.68</v>
      </c>
      <c r="AI517">
        <v>1079.92</v>
      </c>
      <c r="AJ517">
        <v>2073.33</v>
      </c>
    </row>
    <row r="518" spans="1:36" x14ac:dyDescent="0.3">
      <c r="A518" s="2">
        <v>43779</v>
      </c>
      <c r="B518" s="3">
        <v>31851.61</v>
      </c>
      <c r="C518" s="4">
        <v>106557</v>
      </c>
      <c r="D518" s="3">
        <v>6793.7</v>
      </c>
      <c r="E518" s="3">
        <v>28004.89</v>
      </c>
      <c r="F518" s="3">
        <v>17028.47</v>
      </c>
      <c r="G518" s="3">
        <v>1596.45</v>
      </c>
      <c r="H518" s="3">
        <v>3120.46</v>
      </c>
      <c r="I518" s="3">
        <v>8540.83</v>
      </c>
      <c r="J518" s="3">
        <v>43392.36</v>
      </c>
      <c r="K518" s="1">
        <v>24218.59</v>
      </c>
      <c r="L518" s="3">
        <v>2233.87</v>
      </c>
      <c r="M518" s="3">
        <v>13241.75</v>
      </c>
      <c r="N518" s="6">
        <f>VLOOKUP(A518,'[1]俄罗斯交易系统市值加权指数历史数据 (1)'!$A:$B,2,)</f>
        <v>1449.42</v>
      </c>
      <c r="O518" s="3">
        <v>5939.27</v>
      </c>
      <c r="P518" s="1">
        <v>598.96</v>
      </c>
      <c r="Q518" s="3">
        <v>10310.120000000001</v>
      </c>
      <c r="R518" s="3">
        <v>1053.8</v>
      </c>
      <c r="S518" s="3">
        <v>9261.4</v>
      </c>
      <c r="T518" s="3">
        <v>7302.94</v>
      </c>
      <c r="U518" s="3">
        <v>3711.61</v>
      </c>
      <c r="V518" s="6">
        <f>VLOOKUP(A518,[2]韩国KOSPI指数历史数据!$A:$B,2,)</f>
        <v>2162.1799999999998</v>
      </c>
      <c r="W518" s="6">
        <f>VLOOKUP(A518,[3]日经225指数历史数据!$A:$B,2,)</f>
        <v>23303.32</v>
      </c>
      <c r="X518" s="3">
        <v>1664.07</v>
      </c>
      <c r="Y518" s="6">
        <f>VLOOKUP(A518,[4]上证指数历史数据!$A:$B,2,)</f>
        <v>2891.34</v>
      </c>
      <c r="Z518" s="6">
        <f>VLOOKUP(A518,[5]深证成份指数历史数据!$A:$B,2,)</f>
        <v>9647.99</v>
      </c>
      <c r="AA518" s="6">
        <f>VLOOKUP(A518,[6]台湾加权指数历史数据!$A:$B,2,)</f>
        <v>11525.6</v>
      </c>
      <c r="AB518" s="3">
        <v>26326.66</v>
      </c>
      <c r="AC518" s="3">
        <v>3238.86</v>
      </c>
      <c r="AD518">
        <v>11895.45</v>
      </c>
      <c r="AE518" s="5">
        <f>VLOOKUP(A518,[7]越南VN30指数历史数据!$A:$B,2,)</f>
        <v>927.36</v>
      </c>
      <c r="AF518">
        <v>49784.83</v>
      </c>
      <c r="AG518" s="9">
        <v>17389.71</v>
      </c>
      <c r="AH518">
        <v>11626.55</v>
      </c>
      <c r="AI518">
        <v>1117.23</v>
      </c>
      <c r="AJ518">
        <v>2040.71</v>
      </c>
    </row>
    <row r="519" spans="1:36" x14ac:dyDescent="0.3">
      <c r="A519" s="2">
        <v>43786</v>
      </c>
      <c r="B519" s="3">
        <v>33588.83</v>
      </c>
      <c r="C519" s="4">
        <v>108692</v>
      </c>
      <c r="D519" s="3">
        <v>6709.8</v>
      </c>
      <c r="E519" s="3">
        <v>27875.62</v>
      </c>
      <c r="F519" s="3">
        <v>16954.84</v>
      </c>
      <c r="G519" s="3">
        <v>1588.94</v>
      </c>
      <c r="H519" s="3">
        <v>3110.29</v>
      </c>
      <c r="I519" s="3">
        <v>8519.8799999999992</v>
      </c>
      <c r="J519" s="3">
        <v>43521.86</v>
      </c>
      <c r="K519" s="1">
        <v>23605.279999999999</v>
      </c>
      <c r="L519" s="3">
        <v>2188.2399999999998</v>
      </c>
      <c r="M519" s="3">
        <v>13163.88</v>
      </c>
      <c r="N519" s="6">
        <f>VLOOKUP(A519,'[1]俄罗斯交易系统市值加权指数历史数据 (1)'!$A:$B,2,)</f>
        <v>1455.42</v>
      </c>
      <c r="O519" s="3">
        <v>5893.13</v>
      </c>
      <c r="P519" s="1">
        <v>592.71</v>
      </c>
      <c r="Q519" s="3">
        <v>10369.44</v>
      </c>
      <c r="R519" s="3">
        <v>1065.8800000000001</v>
      </c>
      <c r="S519" s="3">
        <v>9254.7000000000007</v>
      </c>
      <c r="T519" s="3">
        <v>7326.81</v>
      </c>
      <c r="U519" s="3">
        <v>3687.32</v>
      </c>
      <c r="V519" s="6">
        <f>VLOOKUP(A519,[2]韩国KOSPI指数历史数据!$A:$B,2,)</f>
        <v>2101.96</v>
      </c>
      <c r="W519" s="6">
        <f>VLOOKUP(A519,[3]日经225指数历史数据!$A:$B,2,)</f>
        <v>23112.880000000001</v>
      </c>
      <c r="X519" s="3">
        <v>1658.13</v>
      </c>
      <c r="Y519" s="6">
        <f>VLOOKUP(A519,[4]上证指数历史数据!$A:$B,2,)</f>
        <v>2885.29</v>
      </c>
      <c r="Z519" s="6">
        <f>VLOOKUP(A519,[5]深证成份指数历史数据!$A:$B,2,)</f>
        <v>9626.9</v>
      </c>
      <c r="AA519" s="6">
        <f>VLOOKUP(A519,[6]台湾加权指数历史数据!$A:$B,2,)</f>
        <v>11566.8</v>
      </c>
      <c r="AB519" s="3">
        <v>26595.08</v>
      </c>
      <c r="AC519" s="3">
        <v>3225.65</v>
      </c>
      <c r="AD519">
        <v>11914.4</v>
      </c>
      <c r="AE519" s="5">
        <f>VLOOKUP(A519,[7]越南VN30指数历史数据!$A:$B,2,)</f>
        <v>892.31</v>
      </c>
      <c r="AF519">
        <v>50484.88</v>
      </c>
      <c r="AG519" s="9">
        <v>16886.990000000002</v>
      </c>
      <c r="AH519">
        <v>11809.15</v>
      </c>
      <c r="AI519">
        <v>1136.3399999999999</v>
      </c>
      <c r="AJ519">
        <v>2051.75</v>
      </c>
    </row>
    <row r="520" spans="1:36" x14ac:dyDescent="0.3">
      <c r="A520" s="2">
        <v>43793</v>
      </c>
      <c r="B520" s="3">
        <v>34500.21</v>
      </c>
      <c r="C520" s="4">
        <v>108233</v>
      </c>
      <c r="D520" s="3">
        <v>6846</v>
      </c>
      <c r="E520" s="3">
        <v>28051.41</v>
      </c>
      <c r="F520" s="3">
        <v>17040.2</v>
      </c>
      <c r="G520" s="3">
        <v>1624.5</v>
      </c>
      <c r="H520" s="3">
        <v>3140.98</v>
      </c>
      <c r="I520" s="3">
        <v>8665.4699999999993</v>
      </c>
      <c r="J520" s="3">
        <v>42820.18</v>
      </c>
      <c r="K520" s="1">
        <v>22705.71</v>
      </c>
      <c r="L520" s="3">
        <v>2158.94</v>
      </c>
      <c r="M520" s="3">
        <v>13236.38</v>
      </c>
      <c r="N520" s="6">
        <f>VLOOKUP(A520,'[1]俄罗斯交易系统市值加权指数历史数据 (1)'!$A:$B,2,)</f>
        <v>1438.45</v>
      </c>
      <c r="O520" s="3">
        <v>5905.17</v>
      </c>
      <c r="P520" s="1">
        <v>597.29</v>
      </c>
      <c r="Q520" s="3">
        <v>10493.24</v>
      </c>
      <c r="R520" s="3">
        <v>1069.04</v>
      </c>
      <c r="S520" s="3">
        <v>9352</v>
      </c>
      <c r="T520" s="3">
        <v>7346.53</v>
      </c>
      <c r="U520" s="3">
        <v>3703.58</v>
      </c>
      <c r="V520" s="6">
        <f>VLOOKUP(A520,[2]韩国KOSPI指数历史数据!$A:$B,2,)</f>
        <v>2087.96</v>
      </c>
      <c r="W520" s="6">
        <f>VLOOKUP(A520,[3]日经225指数历史数据!$A:$B,2,)</f>
        <v>23293.91</v>
      </c>
      <c r="X520" s="3">
        <v>1702.52</v>
      </c>
      <c r="Y520" s="6">
        <f>VLOOKUP(A520,[4]上证指数历史数据!$A:$B,2,)</f>
        <v>2871.98</v>
      </c>
      <c r="Z520" s="6">
        <f>VLOOKUP(A520,[5]深证成份指数历史数据!$A:$B,2,)</f>
        <v>9582.16</v>
      </c>
      <c r="AA520" s="6">
        <f>VLOOKUP(A520,[6]台湾加权指数历史数据!$A:$B,2,)</f>
        <v>11489.57</v>
      </c>
      <c r="AB520" s="3">
        <v>26346.49</v>
      </c>
      <c r="AC520" s="3">
        <v>3193.92</v>
      </c>
      <c r="AD520">
        <v>12056.05</v>
      </c>
      <c r="AE520" s="5">
        <f>VLOOKUP(A520,[7]越南VN30指数历史数据!$A:$B,2,)</f>
        <v>887.47</v>
      </c>
      <c r="AF520">
        <v>49093.16</v>
      </c>
      <c r="AG520" s="9">
        <v>16527.98</v>
      </c>
      <c r="AH520">
        <v>11822.32</v>
      </c>
      <c r="AI520">
        <v>1136.06</v>
      </c>
      <c r="AJ520">
        <v>2026.95</v>
      </c>
    </row>
    <row r="521" spans="1:36" x14ac:dyDescent="0.3">
      <c r="A521" s="2">
        <v>43800</v>
      </c>
      <c r="B521" s="3">
        <v>36561.949999999997</v>
      </c>
      <c r="C521" s="4">
        <v>111126</v>
      </c>
      <c r="D521" s="3">
        <v>6707</v>
      </c>
      <c r="E521" s="3">
        <v>28015.06</v>
      </c>
      <c r="F521" s="3">
        <v>16996.97</v>
      </c>
      <c r="G521" s="3">
        <v>1633.84</v>
      </c>
      <c r="H521" s="3">
        <v>3145.91</v>
      </c>
      <c r="I521" s="3">
        <v>8656.5300000000007</v>
      </c>
      <c r="J521" s="3">
        <v>41938.69</v>
      </c>
      <c r="K521" s="1">
        <v>23560.12</v>
      </c>
      <c r="L521" s="3">
        <v>2073.11</v>
      </c>
      <c r="M521" s="3">
        <v>13166.58</v>
      </c>
      <c r="N521" s="6">
        <f>VLOOKUP(A521,'[1]俄罗斯交易系统市值加权指数历史数据 (1)'!$A:$B,2,)</f>
        <v>1448.34</v>
      </c>
      <c r="O521" s="3">
        <v>5871.91</v>
      </c>
      <c r="P521" s="1">
        <v>602.29999999999995</v>
      </c>
      <c r="Q521" s="3">
        <v>10463.879999999999</v>
      </c>
      <c r="R521" s="3">
        <v>1088.69</v>
      </c>
      <c r="S521" s="3">
        <v>9382.7000000000007</v>
      </c>
      <c r="T521" s="3">
        <v>7239.66</v>
      </c>
      <c r="U521" s="3">
        <v>3692.34</v>
      </c>
      <c r="V521" s="6">
        <f>VLOOKUP(A521,[2]韩国KOSPI指数历史数据!$A:$B,2,)</f>
        <v>2081.85</v>
      </c>
      <c r="W521" s="6">
        <f>VLOOKUP(A521,[3]日经225指数历史数据!$A:$B,2,)</f>
        <v>23354.400000000001</v>
      </c>
      <c r="X521" s="3">
        <v>1677.68</v>
      </c>
      <c r="Y521" s="6">
        <f>VLOOKUP(A521,[4]上证指数历史数据!$A:$B,2,)</f>
        <v>2912.01</v>
      </c>
      <c r="Z521" s="6">
        <f>VLOOKUP(A521,[5]深证成份指数历史数据!$A:$B,2,)</f>
        <v>9878.6200000000008</v>
      </c>
      <c r="AA521" s="6">
        <f>VLOOKUP(A521,[6]台湾加权指数历史数据!$A:$B,2,)</f>
        <v>11609.64</v>
      </c>
      <c r="AB521" s="3">
        <v>26498.37</v>
      </c>
      <c r="AC521" s="3">
        <v>3194.71</v>
      </c>
      <c r="AD521">
        <v>11921.5</v>
      </c>
      <c r="AE521" s="5">
        <f>VLOOKUP(A521,[7]越南VN30指数历史数据!$A:$B,2,)</f>
        <v>880.43</v>
      </c>
      <c r="AF521">
        <v>49065.21</v>
      </c>
      <c r="AG521" s="9">
        <v>16172.91</v>
      </c>
      <c r="AH521">
        <v>11764.13</v>
      </c>
      <c r="AI521">
        <v>1134.6099999999999</v>
      </c>
      <c r="AJ521">
        <v>2038.52</v>
      </c>
    </row>
    <row r="522" spans="1:36" x14ac:dyDescent="0.3">
      <c r="A522" s="2">
        <v>43807</v>
      </c>
      <c r="B522" s="3">
        <v>36769.589999999997</v>
      </c>
      <c r="C522" s="4">
        <v>112565</v>
      </c>
      <c r="D522" s="3">
        <v>6739.7</v>
      </c>
      <c r="E522" s="3">
        <v>28135.38</v>
      </c>
      <c r="F522" s="3">
        <v>17003.13</v>
      </c>
      <c r="G522" s="3">
        <v>1637.98</v>
      </c>
      <c r="H522" s="3">
        <v>3168.8</v>
      </c>
      <c r="I522" s="3">
        <v>8734.8799999999992</v>
      </c>
      <c r="J522" s="3">
        <v>44254.43</v>
      </c>
      <c r="K522" s="1">
        <v>24350.41</v>
      </c>
      <c r="L522" s="3">
        <v>2106.5100000000002</v>
      </c>
      <c r="M522" s="3">
        <v>13282.72</v>
      </c>
      <c r="N522" s="6">
        <f>VLOOKUP(A522,'[1]俄罗斯交易系统市值加权指数历史数据 (1)'!$A:$B,2,)</f>
        <v>1501.42</v>
      </c>
      <c r="O522" s="3">
        <v>5919.02</v>
      </c>
      <c r="P522" s="1">
        <v>602.86</v>
      </c>
      <c r="Q522" s="3">
        <v>10429.27</v>
      </c>
      <c r="R522" s="3">
        <v>1104.77</v>
      </c>
      <c r="S522" s="3">
        <v>9563.7000000000007</v>
      </c>
      <c r="T522" s="3">
        <v>7353.44</v>
      </c>
      <c r="U522" s="3">
        <v>3731.07</v>
      </c>
      <c r="V522" s="6">
        <f>VLOOKUP(A522,[2]韩国KOSPI指数历史数据!$A:$B,2,)</f>
        <v>2170.25</v>
      </c>
      <c r="W522" s="6">
        <f>VLOOKUP(A522,[3]日经225指数历史数据!$A:$B,2,)</f>
        <v>24023.1</v>
      </c>
      <c r="X522" s="3">
        <v>1691.56</v>
      </c>
      <c r="Y522" s="6">
        <f>VLOOKUP(A522,[4]上证指数历史数据!$A:$B,2,)</f>
        <v>2967.68</v>
      </c>
      <c r="Z522" s="6">
        <f>VLOOKUP(A522,[5]深证成份指数历史数据!$A:$B,2,)</f>
        <v>10004.620000000001</v>
      </c>
      <c r="AA522" s="6">
        <f>VLOOKUP(A522,[6]台湾加权指数历史数据!$A:$B,2,)</f>
        <v>11927.73</v>
      </c>
      <c r="AB522" s="3">
        <v>27687.759999999998</v>
      </c>
      <c r="AC522" s="3">
        <v>3214.05</v>
      </c>
      <c r="AD522">
        <v>12086.7</v>
      </c>
      <c r="AE522" s="5">
        <f>VLOOKUP(A522,[7]越南VN30指数历史数据!$A:$B,2,)</f>
        <v>880.55</v>
      </c>
      <c r="AF522">
        <v>50499.02</v>
      </c>
      <c r="AG522" s="9">
        <v>15784.35</v>
      </c>
      <c r="AH522">
        <v>11973.63</v>
      </c>
      <c r="AI522">
        <v>1124.6300000000001</v>
      </c>
      <c r="AJ522">
        <v>2036.59</v>
      </c>
    </row>
    <row r="523" spans="1:36" x14ac:dyDescent="0.3">
      <c r="A523" s="2">
        <v>43814</v>
      </c>
      <c r="B523" s="3">
        <v>38632.410000000003</v>
      </c>
      <c r="C523" s="4">
        <v>115121</v>
      </c>
      <c r="D523" s="3">
        <v>6816.3</v>
      </c>
      <c r="E523" s="3">
        <v>28455.09</v>
      </c>
      <c r="F523" s="3">
        <v>17118.439999999999</v>
      </c>
      <c r="G523" s="3">
        <v>1671.9</v>
      </c>
      <c r="H523" s="3">
        <v>3221.22</v>
      </c>
      <c r="I523" s="3">
        <v>8924.9599999999991</v>
      </c>
      <c r="J523" s="3">
        <v>44505.64</v>
      </c>
      <c r="K523" s="1">
        <v>23662.720000000001</v>
      </c>
      <c r="L523" s="3">
        <v>2128.04</v>
      </c>
      <c r="M523" s="3">
        <v>13318.9</v>
      </c>
      <c r="N523" s="6">
        <f>VLOOKUP(A523,'[1]俄罗斯交易系统市值加权指数历史数据 (1)'!$A:$B,2,)</f>
        <v>1523.77</v>
      </c>
      <c r="O523" s="3">
        <v>6021.53</v>
      </c>
      <c r="P523" s="1">
        <v>609.26</v>
      </c>
      <c r="Q523" s="3">
        <v>10679.37</v>
      </c>
      <c r="R523" s="3">
        <v>1111.77</v>
      </c>
      <c r="S523" s="3">
        <v>9675.5</v>
      </c>
      <c r="T523" s="3">
        <v>7582.48</v>
      </c>
      <c r="U523" s="3">
        <v>3776.56</v>
      </c>
      <c r="V523" s="6">
        <f>VLOOKUP(A523,[2]韩国KOSPI指数历史数据!$A:$B,2,)</f>
        <v>2204.1799999999998</v>
      </c>
      <c r="W523" s="6">
        <f>VLOOKUP(A523,[3]日经225指数历史数据!$A:$B,2,)</f>
        <v>23816.63</v>
      </c>
      <c r="X523" s="3">
        <v>1677.56</v>
      </c>
      <c r="Y523" s="6">
        <f>VLOOKUP(A523,[4]上证指数历史数据!$A:$B,2,)</f>
        <v>3004.94</v>
      </c>
      <c r="Z523" s="6">
        <f>VLOOKUP(A523,[5]深证成份指数历史数据!$A:$B,2,)</f>
        <v>10229.49</v>
      </c>
      <c r="AA523" s="6">
        <f>VLOOKUP(A523,[6]台湾加权指数历史数据!$A:$B,2,)</f>
        <v>11959.08</v>
      </c>
      <c r="AB523" s="3">
        <v>27871.35</v>
      </c>
      <c r="AC523" s="3">
        <v>3212.39</v>
      </c>
      <c r="AD523">
        <v>12271.8</v>
      </c>
      <c r="AE523" s="5">
        <f>VLOOKUP(A523,[7]越南VN30指数历史数据!$A:$B,2,)</f>
        <v>868.37</v>
      </c>
      <c r="AF523">
        <v>51151.12</v>
      </c>
      <c r="AG523" s="9">
        <v>16262.96</v>
      </c>
      <c r="AH523">
        <v>12165.65</v>
      </c>
      <c r="AI523">
        <v>1133.49</v>
      </c>
      <c r="AJ523">
        <v>2051.1999999999998</v>
      </c>
    </row>
    <row r="524" spans="1:36" x14ac:dyDescent="0.3">
      <c r="A524" s="2">
        <v>43821</v>
      </c>
      <c r="B524" s="3">
        <v>41681.93</v>
      </c>
      <c r="C524" s="4">
        <v>116534</v>
      </c>
      <c r="D524" s="3">
        <v>6821.7</v>
      </c>
      <c r="E524" s="3">
        <v>28645.26</v>
      </c>
      <c r="F524" s="3">
        <v>17168.21</v>
      </c>
      <c r="G524" s="3">
        <v>1669.03</v>
      </c>
      <c r="H524" s="3">
        <v>3240.02</v>
      </c>
      <c r="I524" s="3">
        <v>9006.6200000000008</v>
      </c>
      <c r="J524" s="3">
        <v>44261.51</v>
      </c>
      <c r="K524" s="1">
        <v>23376.720000000001</v>
      </c>
      <c r="L524" s="3">
        <v>2151.7399999999998</v>
      </c>
      <c r="M524" s="3">
        <v>13337.11</v>
      </c>
      <c r="N524" s="6">
        <f>VLOOKUP(A524,'[1]俄罗斯交易系统市值加权指数历史数据 (1)'!$A:$B,2,)</f>
        <v>1549.4</v>
      </c>
      <c r="O524" s="3">
        <v>6037.39</v>
      </c>
      <c r="P524" s="1">
        <v>611.01</v>
      </c>
      <c r="Q524" s="3">
        <v>10730.15</v>
      </c>
      <c r="R524" s="3">
        <v>1136.8399999999999</v>
      </c>
      <c r="S524" s="3">
        <v>9700.5</v>
      </c>
      <c r="T524" s="3">
        <v>7644.9</v>
      </c>
      <c r="U524" s="3">
        <v>3782.27</v>
      </c>
      <c r="V524" s="6">
        <f>VLOOKUP(A524,[2]韩国KOSPI指数历史数据!$A:$B,2,)</f>
        <v>2204.21</v>
      </c>
      <c r="W524" s="6">
        <f>VLOOKUP(A524,[3]日经225指数历史数据!$A:$B,2,)</f>
        <v>23837.72</v>
      </c>
      <c r="X524" s="3">
        <v>1685.49</v>
      </c>
      <c r="Y524" s="6">
        <f>VLOOKUP(A524,[4]上证指数历史数据!$A:$B,2,)</f>
        <v>3005.04</v>
      </c>
      <c r="Z524" s="6">
        <f>VLOOKUP(A524,[5]深证成份指数历史数据!$A:$B,2,)</f>
        <v>10233.77</v>
      </c>
      <c r="AA524" s="6">
        <f>VLOOKUP(A524,[6]台湾加权指数历史数据!$A:$B,2,)</f>
        <v>12091.59</v>
      </c>
      <c r="AB524" s="3">
        <v>28225.42</v>
      </c>
      <c r="AC524" s="3">
        <v>3226.53</v>
      </c>
      <c r="AD524">
        <v>12245.8</v>
      </c>
      <c r="AE524" s="5">
        <f>VLOOKUP(A524,[7]越南VN30指数历史数据!$A:$B,2,)</f>
        <v>876.38</v>
      </c>
      <c r="AF524">
        <v>51147.45</v>
      </c>
      <c r="AG524" s="9">
        <v>16227.08</v>
      </c>
      <c r="AH524">
        <v>12189.27</v>
      </c>
      <c r="AI524">
        <v>1150.1600000000001</v>
      </c>
      <c r="AJ524">
        <v>2057.54</v>
      </c>
    </row>
    <row r="525" spans="1:36" x14ac:dyDescent="0.3">
      <c r="A525" s="2">
        <v>43828</v>
      </c>
      <c r="B525" s="3">
        <v>40499.15</v>
      </c>
      <c r="C525" s="4">
        <v>117707</v>
      </c>
      <c r="D525" s="3">
        <v>6733.5</v>
      </c>
      <c r="E525" s="3">
        <v>28634.880000000001</v>
      </c>
      <c r="F525" s="3">
        <v>17066.12</v>
      </c>
      <c r="G525" s="3">
        <v>1660.87</v>
      </c>
      <c r="H525" s="3">
        <v>3234.85</v>
      </c>
      <c r="I525" s="3">
        <v>9020.77</v>
      </c>
      <c r="J525" s="3">
        <v>44624.85</v>
      </c>
      <c r="K525" s="1">
        <v>24141.94</v>
      </c>
      <c r="L525" s="3">
        <v>2173.9699999999998</v>
      </c>
      <c r="M525" s="3">
        <v>13219.14</v>
      </c>
      <c r="N525" s="6">
        <f>VLOOKUP(A525,'[1]俄罗斯交易系统市值加权指数历史数据 (1)'!$A:$B,2,)</f>
        <v>1564.18</v>
      </c>
      <c r="O525" s="3">
        <v>6044.16</v>
      </c>
      <c r="P525" s="1">
        <v>611.05999999999995</v>
      </c>
      <c r="Q525" s="3">
        <v>10699.82</v>
      </c>
      <c r="R525" s="3">
        <v>1136.8399999999999</v>
      </c>
      <c r="S525" s="3">
        <v>9646.6</v>
      </c>
      <c r="T525" s="3">
        <v>7622.4</v>
      </c>
      <c r="U525" s="3">
        <v>3773.37</v>
      </c>
      <c r="V525" s="6">
        <f>VLOOKUP(A525,[2]韩国KOSPI指数历史数据!$A:$B,2,)</f>
        <v>2176.46</v>
      </c>
      <c r="W525" s="6">
        <f>VLOOKUP(A525,[3]日经225指数历史数据!$A:$B,2,)</f>
        <v>23656.62</v>
      </c>
      <c r="X525" s="3">
        <v>1693.8</v>
      </c>
      <c r="Y525" s="6">
        <f>VLOOKUP(A525,[4]上证指数历史数据!$A:$B,2,)</f>
        <v>3083.79</v>
      </c>
      <c r="Z525" s="6">
        <f>VLOOKUP(A525,[5]深证成份指数历史数据!$A:$B,2,)</f>
        <v>10656.41</v>
      </c>
      <c r="AA525" s="6">
        <f>VLOOKUP(A525,[6]台湾加权指数历史数据!$A:$B,2,)</f>
        <v>12110.43</v>
      </c>
      <c r="AB525" s="3">
        <v>28451.5</v>
      </c>
      <c r="AC525" s="3">
        <v>3238.82</v>
      </c>
      <c r="AD525">
        <v>12226.65</v>
      </c>
      <c r="AE525" s="5">
        <f>VLOOKUP(A525,[7]越南VN30指数历史数据!$A:$B,2,)</f>
        <v>883.28</v>
      </c>
      <c r="AF525">
        <v>51536.5</v>
      </c>
      <c r="AG525" s="9">
        <v>16238.66</v>
      </c>
      <c r="AH525">
        <v>12154.94</v>
      </c>
      <c r="AI525">
        <v>1186.0899999999999</v>
      </c>
      <c r="AJ525">
        <v>2065.08</v>
      </c>
    </row>
    <row r="526" spans="1:36" x14ac:dyDescent="0.3">
      <c r="A526" s="2">
        <v>43835</v>
      </c>
      <c r="B526" s="3">
        <v>42740.38</v>
      </c>
      <c r="C526" s="4">
        <v>115503</v>
      </c>
      <c r="D526" s="3">
        <v>6929</v>
      </c>
      <c r="E526" s="3">
        <v>28823.77</v>
      </c>
      <c r="F526" s="3">
        <v>17234.490000000002</v>
      </c>
      <c r="G526" s="3">
        <v>1657.64</v>
      </c>
      <c r="H526" s="3">
        <v>3265.35</v>
      </c>
      <c r="I526" s="3">
        <v>9178.86</v>
      </c>
      <c r="J526" s="3">
        <v>44660.33</v>
      </c>
      <c r="K526" s="1">
        <v>24861.18</v>
      </c>
      <c r="L526" s="3">
        <v>2167.91</v>
      </c>
      <c r="M526" s="3">
        <v>13483.31</v>
      </c>
      <c r="N526" s="6">
        <f>VLOOKUP(A526,'[1]俄罗斯交易系统市值加权指数历史数据 (1)'!$A:$B,2,)</f>
        <v>1614.69</v>
      </c>
      <c r="O526" s="3">
        <v>6037.11</v>
      </c>
      <c r="P526" s="1">
        <v>610.42999999999995</v>
      </c>
      <c r="Q526" s="3">
        <v>10639.49</v>
      </c>
      <c r="R526" s="3">
        <v>1186.6400000000001</v>
      </c>
      <c r="S526" s="3">
        <v>9573.6</v>
      </c>
      <c r="T526" s="3">
        <v>7587.85</v>
      </c>
      <c r="U526" s="3">
        <v>3789.52</v>
      </c>
      <c r="V526" s="6">
        <f>VLOOKUP(A526,[2]韩国KOSPI指数历史数据!$A:$B,2,)</f>
        <v>2206.39</v>
      </c>
      <c r="W526" s="6">
        <f>VLOOKUP(A526,[3]日经225指数历史数据!$A:$B,2,)</f>
        <v>23850.57</v>
      </c>
      <c r="X526" s="3">
        <v>1678.86</v>
      </c>
      <c r="Y526" s="6">
        <f>VLOOKUP(A526,[4]上证指数历史数据!$A:$B,2,)</f>
        <v>3092.29</v>
      </c>
      <c r="Z526" s="6">
        <f>VLOOKUP(A526,[5]深证成份指数历史数据!$A:$B,2,)</f>
        <v>10879.84</v>
      </c>
      <c r="AA526" s="6">
        <f>VLOOKUP(A526,[6]台湾加权指数历史数据!$A:$B,2,)</f>
        <v>12024.65</v>
      </c>
      <c r="AB526" s="3">
        <v>28638.2</v>
      </c>
      <c r="AC526" s="3">
        <v>3255.95</v>
      </c>
      <c r="AD526">
        <v>12256.8</v>
      </c>
      <c r="AE526" s="5">
        <f>VLOOKUP(A526,[7]越南VN30指数历史数据!$A:$B,2,)</f>
        <v>885.52</v>
      </c>
      <c r="AF526">
        <v>51245.43</v>
      </c>
      <c r="AG526" s="9">
        <v>15900.85</v>
      </c>
      <c r="AH526">
        <v>12311.35</v>
      </c>
      <c r="AI526">
        <v>1306.83</v>
      </c>
      <c r="AJ526">
        <v>2090.44</v>
      </c>
    </row>
    <row r="527" spans="1:36" x14ac:dyDescent="0.3">
      <c r="A527" s="2">
        <v>43842</v>
      </c>
      <c r="B527" s="3">
        <v>42339.82</v>
      </c>
      <c r="C527" s="4">
        <v>118478</v>
      </c>
      <c r="D527" s="3">
        <v>7064.1</v>
      </c>
      <c r="E527" s="3">
        <v>29348.1</v>
      </c>
      <c r="F527" s="3">
        <v>17559.02</v>
      </c>
      <c r="G527" s="3">
        <v>1699.64</v>
      </c>
      <c r="H527" s="3">
        <v>3329.62</v>
      </c>
      <c r="I527" s="3">
        <v>9388.94</v>
      </c>
      <c r="J527" s="3">
        <v>45817.760000000002</v>
      </c>
      <c r="K527" s="1">
        <v>24392.02</v>
      </c>
      <c r="L527" s="3">
        <v>2175.9499999999998</v>
      </c>
      <c r="M527" s="3">
        <v>13526.13</v>
      </c>
      <c r="N527" s="6">
        <f>VLOOKUP(A527,'[1]俄罗斯交易系统市值加权指数历史数据 (1)'!$A:$B,2,)</f>
        <v>1637.75</v>
      </c>
      <c r="O527" s="3">
        <v>6100.72</v>
      </c>
      <c r="P527" s="1">
        <v>615.57000000000005</v>
      </c>
      <c r="Q527" s="3">
        <v>10841.82</v>
      </c>
      <c r="R527" s="3">
        <v>1214.75</v>
      </c>
      <c r="S527" s="3">
        <v>9681.2999999999993</v>
      </c>
      <c r="T527" s="3">
        <v>7674.56</v>
      </c>
      <c r="U527" s="3">
        <v>3808.26</v>
      </c>
      <c r="V527" s="6">
        <f>VLOOKUP(A527,[2]韩国KOSPI指数历史数据!$A:$B,2,)</f>
        <v>2250.5700000000002</v>
      </c>
      <c r="W527" s="6">
        <f>VLOOKUP(A527,[3]日经225指数历史数据!$A:$B,2,)</f>
        <v>24041.26</v>
      </c>
      <c r="X527" s="3">
        <v>1718.34</v>
      </c>
      <c r="Y527" s="6">
        <f>VLOOKUP(A527,[4]上证指数历史数据!$A:$B,2,)</f>
        <v>3075.5</v>
      </c>
      <c r="Z527" s="6">
        <f>VLOOKUP(A527,[5]深证成份指数历史数据!$A:$B,2,)</f>
        <v>10954.39</v>
      </c>
      <c r="AA527" s="6">
        <f>VLOOKUP(A527,[6]台湾加权指数历史数据!$A:$B,2,)</f>
        <v>12090.29</v>
      </c>
      <c r="AB527" s="3">
        <v>29056.42</v>
      </c>
      <c r="AC527" s="3">
        <v>3281.03</v>
      </c>
      <c r="AD527">
        <v>12352.35</v>
      </c>
      <c r="AE527" s="5">
        <f>VLOOKUP(A527,[7]越南VN30指数历史数据!$A:$B,2,)</f>
        <v>894.84</v>
      </c>
      <c r="AF527">
        <v>52735.75</v>
      </c>
      <c r="AG527" s="9">
        <v>15987.96</v>
      </c>
      <c r="AH527">
        <v>12486.85</v>
      </c>
      <c r="AI527">
        <v>1315.51</v>
      </c>
      <c r="AJ527">
        <v>2077.9499999999998</v>
      </c>
    </row>
    <row r="528" spans="1:36" x14ac:dyDescent="0.3">
      <c r="A528" s="2">
        <v>43849</v>
      </c>
      <c r="B528" s="3">
        <v>39917.82</v>
      </c>
      <c r="C528" s="4">
        <v>118376</v>
      </c>
      <c r="D528" s="3">
        <v>7090.5</v>
      </c>
      <c r="E528" s="3">
        <v>28989.73</v>
      </c>
      <c r="F528" s="3">
        <v>17565.34</v>
      </c>
      <c r="G528" s="3">
        <v>1662.23</v>
      </c>
      <c r="H528" s="3">
        <v>3295.47</v>
      </c>
      <c r="I528" s="3">
        <v>9314.91</v>
      </c>
      <c r="J528" s="3">
        <v>45141.62</v>
      </c>
      <c r="K528" s="1">
        <v>23310.2</v>
      </c>
      <c r="L528" s="3">
        <v>2154.2800000000002</v>
      </c>
      <c r="M528" s="3">
        <v>13576.68</v>
      </c>
      <c r="N528" s="6">
        <f>VLOOKUP(A528,'[1]俄罗斯交易系统市值加权指数历史数据 (1)'!$A:$B,2,)</f>
        <v>1599.82</v>
      </c>
      <c r="O528" s="3">
        <v>6024.26</v>
      </c>
      <c r="P528" s="1">
        <v>614.24</v>
      </c>
      <c r="Q528" s="3">
        <v>10849.75</v>
      </c>
      <c r="R528" s="3">
        <v>1221.42</v>
      </c>
      <c r="S528" s="3">
        <v>9562</v>
      </c>
      <c r="T528" s="3">
        <v>7585.98</v>
      </c>
      <c r="U528" s="3">
        <v>3779.16</v>
      </c>
      <c r="V528" s="6">
        <f>VLOOKUP(A528,[2]韩国KOSPI指数历史数据!$A:$B,2,)</f>
        <v>2246.13</v>
      </c>
      <c r="W528" s="6">
        <f>VLOOKUP(A528,[3]日经225指数历史数据!$A:$B,2,)</f>
        <v>23827.18</v>
      </c>
      <c r="X528" s="3">
        <v>1735.88</v>
      </c>
      <c r="Y528" s="6">
        <f>VLOOKUP(A528,[4]上证指数历史数据!$A:$B,2,)</f>
        <v>2976.53</v>
      </c>
      <c r="Z528" s="6">
        <f>VLOOKUP(A528,[5]深证成份指数历史数据!$A:$B,2,)</f>
        <v>10681.9</v>
      </c>
      <c r="AA528" s="6">
        <f>VLOOKUP(A528,[6]台湾加权指数历史数据!$A:$B,2,)</f>
        <v>12118.71</v>
      </c>
      <c r="AB528" s="3">
        <v>27949.64</v>
      </c>
      <c r="AC528" s="3">
        <v>3240.02</v>
      </c>
      <c r="AD528">
        <v>12248.25</v>
      </c>
      <c r="AE528" s="5">
        <f>VLOOKUP(A528,[7]越南VN30指数历史数据!$A:$B,2,)</f>
        <v>909.09</v>
      </c>
      <c r="AF528">
        <v>51212.26</v>
      </c>
      <c r="AG528" s="9">
        <v>15772.76</v>
      </c>
      <c r="AH528">
        <v>12600.45</v>
      </c>
      <c r="AI528">
        <v>1315.26</v>
      </c>
      <c r="AJ528">
        <v>2091.0100000000002</v>
      </c>
    </row>
    <row r="529" spans="1:36" x14ac:dyDescent="0.3">
      <c r="A529" s="2">
        <v>43856</v>
      </c>
      <c r="B529" s="3">
        <v>40105.040000000001</v>
      </c>
      <c r="C529" s="4">
        <v>113761</v>
      </c>
      <c r="D529" s="3">
        <v>7017.2</v>
      </c>
      <c r="E529" s="3">
        <v>28256.03</v>
      </c>
      <c r="F529" s="3">
        <v>17318.490000000002</v>
      </c>
      <c r="G529" s="3">
        <v>1614.06</v>
      </c>
      <c r="H529" s="3">
        <v>3225.52</v>
      </c>
      <c r="I529" s="3">
        <v>9150.94</v>
      </c>
      <c r="J529" s="3">
        <v>44108.31</v>
      </c>
      <c r="K529" s="1">
        <v>22958.19</v>
      </c>
      <c r="L529" s="3">
        <v>2065.9</v>
      </c>
      <c r="M529" s="3">
        <v>12981.97</v>
      </c>
      <c r="N529" s="6">
        <f>VLOOKUP(A529,'[1]俄罗斯交易系统市值加权指数历史数据 (1)'!$A:$B,2,)</f>
        <v>1517.07</v>
      </c>
      <c r="O529" s="3">
        <v>5806.34</v>
      </c>
      <c r="P529" s="1">
        <v>589.5</v>
      </c>
      <c r="Q529" s="3">
        <v>10627.88</v>
      </c>
      <c r="R529" s="3">
        <v>1191.4000000000001</v>
      </c>
      <c r="S529" s="3">
        <v>9367.9</v>
      </c>
      <c r="T529" s="3">
        <v>7286.01</v>
      </c>
      <c r="U529" s="3">
        <v>3640.91</v>
      </c>
      <c r="V529" s="6">
        <f>VLOOKUP(A529,[2]韩国KOSPI指数历史数据!$A:$B,2,)</f>
        <v>2119.0100000000002</v>
      </c>
      <c r="W529" s="6">
        <f>VLOOKUP(A529,[3]日经225指数历史数据!$A:$B,2,)</f>
        <v>23205.18</v>
      </c>
      <c r="X529" s="3">
        <v>1690.88</v>
      </c>
      <c r="Y529" s="6" t="e">
        <f>VLOOKUP(A529,[4]上证指数历史数据!$A:$B,2,)</f>
        <v>#N/A</v>
      </c>
      <c r="Z529" s="6" t="e">
        <f>VLOOKUP(A529,[5]深证成份指数历史数据!$A:$B,2,)</f>
        <v>#N/A</v>
      </c>
      <c r="AA529" s="6">
        <f>VLOOKUP(A529,[6]台湾加权指数历史数据!$A:$B,2,)</f>
        <v>11495.1</v>
      </c>
      <c r="AB529" s="3">
        <v>26312.63</v>
      </c>
      <c r="AC529" s="3">
        <v>3153.73</v>
      </c>
      <c r="AD529">
        <v>11962.1</v>
      </c>
      <c r="AE529" s="5">
        <f>VLOOKUP(A529,[7]越南VN30指数历史数据!$A:$B,2,)</f>
        <v>848.63</v>
      </c>
      <c r="AF529">
        <v>50072.61</v>
      </c>
      <c r="AG529" s="9">
        <v>16099.11</v>
      </c>
      <c r="AH529">
        <v>12531.9</v>
      </c>
      <c r="AI529">
        <v>1274.95</v>
      </c>
      <c r="AJ529">
        <v>2112.77</v>
      </c>
    </row>
    <row r="530" spans="1:36" x14ac:dyDescent="0.3">
      <c r="A530" s="2">
        <v>43863</v>
      </c>
      <c r="B530" s="3">
        <v>41213.89</v>
      </c>
      <c r="C530" s="4">
        <v>113770</v>
      </c>
      <c r="D530" s="3">
        <v>7022.6</v>
      </c>
      <c r="E530" s="3">
        <v>29102.51</v>
      </c>
      <c r="F530" s="3">
        <v>17655.490000000002</v>
      </c>
      <c r="G530" s="3">
        <v>1656.78</v>
      </c>
      <c r="H530" s="3">
        <v>3327.71</v>
      </c>
      <c r="I530" s="3">
        <v>9520.51</v>
      </c>
      <c r="J530" s="3">
        <v>44399.33</v>
      </c>
      <c r="K530" s="1">
        <v>23469.59</v>
      </c>
      <c r="L530" s="3">
        <v>2110.1999999999998</v>
      </c>
      <c r="M530" s="3">
        <v>13513.81</v>
      </c>
      <c r="N530" s="6">
        <f>VLOOKUP(A530,'[1]俄罗斯交易系统市值加权指数历史数据 (1)'!$A:$B,2,)</f>
        <v>1518.23</v>
      </c>
      <c r="O530" s="3">
        <v>6029.75</v>
      </c>
      <c r="P530" s="1">
        <v>616.46</v>
      </c>
      <c r="Q530" s="3">
        <v>11001.53</v>
      </c>
      <c r="R530" s="3">
        <v>1210.1500000000001</v>
      </c>
      <c r="S530" s="3">
        <v>9811</v>
      </c>
      <c r="T530" s="3">
        <v>7466.7</v>
      </c>
      <c r="U530" s="3">
        <v>3798.49</v>
      </c>
      <c r="V530" s="6">
        <f>VLOOKUP(A530,[2]韩国KOSPI指数历史数据!$A:$B,2,)</f>
        <v>2211.9499999999998</v>
      </c>
      <c r="W530" s="6">
        <f>VLOOKUP(A530,[3]日经225指数历史数据!$A:$B,2,)</f>
        <v>23827.98</v>
      </c>
      <c r="X530" s="3">
        <v>1727.06</v>
      </c>
      <c r="Y530" s="6">
        <f>VLOOKUP(A530,[4]上证指数历史数据!$A:$B,2,)</f>
        <v>2875.96</v>
      </c>
      <c r="Z530" s="6">
        <f>VLOOKUP(A530,[5]深证成份指数历史数据!$A:$B,2,)</f>
        <v>10611.55</v>
      </c>
      <c r="AA530" s="6">
        <f>VLOOKUP(A530,[6]台湾加权指数历史数据!$A:$B,2,)</f>
        <v>11612.81</v>
      </c>
      <c r="AB530" s="3">
        <v>27404.27</v>
      </c>
      <c r="AC530" s="3">
        <v>3181.48</v>
      </c>
      <c r="AD530">
        <v>12098.35</v>
      </c>
      <c r="AE530" s="5">
        <f>VLOOKUP(A530,[7]越南VN30指数历史数据!$A:$B,2,)</f>
        <v>863.49</v>
      </c>
      <c r="AF530">
        <v>51396.07</v>
      </c>
      <c r="AG530" s="9">
        <v>16249.97</v>
      </c>
      <c r="AH530">
        <v>12165.23</v>
      </c>
      <c r="AI530">
        <v>1239.05</v>
      </c>
      <c r="AJ530">
        <v>2130.39</v>
      </c>
    </row>
    <row r="531" spans="1:36" x14ac:dyDescent="0.3">
      <c r="A531" s="2">
        <v>43870</v>
      </c>
      <c r="B531" s="3">
        <v>38647.68</v>
      </c>
      <c r="C531" s="4">
        <v>114381</v>
      </c>
      <c r="D531" s="3">
        <v>7130.2</v>
      </c>
      <c r="E531" s="3">
        <v>29398.080000000002</v>
      </c>
      <c r="F531" s="3">
        <v>17848.36</v>
      </c>
      <c r="G531" s="3">
        <v>1687.58</v>
      </c>
      <c r="H531" s="3">
        <v>3380.16</v>
      </c>
      <c r="I531" s="3">
        <v>9731.18</v>
      </c>
      <c r="J531" s="3">
        <v>44999.68</v>
      </c>
      <c r="K531" s="1">
        <v>23345.11</v>
      </c>
      <c r="L531" s="3">
        <v>2115.29</v>
      </c>
      <c r="M531" s="3">
        <v>13744.21</v>
      </c>
      <c r="N531" s="6">
        <f>VLOOKUP(A531,'[1]俄罗斯交易系统市值加权指数历史数据 (1)'!$A:$B,2,)</f>
        <v>1534.89</v>
      </c>
      <c r="O531" s="3">
        <v>6069.35</v>
      </c>
      <c r="P531" s="1">
        <v>629.23</v>
      </c>
      <c r="Q531" s="3">
        <v>11128.81</v>
      </c>
      <c r="R531" s="3">
        <v>1201.51</v>
      </c>
      <c r="S531" s="3">
        <v>9956.7999999999993</v>
      </c>
      <c r="T531" s="3">
        <v>7409.13</v>
      </c>
      <c r="U531" s="3">
        <v>3840.97</v>
      </c>
      <c r="V531" s="6">
        <f>VLOOKUP(A531,[2]韩国KOSPI指数历史数据!$A:$B,2,)</f>
        <v>2243.59</v>
      </c>
      <c r="W531" s="6">
        <f>VLOOKUP(A531,[3]日经225指数历史数据!$A:$B,2,)</f>
        <v>23687.59</v>
      </c>
      <c r="X531" s="3">
        <v>1730.11</v>
      </c>
      <c r="Y531" s="6">
        <f>VLOOKUP(A531,[4]上证指数历史数据!$A:$B,2,)</f>
        <v>2917.01</v>
      </c>
      <c r="Z531" s="6">
        <f>VLOOKUP(A531,[5]深证成份指数历史数据!$A:$B,2,)</f>
        <v>10916.31</v>
      </c>
      <c r="AA531" s="6">
        <f>VLOOKUP(A531,[6]台湾加权指数历史数据!$A:$B,2,)</f>
        <v>11815.7</v>
      </c>
      <c r="AB531" s="3">
        <v>27815.599999999999</v>
      </c>
      <c r="AC531" s="3">
        <v>3220.03</v>
      </c>
      <c r="AD531">
        <v>12113.45</v>
      </c>
      <c r="AE531" s="5">
        <f>VLOOKUP(A531,[7]越南VN30指数历史数据!$A:$B,2,)</f>
        <v>865.86</v>
      </c>
      <c r="AF531">
        <v>52049.98</v>
      </c>
      <c r="AG531" s="9">
        <v>15959.61</v>
      </c>
      <c r="AH531">
        <v>12340.24</v>
      </c>
      <c r="AI531">
        <v>1222.8900000000001</v>
      </c>
      <c r="AJ531">
        <v>2120.9</v>
      </c>
    </row>
    <row r="532" spans="1:36" x14ac:dyDescent="0.3">
      <c r="A532" s="2">
        <v>43877</v>
      </c>
      <c r="B532" s="3">
        <v>38602.480000000003</v>
      </c>
      <c r="C532" s="4">
        <v>113681</v>
      </c>
      <c r="D532" s="3">
        <v>7139</v>
      </c>
      <c r="E532" s="3">
        <v>28992.41</v>
      </c>
      <c r="F532" s="3">
        <v>17843.53</v>
      </c>
      <c r="G532" s="3">
        <v>1678.61</v>
      </c>
      <c r="H532" s="3">
        <v>3337.75</v>
      </c>
      <c r="I532" s="3">
        <v>9576.59</v>
      </c>
      <c r="J532" s="3">
        <v>44802.54</v>
      </c>
      <c r="K532" s="1">
        <v>22726.97</v>
      </c>
      <c r="L532" s="3">
        <v>2088.5300000000002</v>
      </c>
      <c r="M532" s="3">
        <v>13579.33</v>
      </c>
      <c r="N532" s="6">
        <f>VLOOKUP(A532,'[1]俄罗斯交易系统市值加权指数历史数据 (1)'!$A:$B,2,)</f>
        <v>1524.71</v>
      </c>
      <c r="O532" s="3">
        <v>6029.72</v>
      </c>
      <c r="P532" s="1">
        <v>617.33000000000004</v>
      </c>
      <c r="Q532" s="3">
        <v>11110.78</v>
      </c>
      <c r="R532" s="3">
        <v>1168.29</v>
      </c>
      <c r="S532" s="3">
        <v>9886.2000000000007</v>
      </c>
      <c r="T532" s="3">
        <v>7403.92</v>
      </c>
      <c r="U532" s="3">
        <v>3800.38</v>
      </c>
      <c r="V532" s="6">
        <f>VLOOKUP(A532,[2]韩国KOSPI指数历史数据!$A:$B,2,)</f>
        <v>2162.84</v>
      </c>
      <c r="W532" s="6">
        <f>VLOOKUP(A532,[3]日经225指数历史数据!$A:$B,2,)</f>
        <v>23386.74</v>
      </c>
      <c r="X532" s="3">
        <v>1725.09</v>
      </c>
      <c r="Y532" s="6">
        <f>VLOOKUP(A532,[4]上证指数历史数据!$A:$B,2,)</f>
        <v>3039.67</v>
      </c>
      <c r="Z532" s="6">
        <f>VLOOKUP(A532,[5]深证成份指数历史数据!$A:$B,2,)</f>
        <v>11629.7</v>
      </c>
      <c r="AA532" s="6">
        <f>VLOOKUP(A532,[6]台湾加权指数历史数据!$A:$B,2,)</f>
        <v>11686.35</v>
      </c>
      <c r="AB532" s="3">
        <v>27308.81</v>
      </c>
      <c r="AC532" s="3">
        <v>3181.03</v>
      </c>
      <c r="AD532">
        <v>12080.85</v>
      </c>
      <c r="AE532" s="5">
        <f>VLOOKUP(A532,[7]越南VN30指数历史数据!$A:$B,2,)</f>
        <v>868.89</v>
      </c>
      <c r="AF532">
        <v>51582.43</v>
      </c>
      <c r="AG532" s="9">
        <v>15664.86</v>
      </c>
      <c r="AH532">
        <v>12506.96</v>
      </c>
      <c r="AI532">
        <v>1204.42</v>
      </c>
      <c r="AJ532">
        <v>2086.2199999999998</v>
      </c>
    </row>
    <row r="533" spans="1:36" x14ac:dyDescent="0.3">
      <c r="A533" s="2">
        <v>43884</v>
      </c>
      <c r="B533" s="3">
        <v>34973.18</v>
      </c>
      <c r="C533" s="4">
        <v>104172</v>
      </c>
      <c r="D533" s="3">
        <v>6441.2</v>
      </c>
      <c r="E533" s="3">
        <v>25409.360000000001</v>
      </c>
      <c r="F533" s="3">
        <v>16263.05</v>
      </c>
      <c r="G533" s="3">
        <v>1476.43</v>
      </c>
      <c r="H533" s="3">
        <v>2954.22</v>
      </c>
      <c r="I533" s="3">
        <v>8567.3700000000008</v>
      </c>
      <c r="J533" s="3">
        <v>41324.31</v>
      </c>
      <c r="K533" s="1">
        <v>20748.060000000001</v>
      </c>
      <c r="L533" s="3">
        <v>1768.91</v>
      </c>
      <c r="M533" s="3">
        <v>11890.35</v>
      </c>
      <c r="N533" s="6">
        <f>VLOOKUP(A533,'[1]俄罗斯交易系统市值加权指数历史数据 (1)'!$A:$B,2,)</f>
        <v>1299.69</v>
      </c>
      <c r="O533" s="3">
        <v>5309.9</v>
      </c>
      <c r="P533" s="1">
        <v>539.38</v>
      </c>
      <c r="Q533" s="3">
        <v>9831.0300000000007</v>
      </c>
      <c r="R533" s="3">
        <v>1059.94</v>
      </c>
      <c r="S533" s="3">
        <v>8723.2000000000007</v>
      </c>
      <c r="T533" s="3">
        <v>6580.61</v>
      </c>
      <c r="U533" s="3">
        <v>3329.49</v>
      </c>
      <c r="V533" s="6">
        <f>VLOOKUP(A533,[2]韩国KOSPI指数历史数据!$A:$B,2,)</f>
        <v>1987.01</v>
      </c>
      <c r="W533" s="6">
        <f>VLOOKUP(A533,[3]日经225指数历史数据!$A:$B,2,)</f>
        <v>21142.959999999999</v>
      </c>
      <c r="X533" s="3">
        <v>1601.81</v>
      </c>
      <c r="Y533" s="6">
        <f>VLOOKUP(A533,[4]上证指数历史数据!$A:$B,2,)</f>
        <v>2880.3</v>
      </c>
      <c r="Z533" s="6">
        <f>VLOOKUP(A533,[5]深证成份指数历史数据!$A:$B,2,)</f>
        <v>10980.77</v>
      </c>
      <c r="AA533" s="6">
        <f>VLOOKUP(A533,[6]台湾加权指数历史数据!$A:$B,2,)</f>
        <v>11292.17</v>
      </c>
      <c r="AB533" s="3">
        <v>26129.93</v>
      </c>
      <c r="AC533" s="3">
        <v>3011.08</v>
      </c>
      <c r="AD533">
        <v>11201.75</v>
      </c>
      <c r="AE533" s="5">
        <f>VLOOKUP(A533,[7]越南VN30指数历史数据!$A:$B,2,)</f>
        <v>831.97</v>
      </c>
      <c r="AF533">
        <v>45851.76</v>
      </c>
      <c r="AG533" s="9">
        <v>14756.81</v>
      </c>
      <c r="AH533">
        <v>12260.94</v>
      </c>
      <c r="AI533">
        <v>1148.03</v>
      </c>
      <c r="AJ533">
        <v>2036.87</v>
      </c>
    </row>
    <row r="534" spans="1:36" x14ac:dyDescent="0.3">
      <c r="A534" s="2">
        <v>43891</v>
      </c>
      <c r="B534" s="3">
        <v>35222.43</v>
      </c>
      <c r="C534" s="4">
        <v>97997</v>
      </c>
      <c r="D534" s="3">
        <v>6216.2</v>
      </c>
      <c r="E534" s="3">
        <v>25864.78</v>
      </c>
      <c r="F534" s="3">
        <v>16175.02</v>
      </c>
      <c r="G534" s="3">
        <v>1449.22</v>
      </c>
      <c r="H534" s="3">
        <v>2972.37</v>
      </c>
      <c r="I534" s="3">
        <v>8575.6200000000008</v>
      </c>
      <c r="J534" s="3">
        <v>41388.78</v>
      </c>
      <c r="K534" s="1">
        <v>21165.59</v>
      </c>
      <c r="L534" s="3">
        <v>1764.81</v>
      </c>
      <c r="M534" s="3">
        <v>11541.87</v>
      </c>
      <c r="N534" s="6">
        <f>VLOOKUP(A534,'[1]俄罗斯交易系统市值加权指数历史数据 (1)'!$A:$B,2,)</f>
        <v>1257.96</v>
      </c>
      <c r="O534" s="3">
        <v>5139.1099999999997</v>
      </c>
      <c r="P534" s="1">
        <v>531.29</v>
      </c>
      <c r="Q534" s="3">
        <v>9736.82</v>
      </c>
      <c r="R534" s="3">
        <v>1096.01</v>
      </c>
      <c r="S534" s="3">
        <v>8375.6</v>
      </c>
      <c r="T534" s="3">
        <v>6462.55</v>
      </c>
      <c r="U534" s="3">
        <v>3232.07</v>
      </c>
      <c r="V534" s="6">
        <f>VLOOKUP(A534,[2]韩国KOSPI指数历史数据!$A:$B,2,)</f>
        <v>2040.22</v>
      </c>
      <c r="W534" s="6">
        <f>VLOOKUP(A534,[3]日经225指数历史数据!$A:$B,2,)</f>
        <v>20749.75</v>
      </c>
      <c r="X534" s="3">
        <v>1538.09</v>
      </c>
      <c r="Y534" s="6">
        <f>VLOOKUP(A534,[4]上证指数历史数据!$A:$B,2,)</f>
        <v>3034.51</v>
      </c>
      <c r="Z534" s="6">
        <f>VLOOKUP(A534,[5]深证成份指数历史数据!$A:$B,2,)</f>
        <v>11582.82</v>
      </c>
      <c r="AA534" s="6">
        <f>VLOOKUP(A534,[6]台湾加权指数历史数据!$A:$B,2,)</f>
        <v>11321.81</v>
      </c>
      <c r="AB534" s="3">
        <v>26146.67</v>
      </c>
      <c r="AC534" s="3">
        <v>2960.98</v>
      </c>
      <c r="AD534">
        <v>10989.45</v>
      </c>
      <c r="AE534" s="5">
        <f>VLOOKUP(A534,[7]越南VN30指数历史数据!$A:$B,2,)</f>
        <v>835.97</v>
      </c>
      <c r="AF534">
        <v>46759.72</v>
      </c>
      <c r="AG534" s="9">
        <v>14134.66</v>
      </c>
      <c r="AH534">
        <v>11474.03</v>
      </c>
      <c r="AI534">
        <v>1149.44</v>
      </c>
      <c r="AJ534">
        <v>2055.94</v>
      </c>
    </row>
    <row r="535" spans="1:36" x14ac:dyDescent="0.3">
      <c r="A535" s="2">
        <v>43898</v>
      </c>
      <c r="B535" s="3">
        <v>28447.97</v>
      </c>
      <c r="C535" s="4">
        <v>82678</v>
      </c>
      <c r="D535" s="3">
        <v>5539.3</v>
      </c>
      <c r="E535" s="3">
        <v>23185.62</v>
      </c>
      <c r="F535" s="3">
        <v>13716.33</v>
      </c>
      <c r="G535" s="3">
        <v>1209.46</v>
      </c>
      <c r="H535" s="3">
        <v>2711.02</v>
      </c>
      <c r="I535" s="3">
        <v>7874.88</v>
      </c>
      <c r="J535" s="3">
        <v>38085.050000000003</v>
      </c>
      <c r="K535" s="1">
        <v>18896.25</v>
      </c>
      <c r="L535" s="3">
        <v>1365.97</v>
      </c>
      <c r="M535" s="3">
        <v>9232.08</v>
      </c>
      <c r="N535" s="6">
        <f>VLOOKUP(A535,'[1]俄罗斯交易系统市值加权指数历史数据 (1)'!$A:$B,2,)</f>
        <v>991.69</v>
      </c>
      <c r="O535" s="3">
        <v>4118.3599999999997</v>
      </c>
      <c r="P535" s="1">
        <v>432.85</v>
      </c>
      <c r="Q535" s="3">
        <v>8367.56</v>
      </c>
      <c r="R535" s="1">
        <v>956.05</v>
      </c>
      <c r="S535" s="3">
        <v>6629.6</v>
      </c>
      <c r="T535" s="3">
        <v>5366.11</v>
      </c>
      <c r="U535" s="3">
        <v>2586.02</v>
      </c>
      <c r="V535" s="6">
        <f>VLOOKUP(A535,[2]韩国KOSPI指数历史数据!$A:$B,2,)</f>
        <v>1771.44</v>
      </c>
      <c r="W535" s="6">
        <f>VLOOKUP(A535,[3]日经225指数历史数据!$A:$B,2,)</f>
        <v>17431.05</v>
      </c>
      <c r="X535" s="3">
        <v>1251.56</v>
      </c>
      <c r="Y535" s="6">
        <f>VLOOKUP(A535,[4]上证指数历史数据!$A:$B,2,)</f>
        <v>2887.43</v>
      </c>
      <c r="Z535" s="6">
        <f>VLOOKUP(A535,[5]深证成份指数历史数据!$A:$B,2,)</f>
        <v>10831.13</v>
      </c>
      <c r="AA535" s="6">
        <f>VLOOKUP(A535,[6]台湾加权指数历史数据!$A:$B,2,)</f>
        <v>10128.870000000001</v>
      </c>
      <c r="AB535" s="3">
        <v>24032.91</v>
      </c>
      <c r="AC535" s="3">
        <v>2634</v>
      </c>
      <c r="AD535">
        <v>9955.2000000000007</v>
      </c>
      <c r="AE535" s="5">
        <f>VLOOKUP(A535,[7]越南VN30指数历史数据!$A:$B,2,)</f>
        <v>716.65</v>
      </c>
      <c r="AF535">
        <v>39476.089999999997</v>
      </c>
      <c r="AG535" s="9">
        <v>12789.84</v>
      </c>
      <c r="AH535">
        <v>10524.05</v>
      </c>
      <c r="AI535">
        <v>975.65</v>
      </c>
      <c r="AJ535">
        <v>1988.62</v>
      </c>
    </row>
    <row r="536" spans="1:36" x14ac:dyDescent="0.3">
      <c r="A536" s="2">
        <v>43905</v>
      </c>
      <c r="B536" s="3">
        <v>23890.35</v>
      </c>
      <c r="C536" s="4">
        <v>67069</v>
      </c>
      <c r="D536" s="3">
        <v>4816.6000000000004</v>
      </c>
      <c r="E536" s="3">
        <v>19173.98</v>
      </c>
      <c r="F536" s="3">
        <v>11851.81</v>
      </c>
      <c r="G536" s="3">
        <v>1013.89</v>
      </c>
      <c r="H536" s="3">
        <v>2304.92</v>
      </c>
      <c r="I536" s="3">
        <v>6879.52</v>
      </c>
      <c r="J536" s="3">
        <v>34269.51</v>
      </c>
      <c r="K536" s="1">
        <v>15597.19</v>
      </c>
      <c r="L536" s="3">
        <v>1488.42</v>
      </c>
      <c r="M536" s="3">
        <v>8928.9500000000007</v>
      </c>
      <c r="N536" s="6">
        <f>VLOOKUP(A536,'[1]俄罗斯交易系统市值加权指数历史数据 (1)'!$A:$B,2,)</f>
        <v>924.22</v>
      </c>
      <c r="O536" s="3">
        <v>4048.8</v>
      </c>
      <c r="P536" s="1">
        <v>431.98</v>
      </c>
      <c r="Q536" s="3">
        <v>8623.86</v>
      </c>
      <c r="R536" s="1">
        <v>857.96</v>
      </c>
      <c r="S536" s="3">
        <v>6443.3</v>
      </c>
      <c r="T536" s="3">
        <v>5190.78</v>
      </c>
      <c r="U536" s="3">
        <v>2548.5</v>
      </c>
      <c r="V536" s="6">
        <f>VLOOKUP(A536,[2]韩国KOSPI指数历史数据!$A:$B,2,)</f>
        <v>1566.15</v>
      </c>
      <c r="W536" s="6">
        <f>VLOOKUP(A536,[3]日经225指数历史数据!$A:$B,2,)</f>
        <v>16552.830000000002</v>
      </c>
      <c r="X536" s="3">
        <v>1230.31</v>
      </c>
      <c r="Y536" s="6">
        <f>VLOOKUP(A536,[4]上证指数历史数据!$A:$B,2,)</f>
        <v>2745.62</v>
      </c>
      <c r="Z536" s="6">
        <f>VLOOKUP(A536,[5]深证成份指数历史数据!$A:$B,2,)</f>
        <v>10150.129999999999</v>
      </c>
      <c r="AA536" s="6">
        <f>VLOOKUP(A536,[6]台湾加权指数历史数据!$A:$B,2,)</f>
        <v>9234.09</v>
      </c>
      <c r="AB536" s="3">
        <v>22805.07</v>
      </c>
      <c r="AC536" s="3">
        <v>2410.7399999999998</v>
      </c>
      <c r="AD536">
        <v>8745.4500000000007</v>
      </c>
      <c r="AE536" s="5">
        <f>VLOOKUP(A536,[7]越南VN30指数历史数据!$A:$B,2,)</f>
        <v>673.7</v>
      </c>
      <c r="AF536">
        <v>36302.300000000003</v>
      </c>
      <c r="AG536" s="9">
        <v>10193.790000000001</v>
      </c>
      <c r="AH536">
        <v>9609.27</v>
      </c>
      <c r="AI536">
        <v>946.98</v>
      </c>
      <c r="AJ536">
        <v>1848.82</v>
      </c>
    </row>
    <row r="537" spans="1:36" x14ac:dyDescent="0.3">
      <c r="A537" s="2">
        <v>43912</v>
      </c>
      <c r="B537" s="3">
        <v>24058.6</v>
      </c>
      <c r="C537" s="4">
        <v>73429</v>
      </c>
      <c r="D537" s="3">
        <v>4842.3999999999996</v>
      </c>
      <c r="E537" s="3">
        <v>21636.78</v>
      </c>
      <c r="F537" s="3">
        <v>12687.74</v>
      </c>
      <c r="G537" s="3">
        <v>1131.99</v>
      </c>
      <c r="H537" s="3">
        <v>2541.4699999999998</v>
      </c>
      <c r="I537" s="3">
        <v>7502.38</v>
      </c>
      <c r="J537" s="3">
        <v>33799.49</v>
      </c>
      <c r="K537" s="1">
        <v>16224.74</v>
      </c>
      <c r="L537" s="3">
        <v>1475.9</v>
      </c>
      <c r="M537" s="3">
        <v>9632.52</v>
      </c>
      <c r="N537" s="6">
        <f>VLOOKUP(A537,'[1]俄罗斯交易系统市值加权指数历史数据 (1)'!$A:$B,2,)</f>
        <v>955.34</v>
      </c>
      <c r="O537" s="3">
        <v>4351.49</v>
      </c>
      <c r="P537" s="1">
        <v>464.93</v>
      </c>
      <c r="Q537" s="3">
        <v>8996.3700000000008</v>
      </c>
      <c r="R537" s="1">
        <v>881.25</v>
      </c>
      <c r="S537" s="3">
        <v>6777.9</v>
      </c>
      <c r="T537" s="3">
        <v>5510.33</v>
      </c>
      <c r="U537" s="3">
        <v>2728.65</v>
      </c>
      <c r="V537" s="6">
        <f>VLOOKUP(A537,[2]韩国KOSPI指数历史数据!$A:$B,2,)</f>
        <v>1717.73</v>
      </c>
      <c r="W537" s="6">
        <f>VLOOKUP(A537,[3]日经225指数历史数据!$A:$B,2,)</f>
        <v>19389.43</v>
      </c>
      <c r="X537" s="3">
        <v>1281.24</v>
      </c>
      <c r="Y537" s="6">
        <f>VLOOKUP(A537,[4]上证指数历史数据!$A:$B,2,)</f>
        <v>2772.2</v>
      </c>
      <c r="Z537" s="6">
        <f>VLOOKUP(A537,[5]深证成份指数历史数据!$A:$B,2,)</f>
        <v>10109.91</v>
      </c>
      <c r="AA537" s="6">
        <f>VLOOKUP(A537,[6]台湾加权指数历史数据!$A:$B,2,)</f>
        <v>9698.92</v>
      </c>
      <c r="AB537" s="3">
        <v>23484.28</v>
      </c>
      <c r="AC537" s="3">
        <v>2528.7600000000002</v>
      </c>
      <c r="AD537">
        <v>8660.25</v>
      </c>
      <c r="AE537" s="5">
        <f>VLOOKUP(A537,[7]越南VN30指数历史数据!$A:$B,2,)</f>
        <v>642.23</v>
      </c>
      <c r="AF537">
        <v>39172.39</v>
      </c>
      <c r="AG537" s="9">
        <v>11280.27</v>
      </c>
      <c r="AH537">
        <v>9743.75</v>
      </c>
      <c r="AI537">
        <v>931.17</v>
      </c>
      <c r="AJ537">
        <v>1739.63</v>
      </c>
    </row>
    <row r="538" spans="1:36" x14ac:dyDescent="0.3">
      <c r="A538" s="2">
        <v>43919</v>
      </c>
      <c r="B538" s="3">
        <v>26505.41</v>
      </c>
      <c r="C538" s="4">
        <v>69538</v>
      </c>
      <c r="D538" s="3">
        <v>5067.5</v>
      </c>
      <c r="E538" s="3">
        <v>21052.53</v>
      </c>
      <c r="F538" s="3">
        <v>12938.3</v>
      </c>
      <c r="G538" s="3">
        <v>1052.05</v>
      </c>
      <c r="H538" s="3">
        <v>2488.65</v>
      </c>
      <c r="I538" s="3">
        <v>7373.08</v>
      </c>
      <c r="J538" s="3">
        <v>33075.410000000003</v>
      </c>
      <c r="K538" s="1">
        <v>18298.05</v>
      </c>
      <c r="L538" s="3">
        <v>1506.48</v>
      </c>
      <c r="M538" s="3">
        <v>9525.77</v>
      </c>
      <c r="N538" s="6">
        <f>VLOOKUP(A538,'[1]俄罗斯交易系统市值加权指数历史数据 (1)'!$A:$B,2,)</f>
        <v>1049.8800000000001</v>
      </c>
      <c r="O538" s="3">
        <v>4154.58</v>
      </c>
      <c r="P538" s="1">
        <v>471.46</v>
      </c>
      <c r="Q538" s="3">
        <v>9242.44</v>
      </c>
      <c r="R538" s="1">
        <v>895.53</v>
      </c>
      <c r="S538" s="3">
        <v>6581.6</v>
      </c>
      <c r="T538" s="3">
        <v>5415.5</v>
      </c>
      <c r="U538" s="3">
        <v>2662.99</v>
      </c>
      <c r="V538" s="6">
        <f>VLOOKUP(A538,[2]韩国KOSPI指数历史数据!$A:$B,2,)</f>
        <v>1725.44</v>
      </c>
      <c r="W538" s="6">
        <f>VLOOKUP(A538,[3]日经225指数历史数据!$A:$B,2,)</f>
        <v>17820.189999999999</v>
      </c>
      <c r="X538" s="3">
        <v>1268.93</v>
      </c>
      <c r="Y538" s="6">
        <f>VLOOKUP(A538,[4]上证指数历史数据!$A:$B,2,)</f>
        <v>2763.99</v>
      </c>
      <c r="Z538" s="6">
        <f>VLOOKUP(A538,[5]深证成份指数历史数据!$A:$B,2,)</f>
        <v>10110.11</v>
      </c>
      <c r="AA538" s="6">
        <f>VLOOKUP(A538,[6]台湾加权指数历史数据!$A:$B,2,)</f>
        <v>9663.6299999999992</v>
      </c>
      <c r="AB538" s="3">
        <v>23236.11</v>
      </c>
      <c r="AC538" s="3">
        <v>2389.29</v>
      </c>
      <c r="AD538">
        <v>8083.8</v>
      </c>
      <c r="AE538" s="5">
        <f>VLOOKUP(A538,[7]越南VN30指数历史数据!$A:$B,2,)</f>
        <v>649.15</v>
      </c>
      <c r="AF538">
        <v>40873.410000000003</v>
      </c>
      <c r="AG538" s="9">
        <v>10983.85</v>
      </c>
      <c r="AH538">
        <v>9395.76</v>
      </c>
      <c r="AI538">
        <v>892.44</v>
      </c>
      <c r="AJ538">
        <v>1757.59</v>
      </c>
    </row>
    <row r="539" spans="1:36" x14ac:dyDescent="0.3">
      <c r="A539" s="2">
        <v>43926</v>
      </c>
      <c r="B539" s="3">
        <v>28017.59</v>
      </c>
      <c r="C539" s="4">
        <v>77682</v>
      </c>
      <c r="D539" s="3">
        <v>5387.3</v>
      </c>
      <c r="E539" s="3">
        <v>23719.37</v>
      </c>
      <c r="F539" s="3">
        <v>14166.63</v>
      </c>
      <c r="G539" s="3">
        <v>1246.73</v>
      </c>
      <c r="H539" s="3">
        <v>2789.82</v>
      </c>
      <c r="I539" s="3">
        <v>8153.58</v>
      </c>
      <c r="J539" s="3">
        <v>34567.78</v>
      </c>
      <c r="K539" s="1">
        <v>19134.03</v>
      </c>
      <c r="L539" s="3">
        <v>1615.72</v>
      </c>
      <c r="M539" s="3">
        <v>10564.74</v>
      </c>
      <c r="N539" s="6">
        <f>VLOOKUP(A539,'[1]俄罗斯交易系统市值加权指数历史数据 (1)'!$A:$B,2,)</f>
        <v>1142.07</v>
      </c>
      <c r="O539" s="3">
        <v>4506.8500000000004</v>
      </c>
      <c r="P539" s="1">
        <v>508.04</v>
      </c>
      <c r="Q539" s="3">
        <v>9452.83</v>
      </c>
      <c r="R539" s="1">
        <v>964.71</v>
      </c>
      <c r="S539" s="3">
        <v>7070.6</v>
      </c>
      <c r="T539" s="3">
        <v>5842.66</v>
      </c>
      <c r="U539" s="3">
        <v>2892.79</v>
      </c>
      <c r="V539" s="6">
        <f>VLOOKUP(A539,[2]韩国KOSPI指数历史数据!$A:$B,2,)</f>
        <v>1860.7</v>
      </c>
      <c r="W539" s="6">
        <f>VLOOKUP(A539,[3]日经225指数历史数据!$A:$B,2,)</f>
        <v>19498.5</v>
      </c>
      <c r="X539" s="3">
        <v>1337.04</v>
      </c>
      <c r="Y539" s="6">
        <f>VLOOKUP(A539,[4]上证指数历史数据!$A:$B,2,)</f>
        <v>2796.63</v>
      </c>
      <c r="Z539" s="6">
        <f>VLOOKUP(A539,[5]深证成份指数历史数据!$A:$B,2,)</f>
        <v>10298.41</v>
      </c>
      <c r="AA539" s="6">
        <f>VLOOKUP(A539,[6]台湾加权指数历史数据!$A:$B,2,)</f>
        <v>10157.61</v>
      </c>
      <c r="AB539" s="3">
        <v>24300.33</v>
      </c>
      <c r="AC539" s="3">
        <v>2571.3200000000002</v>
      </c>
      <c r="AD539">
        <v>9111.9</v>
      </c>
      <c r="AE539" s="5">
        <f>VLOOKUP(A539,[7]越南VN30指数历史数据!$A:$B,2,)</f>
        <v>695.74</v>
      </c>
      <c r="AF539">
        <v>43837.45</v>
      </c>
      <c r="AG539" s="9">
        <v>11708.52</v>
      </c>
      <c r="AH539">
        <v>9300.27</v>
      </c>
      <c r="AI539">
        <v>908.65</v>
      </c>
      <c r="AJ539">
        <v>1748.64</v>
      </c>
    </row>
    <row r="540" spans="1:36" x14ac:dyDescent="0.3">
      <c r="A540" s="2">
        <v>43933</v>
      </c>
      <c r="B540" s="3">
        <v>29883.27</v>
      </c>
      <c r="C540" s="4">
        <v>78990</v>
      </c>
      <c r="D540" s="3">
        <v>5487.5</v>
      </c>
      <c r="E540" s="3">
        <v>24242.49</v>
      </c>
      <c r="F540" s="3">
        <v>14359.88</v>
      </c>
      <c r="G540" s="3">
        <v>1229.0999999999999</v>
      </c>
      <c r="H540" s="3">
        <v>2874.56</v>
      </c>
      <c r="I540" s="3">
        <v>8650.14</v>
      </c>
      <c r="J540" s="3">
        <v>34743.1</v>
      </c>
      <c r="K540" s="1">
        <v>19160.189999999999</v>
      </c>
      <c r="L540" s="3">
        <v>1625.59</v>
      </c>
      <c r="M540" s="3">
        <v>10625.78</v>
      </c>
      <c r="N540" s="6">
        <f>VLOOKUP(A540,'[1]俄罗斯交易系统市值加权指数历史数据 (1)'!$A:$B,2,)</f>
        <v>1078.69</v>
      </c>
      <c r="O540" s="3">
        <v>4499.01</v>
      </c>
      <c r="P540" s="1">
        <v>505.82</v>
      </c>
      <c r="Q540" s="3">
        <v>9612.83</v>
      </c>
      <c r="R540" s="1">
        <v>981.8</v>
      </c>
      <c r="S540" s="3">
        <v>6875.8</v>
      </c>
      <c r="T540" s="3">
        <v>5786.96</v>
      </c>
      <c r="U540" s="3">
        <v>2888.3</v>
      </c>
      <c r="V540" s="6">
        <f>VLOOKUP(A540,[2]韩国KOSPI指数历史数据!$A:$B,2,)</f>
        <v>1914.53</v>
      </c>
      <c r="W540" s="6">
        <f>VLOOKUP(A540,[3]日经225指数历史数据!$A:$B,2,)</f>
        <v>19897.259999999998</v>
      </c>
      <c r="X540" s="3">
        <v>1324.22</v>
      </c>
      <c r="Y540" s="6">
        <f>VLOOKUP(A540,[4]上证指数历史数据!$A:$B,2,)</f>
        <v>2838.49</v>
      </c>
      <c r="Z540" s="6">
        <f>VLOOKUP(A540,[5]深证成份指数历史数据!$A:$B,2,)</f>
        <v>10527.99</v>
      </c>
      <c r="AA540" s="6">
        <f>VLOOKUP(A540,[6]台湾加权指数历史数据!$A:$B,2,)</f>
        <v>10597.04</v>
      </c>
      <c r="AB540" s="3">
        <v>24380</v>
      </c>
      <c r="AC540" s="3">
        <v>2614.6</v>
      </c>
      <c r="AD540">
        <v>9266.75</v>
      </c>
      <c r="AE540" s="5">
        <f>VLOOKUP(A540,[7]越南VN30指数历史数据!$A:$B,2,)</f>
        <v>734.98</v>
      </c>
      <c r="AF540">
        <v>45044.37</v>
      </c>
      <c r="AG540" s="9">
        <v>11771.14</v>
      </c>
      <c r="AH540">
        <v>9084.8799999999992</v>
      </c>
      <c r="AI540">
        <v>983.01</v>
      </c>
      <c r="AJ540">
        <v>1758.11</v>
      </c>
    </row>
    <row r="541" spans="1:36" x14ac:dyDescent="0.3">
      <c r="A541" s="2">
        <v>43940</v>
      </c>
      <c r="B541" s="3">
        <v>29258.1</v>
      </c>
      <c r="C541" s="4">
        <v>75331</v>
      </c>
      <c r="D541" s="3">
        <v>5242.6000000000004</v>
      </c>
      <c r="E541" s="3">
        <v>23775.27</v>
      </c>
      <c r="F541" s="3">
        <v>14420.36</v>
      </c>
      <c r="G541" s="3">
        <v>1233.05</v>
      </c>
      <c r="H541" s="3">
        <v>2836.74</v>
      </c>
      <c r="I541" s="3">
        <v>8634.52</v>
      </c>
      <c r="J541" s="3">
        <v>34586.82</v>
      </c>
      <c r="K541" s="1">
        <v>18483.21</v>
      </c>
      <c r="L541" s="3">
        <v>1601.91</v>
      </c>
      <c r="M541" s="3">
        <v>10336.09</v>
      </c>
      <c r="N541" s="6">
        <f>VLOOKUP(A541,'[1]俄罗斯交易系统市值加权指数历史数据 (1)'!$A:$B,2,)</f>
        <v>1081.32</v>
      </c>
      <c r="O541" s="3">
        <v>4393.32</v>
      </c>
      <c r="P541" s="1">
        <v>504.94</v>
      </c>
      <c r="Q541" s="3">
        <v>9625.65</v>
      </c>
      <c r="R541" s="1">
        <v>987.59</v>
      </c>
      <c r="S541" s="3">
        <v>6613.9</v>
      </c>
      <c r="T541" s="3">
        <v>5752.23</v>
      </c>
      <c r="U541" s="3">
        <v>2809.07</v>
      </c>
      <c r="V541" s="6">
        <f>VLOOKUP(A541,[2]韩国KOSPI指数历史数据!$A:$B,2,)</f>
        <v>1889.01</v>
      </c>
      <c r="W541" s="6">
        <f>VLOOKUP(A541,[3]日经225指数历史数据!$A:$B,2,)</f>
        <v>19262</v>
      </c>
      <c r="X541" s="3">
        <v>1368.15</v>
      </c>
      <c r="Y541" s="6">
        <f>VLOOKUP(A541,[4]上证指数历史数据!$A:$B,2,)</f>
        <v>2808.53</v>
      </c>
      <c r="Z541" s="6">
        <f>VLOOKUP(A541,[5]深证成份指数历史数据!$A:$B,2,)</f>
        <v>10423.459999999999</v>
      </c>
      <c r="AA541" s="6">
        <f>VLOOKUP(A541,[6]台湾加权指数历史数据!$A:$B,2,)</f>
        <v>10347.36</v>
      </c>
      <c r="AB541" s="3">
        <v>23831.33</v>
      </c>
      <c r="AC541" s="3">
        <v>2518.16</v>
      </c>
      <c r="AD541">
        <v>9154.4</v>
      </c>
      <c r="AE541" s="5">
        <f>VLOOKUP(A541,[7]越南VN30指数历史数据!$A:$B,2,)</f>
        <v>725.05</v>
      </c>
      <c r="AF541">
        <v>45595.47</v>
      </c>
      <c r="AG541" s="9">
        <v>11786.05</v>
      </c>
      <c r="AH541">
        <v>9043.76</v>
      </c>
      <c r="AI541">
        <v>967.99</v>
      </c>
      <c r="AJ541">
        <v>1766.73</v>
      </c>
    </row>
    <row r="542" spans="1:36" x14ac:dyDescent="0.3">
      <c r="A542" s="2">
        <v>43947</v>
      </c>
      <c r="B542" s="3">
        <v>32742.84</v>
      </c>
      <c r="C542" s="4">
        <v>80506</v>
      </c>
      <c r="D542" s="3">
        <v>5245.9</v>
      </c>
      <c r="E542" s="3">
        <v>23723.69</v>
      </c>
      <c r="F542" s="3">
        <v>14620.34</v>
      </c>
      <c r="G542" s="3">
        <v>1260.48</v>
      </c>
      <c r="H542" s="3">
        <v>2830.71</v>
      </c>
      <c r="I542" s="3">
        <v>8604.9500000000007</v>
      </c>
      <c r="J542" s="3">
        <v>36470.11</v>
      </c>
      <c r="K542" s="1">
        <v>19823.330000000002</v>
      </c>
      <c r="L542" s="3">
        <v>1648.68</v>
      </c>
      <c r="M542" s="3">
        <v>10861.64</v>
      </c>
      <c r="N542" s="6">
        <f>VLOOKUP(A542,'[1]俄罗斯交易系统市值加权指数历史数据 (1)'!$A:$B,2,)</f>
        <v>1125.03</v>
      </c>
      <c r="O542" s="3">
        <v>4572.18</v>
      </c>
      <c r="P542" s="1">
        <v>512.91999999999996</v>
      </c>
      <c r="Q542" s="3">
        <v>9629.4</v>
      </c>
      <c r="R542" s="3">
        <v>1011.1</v>
      </c>
      <c r="S542" s="3">
        <v>6922.3</v>
      </c>
      <c r="T542" s="3">
        <v>5763.06</v>
      </c>
      <c r="U542" s="3">
        <v>2927.93</v>
      </c>
      <c r="V542" s="6">
        <f>VLOOKUP(A542,[2]韩国KOSPI指数历史数据!$A:$B,2,)</f>
        <v>1947.56</v>
      </c>
      <c r="W542" s="6">
        <f>VLOOKUP(A542,[3]日经225指数历史数据!$A:$B,2,)</f>
        <v>19619.349999999999</v>
      </c>
      <c r="X542" s="3">
        <v>1425.81</v>
      </c>
      <c r="Y542" s="6">
        <f>VLOOKUP(A542,[4]上证指数历史数据!$A:$B,2,)</f>
        <v>2860.08</v>
      </c>
      <c r="Z542" s="6">
        <f>VLOOKUP(A542,[5]深证成份指数历史数据!$A:$B,2,)</f>
        <v>10721.78</v>
      </c>
      <c r="AA542" s="6">
        <f>VLOOKUP(A542,[6]台湾加权指数历史数据!$A:$B,2,)</f>
        <v>10992.14</v>
      </c>
      <c r="AB542" s="3">
        <v>24643.59</v>
      </c>
      <c r="AC542" s="3">
        <v>2624.23</v>
      </c>
      <c r="AD542">
        <v>9859.9</v>
      </c>
      <c r="AE542" s="5">
        <f>VLOOKUP(A542,[7]越南VN30指数历史数据!$A:$B,2,)</f>
        <v>715.33</v>
      </c>
      <c r="AF542">
        <v>46348.26</v>
      </c>
      <c r="AG542" s="9">
        <v>12260.88</v>
      </c>
      <c r="AH542">
        <v>9400.7000000000007</v>
      </c>
      <c r="AI542">
        <v>987.17</v>
      </c>
      <c r="AJ542">
        <v>1783.33</v>
      </c>
    </row>
    <row r="543" spans="1:36" x14ac:dyDescent="0.3">
      <c r="A543" s="2">
        <v>43954</v>
      </c>
      <c r="B543" s="3">
        <v>36183.9</v>
      </c>
      <c r="C543" s="4">
        <v>80263</v>
      </c>
      <c r="D543" s="3">
        <v>5391.1</v>
      </c>
      <c r="E543" s="3">
        <v>24331.32</v>
      </c>
      <c r="F543" s="3">
        <v>14966.56</v>
      </c>
      <c r="G543" s="3">
        <v>1329.64</v>
      </c>
      <c r="H543" s="3">
        <v>2929.8</v>
      </c>
      <c r="I543" s="3">
        <v>9121.32</v>
      </c>
      <c r="J543" s="3">
        <v>37623.68</v>
      </c>
      <c r="K543" s="1">
        <v>19172.32</v>
      </c>
      <c r="L543" s="3">
        <v>1606.5</v>
      </c>
      <c r="M543" s="3">
        <v>10904.48</v>
      </c>
      <c r="N543" s="6">
        <f>VLOOKUP(A543,'[1]俄罗斯交易系统市值加权指数历史数据 (1)'!$A:$B,2,)</f>
        <v>1136.3399999999999</v>
      </c>
      <c r="O543" s="3">
        <v>4549.6400000000003</v>
      </c>
      <c r="P543" s="1">
        <v>520.57000000000005</v>
      </c>
      <c r="Q543" s="3">
        <v>9665.35</v>
      </c>
      <c r="R543" s="1">
        <v>978.45</v>
      </c>
      <c r="S543" s="3">
        <v>6783.1</v>
      </c>
      <c r="T543" s="3">
        <v>5935.98</v>
      </c>
      <c r="U543" s="3">
        <v>2908.11</v>
      </c>
      <c r="V543" s="6">
        <f>VLOOKUP(A543,[2]韩国KOSPI指数历史数据!$A:$B,2,)</f>
        <v>1945.82</v>
      </c>
      <c r="W543" s="6">
        <f>VLOOKUP(A543,[3]日经225指数历史数据!$A:$B,2,)</f>
        <v>20179.09</v>
      </c>
      <c r="X543" s="3">
        <v>1434.95</v>
      </c>
      <c r="Y543" s="6">
        <f>VLOOKUP(A543,[4]上证指数历史数据!$A:$B,2,)</f>
        <v>2895.34</v>
      </c>
      <c r="Z543" s="6">
        <f>VLOOKUP(A543,[5]深证成份指数历史数据!$A:$B,2,)</f>
        <v>11001.58</v>
      </c>
      <c r="AA543" s="6">
        <f>VLOOKUP(A543,[6]台湾加权指数历史数据!$A:$B,2,)</f>
        <v>10901.42</v>
      </c>
      <c r="AB543" s="3">
        <v>24230.17</v>
      </c>
      <c r="AC543" s="3">
        <v>2591.88</v>
      </c>
      <c r="AD543">
        <v>9251.5</v>
      </c>
      <c r="AE543" s="5">
        <f>VLOOKUP(A543,[7]越南VN30指数历史数据!$A:$B,2,)</f>
        <v>760.15</v>
      </c>
      <c r="AF543">
        <v>47061.57</v>
      </c>
      <c r="AG543" s="9">
        <v>11678.35</v>
      </c>
      <c r="AH543">
        <v>9517.11</v>
      </c>
      <c r="AI543">
        <v>1035.45</v>
      </c>
      <c r="AJ543">
        <v>1854.59</v>
      </c>
    </row>
    <row r="544" spans="1:36" x14ac:dyDescent="0.3">
      <c r="A544" s="2">
        <v>43961</v>
      </c>
      <c r="B544" s="3">
        <v>39388.33</v>
      </c>
      <c r="C544" s="4">
        <v>77557</v>
      </c>
      <c r="D544" s="3">
        <v>5404.8</v>
      </c>
      <c r="E544" s="3">
        <v>23685.42</v>
      </c>
      <c r="F544" s="3">
        <v>14638.9</v>
      </c>
      <c r="G544" s="3">
        <v>1256.99</v>
      </c>
      <c r="H544" s="3">
        <v>2863.7</v>
      </c>
      <c r="I544" s="3">
        <v>9014.56</v>
      </c>
      <c r="J544" s="3">
        <v>35691.39</v>
      </c>
      <c r="K544" s="1">
        <v>18213.330000000002</v>
      </c>
      <c r="L544" s="3">
        <v>1572.55</v>
      </c>
      <c r="M544" s="3">
        <v>10465.17</v>
      </c>
      <c r="N544" s="6">
        <f>VLOOKUP(A544,'[1]俄罗斯交易系统市值加权指数历史数据 (1)'!$A:$B,2,)</f>
        <v>1107.49</v>
      </c>
      <c r="O544" s="3">
        <v>4277.63</v>
      </c>
      <c r="P544" s="1">
        <v>500.31</v>
      </c>
      <c r="Q544" s="3">
        <v>9483.1</v>
      </c>
      <c r="R544" s="1">
        <v>997.68</v>
      </c>
      <c r="S544" s="3">
        <v>6474.9</v>
      </c>
      <c r="T544" s="3">
        <v>5799.77</v>
      </c>
      <c r="U544" s="3">
        <v>2770.7</v>
      </c>
      <c r="V544" s="6">
        <f>VLOOKUP(A544,[2]韩国KOSPI指数历史数据!$A:$B,2,)</f>
        <v>1927.28</v>
      </c>
      <c r="W544" s="6">
        <f>VLOOKUP(A544,[3]日经225指数历史数据!$A:$B,2,)</f>
        <v>20037.47</v>
      </c>
      <c r="X544" s="3">
        <v>1353.88</v>
      </c>
      <c r="Y544" s="6">
        <f>VLOOKUP(A544,[4]上证指数历史数据!$A:$B,2,)</f>
        <v>2868.46</v>
      </c>
      <c r="Z544" s="6">
        <f>VLOOKUP(A544,[5]深证成份指数历史数据!$A:$B,2,)</f>
        <v>10964.89</v>
      </c>
      <c r="AA544" s="6">
        <f>VLOOKUP(A544,[6]台湾加权指数历史数据!$A:$B,2,)</f>
        <v>10814.92</v>
      </c>
      <c r="AB544" s="3">
        <v>23797.47</v>
      </c>
      <c r="AC544" s="3">
        <v>2523.5500000000002</v>
      </c>
      <c r="AD544">
        <v>9136.85</v>
      </c>
      <c r="AE544" s="5">
        <f>VLOOKUP(A544,[7]越南VN30指数历史数据!$A:$B,2,)</f>
        <v>773.95</v>
      </c>
      <c r="AF544">
        <v>45948.36</v>
      </c>
      <c r="AG544" s="9">
        <v>11783.92</v>
      </c>
      <c r="AH544">
        <v>9413.67</v>
      </c>
      <c r="AI544">
        <v>1027.78</v>
      </c>
      <c r="AJ544">
        <v>1800.64</v>
      </c>
    </row>
    <row r="545" spans="1:36" x14ac:dyDescent="0.3">
      <c r="A545" s="2">
        <v>43968</v>
      </c>
      <c r="B545" s="3">
        <v>40962.74</v>
      </c>
      <c r="C545" s="4">
        <v>82173</v>
      </c>
      <c r="D545" s="3">
        <v>5497</v>
      </c>
      <c r="E545" s="3">
        <v>24465.16</v>
      </c>
      <c r="F545" s="3">
        <v>14913.64</v>
      </c>
      <c r="G545" s="3">
        <v>1355.53</v>
      </c>
      <c r="H545" s="3">
        <v>2955.45</v>
      </c>
      <c r="I545" s="3">
        <v>9324.59</v>
      </c>
      <c r="J545" s="3">
        <v>35784.42</v>
      </c>
      <c r="K545" s="1">
        <v>18773.02</v>
      </c>
      <c r="L545" s="3">
        <v>1630.44</v>
      </c>
      <c r="M545" s="3">
        <v>11073.87</v>
      </c>
      <c r="N545" s="6">
        <f>VLOOKUP(A545,'[1]俄罗斯交易系统市值加权指数历史数据 (1)'!$A:$B,2,)</f>
        <v>1188.47</v>
      </c>
      <c r="O545" s="3">
        <v>4444.5600000000004</v>
      </c>
      <c r="P545" s="1">
        <v>524.38</v>
      </c>
      <c r="Q545" s="3">
        <v>9688.99</v>
      </c>
      <c r="R545" s="3">
        <v>1030.24</v>
      </c>
      <c r="S545" s="3">
        <v>6697.5</v>
      </c>
      <c r="T545" s="3">
        <v>5993.28</v>
      </c>
      <c r="U545" s="3">
        <v>2905.47</v>
      </c>
      <c r="V545" s="6">
        <f>VLOOKUP(A545,[2]韩国KOSPI指数历史数据!$A:$B,2,)</f>
        <v>1970.13</v>
      </c>
      <c r="W545" s="6">
        <f>VLOOKUP(A545,[3]日经225指数历史数据!$A:$B,2,)</f>
        <v>20388.16</v>
      </c>
      <c r="X545" s="3">
        <v>1424.64</v>
      </c>
      <c r="Y545" s="6">
        <f>VLOOKUP(A545,[4]上证指数历史数据!$A:$B,2,)</f>
        <v>2813.77</v>
      </c>
      <c r="Z545" s="6">
        <f>VLOOKUP(A545,[5]深证成份指数历史数据!$A:$B,2,)</f>
        <v>10604.97</v>
      </c>
      <c r="AA545" s="6">
        <f>VLOOKUP(A545,[6]台湾加权指数历史数据!$A:$B,2,)</f>
        <v>10811.15</v>
      </c>
      <c r="AB545" s="3">
        <v>22930.14</v>
      </c>
      <c r="AC545" s="3">
        <v>2499.83</v>
      </c>
      <c r="AD545">
        <v>9039.25</v>
      </c>
      <c r="AE545" s="5">
        <f>VLOOKUP(A545,[7]越南VN30指数历史数据!$A:$B,2,)</f>
        <v>803.14</v>
      </c>
      <c r="AF545">
        <v>46432.04</v>
      </c>
      <c r="AG545" s="9">
        <v>11626.76</v>
      </c>
      <c r="AH545">
        <v>9691.94</v>
      </c>
      <c r="AI545">
        <v>1094.07</v>
      </c>
      <c r="AJ545">
        <v>1806.88</v>
      </c>
    </row>
    <row r="546" spans="1:36" x14ac:dyDescent="0.3">
      <c r="A546" s="2">
        <v>43975</v>
      </c>
      <c r="B546" s="3">
        <v>37824.730000000003</v>
      </c>
      <c r="C546" s="4">
        <v>87403</v>
      </c>
      <c r="D546" s="3">
        <v>5755.7</v>
      </c>
      <c r="E546" s="3">
        <v>25383.11</v>
      </c>
      <c r="F546" s="3">
        <v>15192.83</v>
      </c>
      <c r="G546" s="3">
        <v>1394.04</v>
      </c>
      <c r="H546" s="3">
        <v>3044.31</v>
      </c>
      <c r="I546" s="3">
        <v>9489.8700000000008</v>
      </c>
      <c r="J546" s="3">
        <v>36122.730000000003</v>
      </c>
      <c r="K546" s="1">
        <v>18362.54</v>
      </c>
      <c r="L546" s="3">
        <v>1722.65</v>
      </c>
      <c r="M546" s="3">
        <v>11586.85</v>
      </c>
      <c r="N546" s="6">
        <f>VLOOKUP(A546,'[1]俄罗斯交易系统市值加权指数历史数据 (1)'!$A:$B,2,)</f>
        <v>1219.76</v>
      </c>
      <c r="O546" s="3">
        <v>4695.4399999999996</v>
      </c>
      <c r="P546" s="1">
        <v>532.57000000000005</v>
      </c>
      <c r="Q546" s="3">
        <v>9831.49</v>
      </c>
      <c r="R546" s="3">
        <v>1055.2</v>
      </c>
      <c r="S546" s="3">
        <v>7096.5</v>
      </c>
      <c r="T546" s="3">
        <v>6076.6</v>
      </c>
      <c r="U546" s="3">
        <v>3050.2</v>
      </c>
      <c r="V546" s="6">
        <f>VLOOKUP(A546,[2]韩国KOSPI指数历史数据!$A:$B,2,)</f>
        <v>2029.6</v>
      </c>
      <c r="W546" s="6">
        <f>VLOOKUP(A546,[3]日经225指数历史数据!$A:$B,2,)</f>
        <v>21877.89</v>
      </c>
      <c r="X546" s="3">
        <v>1440.15</v>
      </c>
      <c r="Y546" s="6">
        <f>VLOOKUP(A546,[4]上证指数历史数据!$A:$B,2,)</f>
        <v>2852.35</v>
      </c>
      <c r="Z546" s="6">
        <f>VLOOKUP(A546,[5]深证成份指数历史数据!$A:$B,2,)</f>
        <v>10746.08</v>
      </c>
      <c r="AA546" s="6">
        <f>VLOOKUP(A546,[6]台湾加权指数历史数据!$A:$B,2,)</f>
        <v>10942.16</v>
      </c>
      <c r="AB546" s="3">
        <v>22961.47</v>
      </c>
      <c r="AC546" s="3">
        <v>2510.75</v>
      </c>
      <c r="AD546">
        <v>9580.2999999999993</v>
      </c>
      <c r="AE546" s="5">
        <f>VLOOKUP(A546,[7]越南VN30指数历史数据!$A:$B,2,)</f>
        <v>806.23</v>
      </c>
      <c r="AF546">
        <v>46544.79</v>
      </c>
      <c r="AG546" s="9" t="e">
        <v>#N/A</v>
      </c>
      <c r="AH546">
        <v>9852.7999999999993</v>
      </c>
      <c r="AI546">
        <v>1096.28</v>
      </c>
      <c r="AJ546">
        <v>1809.09</v>
      </c>
    </row>
    <row r="547" spans="1:36" x14ac:dyDescent="0.3">
      <c r="A547" s="2">
        <v>43982</v>
      </c>
      <c r="B547" s="3">
        <v>45128.75</v>
      </c>
      <c r="C547" s="4">
        <v>94637</v>
      </c>
      <c r="D547" s="3">
        <v>5998.7</v>
      </c>
      <c r="E547" s="3">
        <v>27110.98</v>
      </c>
      <c r="F547" s="3">
        <v>15854.07</v>
      </c>
      <c r="G547" s="3">
        <v>1507.15</v>
      </c>
      <c r="H547" s="3">
        <v>3193.93</v>
      </c>
      <c r="I547" s="3">
        <v>9814.08</v>
      </c>
      <c r="J547" s="3">
        <v>38948.080000000002</v>
      </c>
      <c r="K547" s="1">
        <v>20215.54</v>
      </c>
      <c r="L547" s="3">
        <v>1842.47</v>
      </c>
      <c r="M547" s="3">
        <v>12847.68</v>
      </c>
      <c r="N547" s="6">
        <f>VLOOKUP(A547,'[1]俄罗斯交易系统市值加权指数历史数据 (1)'!$A:$B,2,)</f>
        <v>1285.78</v>
      </c>
      <c r="O547" s="3">
        <v>5197.79</v>
      </c>
      <c r="P547" s="1">
        <v>572.79999999999995</v>
      </c>
      <c r="Q547" s="3">
        <v>10190.370000000001</v>
      </c>
      <c r="R547" s="3">
        <v>1100.22</v>
      </c>
      <c r="S547" s="3">
        <v>7872.6</v>
      </c>
      <c r="T547" s="3">
        <v>6484.3</v>
      </c>
      <c r="U547" s="3">
        <v>3384.29</v>
      </c>
      <c r="V547" s="6">
        <f>VLOOKUP(A547,[2]韩国KOSPI指数历史数据!$A:$B,2,)</f>
        <v>2181.87</v>
      </c>
      <c r="W547" s="6">
        <f>VLOOKUP(A547,[3]日经225指数历史数据!$A:$B,2,)</f>
        <v>22863.73</v>
      </c>
      <c r="X547" s="3">
        <v>1439.99</v>
      </c>
      <c r="Y547" s="6">
        <f>VLOOKUP(A547,[4]上证指数历史数据!$A:$B,2,)</f>
        <v>2930.8</v>
      </c>
      <c r="Z547" s="6">
        <f>VLOOKUP(A547,[5]深证成份指数历史数据!$A:$B,2,)</f>
        <v>11180.6</v>
      </c>
      <c r="AA547" s="6">
        <f>VLOOKUP(A547,[6]台湾加权指数历史数据!$A:$B,2,)</f>
        <v>11479.4</v>
      </c>
      <c r="AB547" s="3">
        <v>24770.41</v>
      </c>
      <c r="AC547" s="3">
        <v>2751.5</v>
      </c>
      <c r="AD547">
        <v>10142.15</v>
      </c>
      <c r="AE547" s="5">
        <f>VLOOKUP(A547,[7]越南VN30指数历史数据!$A:$B,2,)</f>
        <v>826.47</v>
      </c>
      <c r="AF547">
        <v>50199.8</v>
      </c>
      <c r="AG547" s="9">
        <v>12185.43</v>
      </c>
      <c r="AH547">
        <v>10124.27</v>
      </c>
      <c r="AI547">
        <v>1086.46</v>
      </c>
      <c r="AJ547">
        <v>1804.49</v>
      </c>
    </row>
    <row r="548" spans="1:36" x14ac:dyDescent="0.3">
      <c r="A548" s="2">
        <v>43989</v>
      </c>
      <c r="B548" s="3">
        <v>43417.15</v>
      </c>
      <c r="C548" s="4">
        <v>92795</v>
      </c>
      <c r="D548" s="3">
        <v>5847.8</v>
      </c>
      <c r="E548" s="3">
        <v>25605.54</v>
      </c>
      <c r="F548" s="3">
        <v>15256.57</v>
      </c>
      <c r="G548" s="3">
        <v>1387.68</v>
      </c>
      <c r="H548" s="3">
        <v>3041.31</v>
      </c>
      <c r="I548" s="3">
        <v>9588.81</v>
      </c>
      <c r="J548" s="3">
        <v>37679.24</v>
      </c>
      <c r="K548" s="1">
        <v>19990.18</v>
      </c>
      <c r="L548" s="3">
        <v>1788.83</v>
      </c>
      <c r="M548" s="3">
        <v>11949.28</v>
      </c>
      <c r="N548" s="6">
        <f>VLOOKUP(A548,'[1]俄罗斯交易系统市值加权指数历史数据 (1)'!$A:$B,2,)</f>
        <v>1238.1099999999999</v>
      </c>
      <c r="O548" s="3">
        <v>4839.26</v>
      </c>
      <c r="P548" s="1">
        <v>545.16</v>
      </c>
      <c r="Q548" s="3">
        <v>9796.3700000000008</v>
      </c>
      <c r="R548" s="3">
        <v>1098.3499999999999</v>
      </c>
      <c r="S548" s="3">
        <v>7292.7</v>
      </c>
      <c r="T548" s="3">
        <v>6105.18</v>
      </c>
      <c r="U548" s="3">
        <v>3153.74</v>
      </c>
      <c r="V548" s="6">
        <f>VLOOKUP(A548,[2]韩国KOSPI指数历史数据!$A:$B,2,)</f>
        <v>2132.3000000000002</v>
      </c>
      <c r="W548" s="6">
        <f>VLOOKUP(A548,[3]日经225指数历史数据!$A:$B,2,)</f>
        <v>22305.48</v>
      </c>
      <c r="X548" s="3">
        <v>1441.37</v>
      </c>
      <c r="Y548" s="6">
        <f>VLOOKUP(A548,[4]上证指数历史数据!$A:$B,2,)</f>
        <v>2919.74</v>
      </c>
      <c r="Z548" s="6">
        <f>VLOOKUP(A548,[5]深证成份指数历史数据!$A:$B,2,)</f>
        <v>11251.71</v>
      </c>
      <c r="AA548" s="6">
        <f>VLOOKUP(A548,[6]台湾加权指数历史数据!$A:$B,2,)</f>
        <v>11429.94</v>
      </c>
      <c r="AB548" s="3">
        <v>24301.38</v>
      </c>
      <c r="AC548" s="3">
        <v>2684.63</v>
      </c>
      <c r="AD548">
        <v>9972.9</v>
      </c>
      <c r="AE548" s="5">
        <f>VLOOKUP(A548,[7]越南VN30指数历史数据!$A:$B,2,)</f>
        <v>807.76</v>
      </c>
      <c r="AF548">
        <v>49247.69</v>
      </c>
      <c r="AG548" s="9">
        <v>12408.26</v>
      </c>
      <c r="AH548">
        <v>9927.06</v>
      </c>
      <c r="AI548">
        <v>1094.5</v>
      </c>
      <c r="AJ548">
        <v>1807.47</v>
      </c>
    </row>
    <row r="549" spans="1:36" x14ac:dyDescent="0.3">
      <c r="A549" s="2">
        <v>43996</v>
      </c>
      <c r="B549" s="3">
        <v>40951.449999999997</v>
      </c>
      <c r="C549" s="4">
        <v>96572</v>
      </c>
      <c r="D549" s="3">
        <v>5942.6</v>
      </c>
      <c r="E549" s="3">
        <v>25871.46</v>
      </c>
      <c r="F549" s="3">
        <v>15474.2</v>
      </c>
      <c r="G549" s="3">
        <v>1418.63</v>
      </c>
      <c r="H549" s="3">
        <v>3097.74</v>
      </c>
      <c r="I549" s="3">
        <v>9946.1200000000008</v>
      </c>
      <c r="J549" s="3">
        <v>38404.629999999997</v>
      </c>
      <c r="K549" s="1">
        <v>20234.55</v>
      </c>
      <c r="L549" s="3">
        <v>1807.85</v>
      </c>
      <c r="M549" s="3">
        <v>12330.76</v>
      </c>
      <c r="N549" s="6">
        <f>VLOOKUP(A549,'[1]俄罗斯交易系统市值加权指数历史数据 (1)'!$A:$B,2,)</f>
        <v>1249.67</v>
      </c>
      <c r="O549" s="3">
        <v>4979.45</v>
      </c>
      <c r="P549" s="1">
        <v>567.83000000000004</v>
      </c>
      <c r="Q549" s="3">
        <v>10266.290000000001</v>
      </c>
      <c r="R549" s="3">
        <v>1136.1199999999999</v>
      </c>
      <c r="S549" s="3">
        <v>7414.2</v>
      </c>
      <c r="T549" s="3">
        <v>6292.6</v>
      </c>
      <c r="U549" s="3">
        <v>3269.1</v>
      </c>
      <c r="V549" s="6">
        <f>VLOOKUP(A549,[2]韩国KOSPI指数历史数据!$A:$B,2,)</f>
        <v>2141.3200000000002</v>
      </c>
      <c r="W549" s="6">
        <f>VLOOKUP(A549,[3]日经225指数历史数据!$A:$B,2,)</f>
        <v>22478.79</v>
      </c>
      <c r="X549" s="3">
        <v>1424.71</v>
      </c>
      <c r="Y549" s="6">
        <f>VLOOKUP(A549,[4]上证指数历史数据!$A:$B,2,)</f>
        <v>2967.63</v>
      </c>
      <c r="Z549" s="6">
        <f>VLOOKUP(A549,[5]深证成份指数历史数据!$A:$B,2,)</f>
        <v>11668.13</v>
      </c>
      <c r="AA549" s="6">
        <f>VLOOKUP(A549,[6]台湾加权指数历史数据!$A:$B,2,)</f>
        <v>11549.86</v>
      </c>
      <c r="AB549" s="3">
        <v>24643.89</v>
      </c>
      <c r="AC549" s="3">
        <v>2634.83</v>
      </c>
      <c r="AD549">
        <v>10244.4</v>
      </c>
      <c r="AE549" s="5">
        <f>VLOOKUP(A549,[7]越南VN30指数历史数据!$A:$B,2,)</f>
        <v>808.28</v>
      </c>
      <c r="AF549">
        <v>49812.34</v>
      </c>
      <c r="AG549" s="9">
        <v>12408.8</v>
      </c>
      <c r="AH549">
        <v>10356.280000000001</v>
      </c>
      <c r="AI549">
        <v>1078.56</v>
      </c>
      <c r="AJ549">
        <v>1834.31</v>
      </c>
    </row>
    <row r="550" spans="1:36" x14ac:dyDescent="0.3">
      <c r="A550" s="2">
        <v>44003</v>
      </c>
      <c r="B550" s="3">
        <v>40589.89</v>
      </c>
      <c r="C550" s="4">
        <v>93834</v>
      </c>
      <c r="D550" s="3">
        <v>5904.1</v>
      </c>
      <c r="E550" s="3">
        <v>25015.55</v>
      </c>
      <c r="F550" s="3">
        <v>15188.98</v>
      </c>
      <c r="G550" s="3">
        <v>1378.78</v>
      </c>
      <c r="H550" s="3">
        <v>3009.05</v>
      </c>
      <c r="I550" s="3">
        <v>9757.2199999999993</v>
      </c>
      <c r="J550" s="3">
        <v>37431.949999999997</v>
      </c>
      <c r="K550" s="1">
        <v>20100.36</v>
      </c>
      <c r="L550" s="3">
        <v>1759.43</v>
      </c>
      <c r="M550" s="3">
        <v>12089.39</v>
      </c>
      <c r="N550" s="6">
        <f>VLOOKUP(A550,'[1]俄罗斯交易系统市值加权指数历史数据 (1)'!$A:$B,2,)</f>
        <v>1246.74</v>
      </c>
      <c r="O550" s="3">
        <v>4909.6400000000003</v>
      </c>
      <c r="P550" s="1">
        <v>559.82000000000005</v>
      </c>
      <c r="Q550" s="3">
        <v>10041.91</v>
      </c>
      <c r="R550" s="3">
        <v>1146.68</v>
      </c>
      <c r="S550" s="3">
        <v>7178.4</v>
      </c>
      <c r="T550" s="3">
        <v>6159.3</v>
      </c>
      <c r="U550" s="3">
        <v>3204.17</v>
      </c>
      <c r="V550" s="6">
        <f>VLOOKUP(A550,[2]韩国KOSPI指数历史数据!$A:$B,2,)</f>
        <v>2134.65</v>
      </c>
      <c r="W550" s="6">
        <f>VLOOKUP(A550,[3]日经225指数历史数据!$A:$B,2,)</f>
        <v>22512.080000000002</v>
      </c>
      <c r="X550" s="3">
        <v>1362.68</v>
      </c>
      <c r="Y550" s="6">
        <f>VLOOKUP(A550,[4]上证指数历史数据!$A:$B,2,)</f>
        <v>2979.55</v>
      </c>
      <c r="Z550" s="6">
        <f>VLOOKUP(A550,[5]深证成份指数历史数据!$A:$B,2,)</f>
        <v>11813.53</v>
      </c>
      <c r="AA550" s="6">
        <f>VLOOKUP(A550,[6]台湾加权指数历史数据!$A:$B,2,)</f>
        <v>11660.67</v>
      </c>
      <c r="AB550" s="3">
        <v>24549.99</v>
      </c>
      <c r="AC550" s="3">
        <v>2604.5100000000002</v>
      </c>
      <c r="AD550">
        <v>10383</v>
      </c>
      <c r="AE550" s="5">
        <f>VLOOKUP(A550,[7]越南VN30指数历史数据!$A:$B,2,)</f>
        <v>795.53</v>
      </c>
      <c r="AF550">
        <v>49477.85</v>
      </c>
      <c r="AG550" s="9">
        <v>12587.53</v>
      </c>
      <c r="AH550">
        <v>10113.99</v>
      </c>
      <c r="AI550">
        <v>1067.98</v>
      </c>
      <c r="AJ550">
        <v>1831.96</v>
      </c>
    </row>
    <row r="551" spans="1:36" x14ac:dyDescent="0.3">
      <c r="A551" s="2">
        <v>44010</v>
      </c>
      <c r="B551" s="3">
        <v>39758.199999999997</v>
      </c>
      <c r="C551" s="4">
        <v>96765</v>
      </c>
      <c r="D551" s="3">
        <v>6057.9</v>
      </c>
      <c r="E551" s="3">
        <v>25827.360000000001</v>
      </c>
      <c r="F551" s="3">
        <v>15596.75</v>
      </c>
      <c r="G551" s="3">
        <v>1431.86</v>
      </c>
      <c r="H551" s="3">
        <v>3130.01</v>
      </c>
      <c r="I551" s="3">
        <v>10207.629999999999</v>
      </c>
      <c r="J551" s="3">
        <v>37950</v>
      </c>
      <c r="K551" s="1">
        <v>21147.759999999998</v>
      </c>
      <c r="L551" s="3">
        <v>1800.96</v>
      </c>
      <c r="M551" s="3">
        <v>12528.18</v>
      </c>
      <c r="N551" s="6">
        <f>VLOOKUP(A551,'[1]俄罗斯交易系统市值加权指数历史数据 (1)'!$A:$B,2,)</f>
        <v>1235.18</v>
      </c>
      <c r="O551" s="3">
        <v>5007.1400000000003</v>
      </c>
      <c r="P551" s="1">
        <v>568.63</v>
      </c>
      <c r="Q551" s="3">
        <v>10125.84</v>
      </c>
      <c r="R551" s="3">
        <v>1157.48</v>
      </c>
      <c r="S551" s="3">
        <v>7403.5</v>
      </c>
      <c r="T551" s="3">
        <v>6157.3</v>
      </c>
      <c r="U551" s="3">
        <v>3294.38</v>
      </c>
      <c r="V551" s="6">
        <f>VLOOKUP(A551,[2]韩国KOSPI指数历史数据!$A:$B,2,)</f>
        <v>2152.41</v>
      </c>
      <c r="W551" s="6">
        <f>VLOOKUP(A551,[3]日经225指数历史数据!$A:$B,2,)</f>
        <v>22306.48</v>
      </c>
      <c r="X551" s="3">
        <v>1405.33</v>
      </c>
      <c r="Y551" s="6">
        <f>VLOOKUP(A551,[4]上证指数历史数据!$A:$B,2,)</f>
        <v>3152.81</v>
      </c>
      <c r="Z551" s="6">
        <f>VLOOKUP(A551,[5]深证成份指数历史数据!$A:$B,2,)</f>
        <v>12433.26</v>
      </c>
      <c r="AA551" s="6">
        <f>VLOOKUP(A551,[6]台湾加权指数历史数据!$A:$B,2,)</f>
        <v>11909.16</v>
      </c>
      <c r="AB551" s="3">
        <v>25373.119999999999</v>
      </c>
      <c r="AC551" s="3">
        <v>2652.94</v>
      </c>
      <c r="AD551">
        <v>10607.35</v>
      </c>
      <c r="AE551" s="5">
        <f>VLOOKUP(A551,[7]越南VN30指数历史数据!$A:$B,2,)</f>
        <v>789.87</v>
      </c>
      <c r="AF551">
        <v>50179.89</v>
      </c>
      <c r="AG551" s="9">
        <v>12570.72</v>
      </c>
      <c r="AH551">
        <v>10225.67</v>
      </c>
      <c r="AI551">
        <v>1044.5</v>
      </c>
      <c r="AJ551">
        <v>1807.5</v>
      </c>
    </row>
    <row r="552" spans="1:36" x14ac:dyDescent="0.3">
      <c r="A552" s="2">
        <v>44017</v>
      </c>
      <c r="B552" s="3">
        <v>42747.55</v>
      </c>
      <c r="C552" s="4">
        <v>100032</v>
      </c>
      <c r="D552" s="3">
        <v>5919.2</v>
      </c>
      <c r="E552" s="3">
        <v>26075.3</v>
      </c>
      <c r="F552" s="3">
        <v>15713.82</v>
      </c>
      <c r="G552" s="3">
        <v>1422.68</v>
      </c>
      <c r="H552" s="3">
        <v>3185.04</v>
      </c>
      <c r="I552" s="3">
        <v>10617.44</v>
      </c>
      <c r="J552" s="3">
        <v>36465.46</v>
      </c>
      <c r="K552" s="1">
        <v>20369.25</v>
      </c>
      <c r="L552" s="3">
        <v>1797.27</v>
      </c>
      <c r="M552" s="3">
        <v>12633.71</v>
      </c>
      <c r="N552" s="6">
        <f>VLOOKUP(A552,'[1]俄罗斯交易系统市值加权指数历史数据 (1)'!$A:$B,2,)</f>
        <v>1245.6500000000001</v>
      </c>
      <c r="O552" s="3">
        <v>4970.4799999999996</v>
      </c>
      <c r="P552" s="1">
        <v>570.52</v>
      </c>
      <c r="Q552" s="3">
        <v>10229.969999999999</v>
      </c>
      <c r="R552" s="3">
        <v>1148.0899999999999</v>
      </c>
      <c r="S552" s="3">
        <v>7321.1</v>
      </c>
      <c r="T552" s="3">
        <v>6095.41</v>
      </c>
      <c r="U552" s="3">
        <v>3296.22</v>
      </c>
      <c r="V552" s="6">
        <f>VLOOKUP(A552,[2]韩国KOSPI指数历史数据!$A:$B,2,)</f>
        <v>2150.25</v>
      </c>
      <c r="W552" s="6">
        <f>VLOOKUP(A552,[3]日经225指数历史数据!$A:$B,2,)</f>
        <v>22290.81</v>
      </c>
      <c r="X552" s="3">
        <v>1361.24</v>
      </c>
      <c r="Y552" s="6">
        <f>VLOOKUP(A552,[4]上证指数历史数据!$A:$B,2,)</f>
        <v>3383.32</v>
      </c>
      <c r="Z552" s="6">
        <f>VLOOKUP(A552,[5]深证成份指数历史数据!$A:$B,2,)</f>
        <v>13671.24</v>
      </c>
      <c r="AA552" s="6">
        <f>VLOOKUP(A552,[6]台湾加权指数历史数据!$A:$B,2,)</f>
        <v>12073.68</v>
      </c>
      <c r="AB552" s="3">
        <v>25727.41</v>
      </c>
      <c r="AC552" s="3">
        <v>2652.65</v>
      </c>
      <c r="AD552">
        <v>10768.05</v>
      </c>
      <c r="AE552" s="5">
        <f>VLOOKUP(A552,[7]越南VN30指数历史数据!$A:$B,2,)</f>
        <v>809.02</v>
      </c>
      <c r="AF552">
        <v>51154.080000000002</v>
      </c>
      <c r="AG552" s="9">
        <v>12737.09</v>
      </c>
      <c r="AH552">
        <v>10148.91</v>
      </c>
      <c r="AI552">
        <v>1042.02</v>
      </c>
      <c r="AJ552">
        <v>1788.33</v>
      </c>
    </row>
    <row r="553" spans="1:36" x14ac:dyDescent="0.3">
      <c r="A553" s="2">
        <v>44024</v>
      </c>
      <c r="B553" s="3">
        <v>45475.24</v>
      </c>
      <c r="C553" s="4">
        <v>102888</v>
      </c>
      <c r="D553" s="3">
        <v>6033.6</v>
      </c>
      <c r="E553" s="3">
        <v>26671.95</v>
      </c>
      <c r="F553" s="3">
        <v>16123.48</v>
      </c>
      <c r="G553" s="3">
        <v>1473.32</v>
      </c>
      <c r="H553" s="3">
        <v>3224.73</v>
      </c>
      <c r="I553" s="3">
        <v>10503.19</v>
      </c>
      <c r="J553" s="3">
        <v>36327.839999999997</v>
      </c>
      <c r="K553" s="1">
        <v>20217.82</v>
      </c>
      <c r="L553" s="3">
        <v>1796.04</v>
      </c>
      <c r="M553" s="3">
        <v>12919.61</v>
      </c>
      <c r="N553" s="6">
        <f>VLOOKUP(A553,'[1]俄罗斯交易系统市值加权指数历史数据 (1)'!$A:$B,2,)</f>
        <v>1216.17</v>
      </c>
      <c r="O553" s="3">
        <v>5069.42</v>
      </c>
      <c r="P553" s="1">
        <v>573.79999999999995</v>
      </c>
      <c r="Q553" s="3">
        <v>10410.52</v>
      </c>
      <c r="R553" s="3">
        <v>1187.8599999999999</v>
      </c>
      <c r="S553" s="3">
        <v>7440.4</v>
      </c>
      <c r="T553" s="3">
        <v>6290.3</v>
      </c>
      <c r="U553" s="3">
        <v>3365.6</v>
      </c>
      <c r="V553" s="6">
        <f>VLOOKUP(A553,[2]韩国KOSPI指数历史数据!$A:$B,2,)</f>
        <v>2201.19</v>
      </c>
      <c r="W553" s="6">
        <f>VLOOKUP(A553,[3]日经225指数历史数据!$A:$B,2,)</f>
        <v>22696.42</v>
      </c>
      <c r="X553" s="3">
        <v>1388.39</v>
      </c>
      <c r="Y553" s="6">
        <f>VLOOKUP(A553,[4]上证指数历史数据!$A:$B,2,)</f>
        <v>3214.13</v>
      </c>
      <c r="Z553" s="6">
        <f>VLOOKUP(A553,[5]深证成份指数历史数据!$A:$B,2,)</f>
        <v>13114.94</v>
      </c>
      <c r="AA553" s="6">
        <f>VLOOKUP(A553,[6]台湾加权指数历史数据!$A:$B,2,)</f>
        <v>12181.56</v>
      </c>
      <c r="AB553" s="3">
        <v>25089.17</v>
      </c>
      <c r="AC553" s="3">
        <v>2618.48</v>
      </c>
      <c r="AD553">
        <v>10901.7</v>
      </c>
      <c r="AE553" s="5">
        <f>VLOOKUP(A553,[7]越南VN30指数历史数据!$A:$B,2,)</f>
        <v>814.16</v>
      </c>
      <c r="AF553">
        <v>51515.88</v>
      </c>
      <c r="AG553" s="9">
        <v>12160.04</v>
      </c>
      <c r="AH553">
        <v>10280.629999999999</v>
      </c>
      <c r="AI553">
        <v>1032.74</v>
      </c>
      <c r="AJ553">
        <v>1796.74</v>
      </c>
    </row>
    <row r="554" spans="1:36" x14ac:dyDescent="0.3">
      <c r="A554" s="2">
        <v>44031</v>
      </c>
      <c r="B554" s="3">
        <v>48605.06</v>
      </c>
      <c r="C554" s="4">
        <v>102382</v>
      </c>
      <c r="D554" s="3">
        <v>6024</v>
      </c>
      <c r="E554" s="3">
        <v>26469.89</v>
      </c>
      <c r="F554" s="3">
        <v>15997.06</v>
      </c>
      <c r="G554" s="3">
        <v>1467.55</v>
      </c>
      <c r="H554" s="3">
        <v>3215.63</v>
      </c>
      <c r="I554" s="3">
        <v>10363.18</v>
      </c>
      <c r="J554" s="3">
        <v>37357.46</v>
      </c>
      <c r="K554" s="1">
        <v>20285.07</v>
      </c>
      <c r="L554" s="3">
        <v>1810.33</v>
      </c>
      <c r="M554" s="3">
        <v>12838.06</v>
      </c>
      <c r="N554" s="6">
        <f>VLOOKUP(A554,'[1]俄罗斯交易系统市值加权指数历史数据 (1)'!$A:$B,2,)</f>
        <v>1255.98</v>
      </c>
      <c r="O554" s="3">
        <v>4956.43</v>
      </c>
      <c r="P554" s="1">
        <v>563.95000000000005</v>
      </c>
      <c r="Q554" s="3">
        <v>10214.209999999999</v>
      </c>
      <c r="R554" s="3">
        <v>1192.02</v>
      </c>
      <c r="S554" s="3">
        <v>7294.7</v>
      </c>
      <c r="T554" s="3">
        <v>6123.82</v>
      </c>
      <c r="U554" s="3">
        <v>3310.89</v>
      </c>
      <c r="V554" s="6">
        <f>VLOOKUP(A554,[2]韩国KOSPI指数历史数据!$A:$B,2,)</f>
        <v>2200.44</v>
      </c>
      <c r="W554" s="6">
        <f>VLOOKUP(A554,[3]日经225指数历史数据!$A:$B,2,)</f>
        <v>22751.61</v>
      </c>
      <c r="X554" s="3">
        <v>1388.27</v>
      </c>
      <c r="Y554" s="6">
        <f>VLOOKUP(A554,[4]上证指数历史数据!$A:$B,2,)</f>
        <v>3196.77</v>
      </c>
      <c r="Z554" s="6">
        <f>VLOOKUP(A554,[5]深证成份指数历史数据!$A:$B,2,)</f>
        <v>12935.7</v>
      </c>
      <c r="AA554" s="6">
        <f>VLOOKUP(A554,[6]台湾加权指数历史数据!$A:$B,2,)</f>
        <v>12304.04</v>
      </c>
      <c r="AB554" s="3">
        <v>24705.33</v>
      </c>
      <c r="AC554" s="3">
        <v>2579.5100000000002</v>
      </c>
      <c r="AD554">
        <v>11194.15</v>
      </c>
      <c r="AE554" s="5">
        <f>VLOOKUP(A554,[7]越南VN30指数历史数据!$A:$B,2,)</f>
        <v>772.29</v>
      </c>
      <c r="AF554">
        <v>51259.48</v>
      </c>
      <c r="AG554" s="9">
        <v>12183.06</v>
      </c>
      <c r="AH554">
        <v>10222.4</v>
      </c>
      <c r="AI554">
        <v>1040.1400000000001</v>
      </c>
      <c r="AJ554">
        <v>1796.52</v>
      </c>
    </row>
    <row r="555" spans="1:36" x14ac:dyDescent="0.3">
      <c r="A555" s="2">
        <v>44038</v>
      </c>
      <c r="B555" s="3">
        <v>49253.62</v>
      </c>
      <c r="C555" s="4">
        <v>102912</v>
      </c>
      <c r="D555" s="3">
        <v>5927.8</v>
      </c>
      <c r="E555" s="3">
        <v>26428.32</v>
      </c>
      <c r="F555" s="3">
        <v>16169.2</v>
      </c>
      <c r="G555" s="3">
        <v>1480.43</v>
      </c>
      <c r="H555" s="3">
        <v>3271.12</v>
      </c>
      <c r="I555" s="3">
        <v>10745.28</v>
      </c>
      <c r="J555" s="3">
        <v>37019.68</v>
      </c>
      <c r="K555" s="1">
        <v>20271.650000000001</v>
      </c>
      <c r="L555" s="3">
        <v>1767.54</v>
      </c>
      <c r="M555" s="3">
        <v>12313.36</v>
      </c>
      <c r="N555" s="6">
        <f>VLOOKUP(A555,'[1]俄罗斯交易系统市值加权指数历史数据 (1)'!$A:$B,2,)</f>
        <v>1234.44</v>
      </c>
      <c r="O555" s="3">
        <v>4783.6899999999996</v>
      </c>
      <c r="P555" s="1">
        <v>545.29</v>
      </c>
      <c r="Q555" s="3">
        <v>10005.9</v>
      </c>
      <c r="R555" s="3">
        <v>1126.9000000000001</v>
      </c>
      <c r="S555" s="3">
        <v>6877.4</v>
      </c>
      <c r="T555" s="3">
        <v>5897.76</v>
      </c>
      <c r="U555" s="3">
        <v>3174.32</v>
      </c>
      <c r="V555" s="6">
        <f>VLOOKUP(A555,[2]韩国KOSPI指数历史数据!$A:$B,2,)</f>
        <v>2249.37</v>
      </c>
      <c r="W555" s="6">
        <f>VLOOKUP(A555,[3]日经225指数历史数据!$A:$B,2,)</f>
        <v>21710</v>
      </c>
      <c r="X555" s="3">
        <v>1380.63</v>
      </c>
      <c r="Y555" s="6">
        <f>VLOOKUP(A555,[4]上证指数历史数据!$A:$B,2,)</f>
        <v>3310.01</v>
      </c>
      <c r="Z555" s="6">
        <f>VLOOKUP(A555,[5]深证成份指数历史数据!$A:$B,2,)</f>
        <v>13637.88</v>
      </c>
      <c r="AA555" s="6">
        <f>VLOOKUP(A555,[6]台湾加权指数历史数据!$A:$B,2,)</f>
        <v>12664.8</v>
      </c>
      <c r="AB555" s="3">
        <v>24595.35</v>
      </c>
      <c r="AC555" s="3">
        <v>2529.8200000000002</v>
      </c>
      <c r="AD555">
        <v>11073.45</v>
      </c>
      <c r="AE555" s="5">
        <f>VLOOKUP(A555,[7]越南VN30指数历史数据!$A:$B,2,)</f>
        <v>740.73</v>
      </c>
      <c r="AF555">
        <v>51368.82</v>
      </c>
      <c r="AG555" s="9">
        <v>12431.72</v>
      </c>
      <c r="AH555">
        <v>10228.27</v>
      </c>
      <c r="AI555">
        <v>1053.21</v>
      </c>
      <c r="AJ555">
        <v>1800.16</v>
      </c>
    </row>
    <row r="556" spans="1:36" x14ac:dyDescent="0.3">
      <c r="A556" s="2">
        <v>44045</v>
      </c>
      <c r="B556" s="3">
        <v>52325.83</v>
      </c>
      <c r="C556" s="4">
        <v>102776</v>
      </c>
      <c r="D556" s="3">
        <v>6004.8</v>
      </c>
      <c r="E556" s="3">
        <v>27433.48</v>
      </c>
      <c r="F556" s="3">
        <v>16544.48</v>
      </c>
      <c r="G556" s="3">
        <v>1569.18</v>
      </c>
      <c r="H556" s="3">
        <v>3351.28</v>
      </c>
      <c r="I556" s="3">
        <v>11010.98</v>
      </c>
      <c r="J556" s="3">
        <v>38016.06</v>
      </c>
      <c r="K556" s="1">
        <v>20143</v>
      </c>
      <c r="L556" s="3">
        <v>1817.23</v>
      </c>
      <c r="M556" s="3">
        <v>12674.88</v>
      </c>
      <c r="N556" s="6">
        <f>VLOOKUP(A556,'[1]俄罗斯交易系统市值加权指数历史数据 (1)'!$A:$B,2,)</f>
        <v>1271.43</v>
      </c>
      <c r="O556" s="3">
        <v>4889.5200000000004</v>
      </c>
      <c r="P556" s="1">
        <v>559.57000000000005</v>
      </c>
      <c r="Q556" s="3">
        <v>10068.030000000001</v>
      </c>
      <c r="R556" s="3">
        <v>1060.5899999999999</v>
      </c>
      <c r="S556" s="3">
        <v>6950.5</v>
      </c>
      <c r="T556" s="3">
        <v>6032.18</v>
      </c>
      <c r="U556" s="3">
        <v>3252.65</v>
      </c>
      <c r="V556" s="6">
        <f>VLOOKUP(A556,[2]韩国KOSPI指数历史数据!$A:$B,2,)</f>
        <v>2351.67</v>
      </c>
      <c r="W556" s="6">
        <f>VLOOKUP(A556,[3]日经225指数历史数据!$A:$B,2,)</f>
        <v>22329.94</v>
      </c>
      <c r="X556" s="3">
        <v>1403</v>
      </c>
      <c r="Y556" s="6">
        <f>VLOOKUP(A556,[4]上证指数历史数据!$A:$B,2,)</f>
        <v>3354.04</v>
      </c>
      <c r="Z556" s="6">
        <f>VLOOKUP(A556,[5]深证成份指数历史数据!$A:$B,2,)</f>
        <v>13648.5</v>
      </c>
      <c r="AA556" s="6">
        <f>VLOOKUP(A556,[6]台湾加权指数历史数据!$A:$B,2,)</f>
        <v>12828.87</v>
      </c>
      <c r="AB556" s="3">
        <v>24531.62</v>
      </c>
      <c r="AC556" s="3">
        <v>2545.5100000000002</v>
      </c>
      <c r="AD556">
        <v>11214.05</v>
      </c>
      <c r="AE556" s="5">
        <f>VLOOKUP(A556,[7]越南VN30指数历史数据!$A:$B,2,)</f>
        <v>782.15</v>
      </c>
      <c r="AF556">
        <v>52435.65</v>
      </c>
      <c r="AG556" s="9">
        <v>12709.79</v>
      </c>
      <c r="AH556">
        <v>10256.81</v>
      </c>
      <c r="AI556">
        <v>1070.58</v>
      </c>
      <c r="AJ556">
        <v>1768.38</v>
      </c>
    </row>
    <row r="557" spans="1:36" x14ac:dyDescent="0.3">
      <c r="A557" s="2">
        <v>44052</v>
      </c>
      <c r="B557" s="3">
        <v>48547.91</v>
      </c>
      <c r="C557" s="4">
        <v>101353</v>
      </c>
      <c r="D557" s="3">
        <v>6126.2</v>
      </c>
      <c r="E557" s="3">
        <v>27931.02</v>
      </c>
      <c r="F557" s="3">
        <v>16514.61</v>
      </c>
      <c r="G557" s="3">
        <v>1577.88</v>
      </c>
      <c r="H557" s="3">
        <v>3372.85</v>
      </c>
      <c r="I557" s="3">
        <v>11019.3</v>
      </c>
      <c r="J557" s="3">
        <v>38949.879999999997</v>
      </c>
      <c r="K557" s="1">
        <v>20313.07</v>
      </c>
      <c r="L557" s="3">
        <v>1856.56</v>
      </c>
      <c r="M557" s="3">
        <v>12901.34</v>
      </c>
      <c r="N557" s="6">
        <f>VLOOKUP(A557,'[1]俄罗斯交易系统市值加权指数历史数据 (1)'!$A:$B,2,)</f>
        <v>1323.8</v>
      </c>
      <c r="O557" s="3">
        <v>4962.93</v>
      </c>
      <c r="P557" s="1">
        <v>560.84</v>
      </c>
      <c r="Q557" s="3">
        <v>10163.6</v>
      </c>
      <c r="R557" s="3">
        <v>1083.83</v>
      </c>
      <c r="S557" s="3">
        <v>7154.3</v>
      </c>
      <c r="T557" s="3">
        <v>6090.04</v>
      </c>
      <c r="U557" s="3">
        <v>3305.05</v>
      </c>
      <c r="V557" s="6">
        <f>VLOOKUP(A557,[2]韩国KOSPI指数历史数据!$A:$B,2,)</f>
        <v>2407.4899999999998</v>
      </c>
      <c r="W557" s="6">
        <f>VLOOKUP(A557,[3]日经225指数历史数据!$A:$B,2,)</f>
        <v>23289.360000000001</v>
      </c>
      <c r="X557" s="3">
        <v>1415.54</v>
      </c>
      <c r="Y557" s="6">
        <f>VLOOKUP(A557,[4]上证指数历史数据!$A:$B,2,)</f>
        <v>3360.1</v>
      </c>
      <c r="Z557" s="6">
        <f>VLOOKUP(A557,[5]深证成份指数历史数据!$A:$B,2,)</f>
        <v>13489.01</v>
      </c>
      <c r="AA557" s="6">
        <f>VLOOKUP(A557,[6]台湾加权指数历史数据!$A:$B,2,)</f>
        <v>12795.46</v>
      </c>
      <c r="AB557" s="3">
        <v>25183.01</v>
      </c>
      <c r="AC557" s="3">
        <v>2581.3200000000002</v>
      </c>
      <c r="AD557">
        <v>11178.4</v>
      </c>
      <c r="AE557" s="5">
        <f>VLOOKUP(A557,[7]越南VN30指数历史数据!$A:$B,2,)</f>
        <v>791.98</v>
      </c>
      <c r="AF557">
        <v>52737.48</v>
      </c>
      <c r="AG557" s="9">
        <v>12890.22</v>
      </c>
      <c r="AH557">
        <v>10309.049999999999</v>
      </c>
      <c r="AI557">
        <v>1067.29</v>
      </c>
      <c r="AJ557">
        <v>1747.05</v>
      </c>
    </row>
    <row r="558" spans="1:36" x14ac:dyDescent="0.3">
      <c r="A558" s="2">
        <v>44059</v>
      </c>
      <c r="B558" s="3">
        <v>47411.28</v>
      </c>
      <c r="C558" s="4">
        <v>101521</v>
      </c>
      <c r="D558" s="3">
        <v>6111.2</v>
      </c>
      <c r="E558" s="3">
        <v>27930.33</v>
      </c>
      <c r="F558" s="3">
        <v>16517.849999999999</v>
      </c>
      <c r="G558" s="3">
        <v>1552.48</v>
      </c>
      <c r="H558" s="3">
        <v>3397.16</v>
      </c>
      <c r="I558" s="3">
        <v>11311.8</v>
      </c>
      <c r="J558" s="3">
        <v>38095.879999999997</v>
      </c>
      <c r="K558" s="1">
        <v>20199.05</v>
      </c>
      <c r="L558" s="3">
        <v>1820.6</v>
      </c>
      <c r="M558" s="3">
        <v>12764.8</v>
      </c>
      <c r="N558" s="6">
        <f>VLOOKUP(A558,'[1]俄罗斯交易系统市值加权指数历史数据 (1)'!$A:$B,2,)</f>
        <v>1262.01</v>
      </c>
      <c r="O558" s="3">
        <v>4896.33</v>
      </c>
      <c r="P558" s="1">
        <v>551.37</v>
      </c>
      <c r="Q558" s="3">
        <v>10218.200000000001</v>
      </c>
      <c r="R558" s="3">
        <v>1109.8800000000001</v>
      </c>
      <c r="S558" s="3">
        <v>6982.1</v>
      </c>
      <c r="T558" s="3">
        <v>6001.89</v>
      </c>
      <c r="U558" s="3">
        <v>3259.75</v>
      </c>
      <c r="V558" s="6">
        <f>VLOOKUP(A558,[2]韩国KOSPI指数历史数据!$A:$B,2,)</f>
        <v>2304.59</v>
      </c>
      <c r="W558" s="6">
        <f>VLOOKUP(A558,[3]日经225指数历史数据!$A:$B,2,)</f>
        <v>22920.3</v>
      </c>
      <c r="X558" s="3">
        <v>1394.71</v>
      </c>
      <c r="Y558" s="6">
        <f>VLOOKUP(A558,[4]上证指数历史数据!$A:$B,2,)</f>
        <v>3380.68</v>
      </c>
      <c r="Z558" s="6">
        <f>VLOOKUP(A558,[5]深证成份指数历史数据!$A:$B,2,)</f>
        <v>13478</v>
      </c>
      <c r="AA558" s="6">
        <f>VLOOKUP(A558,[6]台湾加权指数历史数据!$A:$B,2,)</f>
        <v>12607.84</v>
      </c>
      <c r="AB558" s="3">
        <v>25113.84</v>
      </c>
      <c r="AC558" s="3">
        <v>2528.54</v>
      </c>
      <c r="AD558">
        <v>11371.6</v>
      </c>
      <c r="AE558" s="5">
        <f>VLOOKUP(A558,[7]越南VN30指数历史数据!$A:$B,2,)</f>
        <v>793.6</v>
      </c>
      <c r="AF558">
        <v>51669.18</v>
      </c>
      <c r="AG558" s="9">
        <v>13083.27</v>
      </c>
      <c r="AH558">
        <v>10265.780000000001</v>
      </c>
      <c r="AI558">
        <v>1069.73</v>
      </c>
      <c r="AJ558">
        <v>1772.47</v>
      </c>
    </row>
    <row r="559" spans="1:36" x14ac:dyDescent="0.3">
      <c r="A559" s="2">
        <v>44066</v>
      </c>
      <c r="B559" s="3">
        <v>46396.58</v>
      </c>
      <c r="C559" s="4">
        <v>102143</v>
      </c>
      <c r="D559" s="3">
        <v>6073.8</v>
      </c>
      <c r="E559" s="3">
        <v>28653.87</v>
      </c>
      <c r="F559" s="3">
        <v>16705.79</v>
      </c>
      <c r="G559" s="3">
        <v>1578.34</v>
      </c>
      <c r="H559" s="3">
        <v>3508.01</v>
      </c>
      <c r="I559" s="3">
        <v>11695.63</v>
      </c>
      <c r="J559" s="3">
        <v>37794.25</v>
      </c>
      <c r="K559" s="1">
        <v>19648</v>
      </c>
      <c r="L559" s="3">
        <v>1829.79</v>
      </c>
      <c r="M559" s="3">
        <v>13033.2</v>
      </c>
      <c r="N559" s="6">
        <f>VLOOKUP(A559,'[1]俄罗斯交易系统市值加权指数历史数据 (1)'!$A:$B,2,)</f>
        <v>1265.6199999999999</v>
      </c>
      <c r="O559" s="3">
        <v>5002.9399999999996</v>
      </c>
      <c r="P559" s="1">
        <v>556.79999999999995</v>
      </c>
      <c r="Q559" s="3">
        <v>10164.49</v>
      </c>
      <c r="R559" s="3">
        <v>1100.55</v>
      </c>
      <c r="S559" s="3">
        <v>7133</v>
      </c>
      <c r="T559" s="3">
        <v>5963.57</v>
      </c>
      <c r="U559" s="3">
        <v>3315.54</v>
      </c>
      <c r="V559" s="6">
        <f>VLOOKUP(A559,[2]韩国KOSPI指数历史数据!$A:$B,2,)</f>
        <v>2353.8000000000002</v>
      </c>
      <c r="W559" s="6">
        <f>VLOOKUP(A559,[3]日经225指数历史数据!$A:$B,2,)</f>
        <v>22882.65</v>
      </c>
      <c r="X559" s="3">
        <v>1412.44</v>
      </c>
      <c r="Y559" s="6">
        <f>VLOOKUP(A559,[4]上证指数历史数据!$A:$B,2,)</f>
        <v>3403.81</v>
      </c>
      <c r="Z559" s="6">
        <f>VLOOKUP(A559,[5]深证成份指数历史数据!$A:$B,2,)</f>
        <v>13851.32</v>
      </c>
      <c r="AA559" s="6">
        <f>VLOOKUP(A559,[6]台湾加权指数历史数据!$A:$B,2,)</f>
        <v>12728.85</v>
      </c>
      <c r="AB559" s="3">
        <v>25422.06</v>
      </c>
      <c r="AC559" s="3">
        <v>2539.63</v>
      </c>
      <c r="AD559">
        <v>11647.6</v>
      </c>
      <c r="AE559" s="5">
        <f>VLOOKUP(A559,[7]越南VN30指数历史数据!$A:$B,2,)</f>
        <v>821.93</v>
      </c>
      <c r="AF559">
        <v>51750.45</v>
      </c>
      <c r="AG559" s="9">
        <v>13387.3</v>
      </c>
      <c r="AH559">
        <v>10073.41</v>
      </c>
      <c r="AI559">
        <v>1074.57</v>
      </c>
      <c r="AJ559">
        <v>1792.9</v>
      </c>
    </row>
    <row r="560" spans="1:36" x14ac:dyDescent="0.3">
      <c r="A560" s="2">
        <v>44073</v>
      </c>
      <c r="B560" s="3">
        <v>45075.06</v>
      </c>
      <c r="C560" s="4">
        <v>101242</v>
      </c>
      <c r="D560" s="3">
        <v>5925.5</v>
      </c>
      <c r="E560" s="3">
        <v>28133.31</v>
      </c>
      <c r="F560" s="3">
        <v>16218.01</v>
      </c>
      <c r="G560" s="3">
        <v>1535.3</v>
      </c>
      <c r="H560" s="3">
        <v>3426.96</v>
      </c>
      <c r="I560" s="3">
        <v>11313.13</v>
      </c>
      <c r="J560" s="3">
        <v>36448.5</v>
      </c>
      <c r="K560" s="1">
        <v>19314.43</v>
      </c>
      <c r="L560" s="3">
        <v>1758.11</v>
      </c>
      <c r="M560" s="3">
        <v>12842.66</v>
      </c>
      <c r="N560" s="6">
        <f>VLOOKUP(A560,'[1]俄罗斯交易系统市值加权指数历史数据 (1)'!$A:$B,2,)</f>
        <v>1220.01</v>
      </c>
      <c r="O560" s="3">
        <v>4965.07</v>
      </c>
      <c r="P560" s="1">
        <v>540.27</v>
      </c>
      <c r="Q560" s="3">
        <v>10153.09</v>
      </c>
      <c r="R560" s="3">
        <v>1086.32</v>
      </c>
      <c r="S560" s="3">
        <v>6989.7</v>
      </c>
      <c r="T560" s="3">
        <v>5799.08</v>
      </c>
      <c r="U560" s="3">
        <v>3260.59</v>
      </c>
      <c r="V560" s="6">
        <f>VLOOKUP(A560,[2]韩国KOSPI指数历史数据!$A:$B,2,)</f>
        <v>2368.25</v>
      </c>
      <c r="W560" s="6">
        <f>VLOOKUP(A560,[3]日经225指数历史数据!$A:$B,2,)</f>
        <v>23205.43</v>
      </c>
      <c r="X560" s="3">
        <v>1340.2</v>
      </c>
      <c r="Y560" s="6">
        <f>VLOOKUP(A560,[4]上证指数历史数据!$A:$B,2,)</f>
        <v>3355.37</v>
      </c>
      <c r="Z560" s="6">
        <f>VLOOKUP(A560,[5]深证成份指数历史数据!$A:$B,2,)</f>
        <v>13656.66</v>
      </c>
      <c r="AA560" s="6">
        <f>VLOOKUP(A560,[6]台湾加权指数历史数据!$A:$B,2,)</f>
        <v>12637.95</v>
      </c>
      <c r="AB560" s="3">
        <v>24695.45</v>
      </c>
      <c r="AC560" s="3">
        <v>2509.64</v>
      </c>
      <c r="AD560">
        <v>11333.85</v>
      </c>
      <c r="AE560" s="5">
        <f>VLOOKUP(A560,[7]越南VN30指数历史数据!$A:$B,2,)</f>
        <v>840.54</v>
      </c>
      <c r="AF560">
        <v>49720.42</v>
      </c>
      <c r="AG560" s="9">
        <v>13091.84</v>
      </c>
      <c r="AH560">
        <v>10190.57</v>
      </c>
      <c r="AI560">
        <v>1088.7</v>
      </c>
      <c r="AJ560">
        <v>1844.69</v>
      </c>
    </row>
    <row r="561" spans="1:36" x14ac:dyDescent="0.3">
      <c r="A561" s="2">
        <v>44080</v>
      </c>
      <c r="B561" s="3">
        <v>45839.99</v>
      </c>
      <c r="C561" s="4">
        <v>98363</v>
      </c>
      <c r="D561" s="3">
        <v>5859.4</v>
      </c>
      <c r="E561" s="3">
        <v>27665.64</v>
      </c>
      <c r="F561" s="3">
        <v>16222.46</v>
      </c>
      <c r="G561" s="3">
        <v>1497.27</v>
      </c>
      <c r="H561" s="3">
        <v>3340.97</v>
      </c>
      <c r="I561" s="3">
        <v>10853.54</v>
      </c>
      <c r="J561" s="3">
        <v>36334.89</v>
      </c>
      <c r="K561" s="1">
        <v>18848.87</v>
      </c>
      <c r="L561" s="3">
        <v>1772.89</v>
      </c>
      <c r="M561" s="3">
        <v>13202.84</v>
      </c>
      <c r="N561" s="6">
        <f>VLOOKUP(A561,'[1]俄罗斯交易系统市值加权指数历史数据 (1)'!$A:$B,2,)</f>
        <v>1223.05</v>
      </c>
      <c r="O561" s="3">
        <v>5034.1400000000003</v>
      </c>
      <c r="P561" s="1">
        <v>552.01</v>
      </c>
      <c r="Q561" s="3">
        <v>10439.52</v>
      </c>
      <c r="R561" s="3">
        <v>1102.7</v>
      </c>
      <c r="S561" s="3">
        <v>6943.2</v>
      </c>
      <c r="T561" s="3">
        <v>6032.09</v>
      </c>
      <c r="U561" s="3">
        <v>3315.81</v>
      </c>
      <c r="V561" s="6">
        <f>VLOOKUP(A561,[2]韩国KOSPI指数历史数据!$A:$B,2,)</f>
        <v>2396.69</v>
      </c>
      <c r="W561" s="6">
        <f>VLOOKUP(A561,[3]日经225指数历史数据!$A:$B,2,)</f>
        <v>23406.49</v>
      </c>
      <c r="X561" s="3">
        <v>1305.28</v>
      </c>
      <c r="Y561" s="6">
        <f>VLOOKUP(A561,[4]上证指数历史数据!$A:$B,2,)</f>
        <v>3260.35</v>
      </c>
      <c r="Z561" s="6">
        <f>VLOOKUP(A561,[5]深证成份指数历史数据!$A:$B,2,)</f>
        <v>12942.95</v>
      </c>
      <c r="AA561" s="6">
        <f>VLOOKUP(A561,[6]台湾加权指数历史数据!$A:$B,2,)</f>
        <v>12675.95</v>
      </c>
      <c r="AB561" s="3">
        <v>24503.31</v>
      </c>
      <c r="AC561" s="3">
        <v>2490.09</v>
      </c>
      <c r="AD561">
        <v>11464.45</v>
      </c>
      <c r="AE561" s="5">
        <f>VLOOKUP(A561,[7]越南VN30指数历史数据!$A:$B,2,)</f>
        <v>825.56</v>
      </c>
      <c r="AF561">
        <v>51715.12</v>
      </c>
      <c r="AG561" s="9">
        <v>12798.45</v>
      </c>
      <c r="AH561">
        <v>10232.32</v>
      </c>
      <c r="AI561">
        <v>1086.6300000000001</v>
      </c>
      <c r="AJ561">
        <v>1829.78</v>
      </c>
    </row>
    <row r="562" spans="1:36" x14ac:dyDescent="0.3">
      <c r="A562" s="2">
        <v>44087</v>
      </c>
      <c r="B562" s="3">
        <v>41484.06</v>
      </c>
      <c r="C562" s="4">
        <v>98290</v>
      </c>
      <c r="D562" s="3">
        <v>5864.5</v>
      </c>
      <c r="E562" s="3">
        <v>27657.42</v>
      </c>
      <c r="F562" s="3">
        <v>16198.97</v>
      </c>
      <c r="G562" s="3">
        <v>1536.78</v>
      </c>
      <c r="H562" s="3">
        <v>3319.47</v>
      </c>
      <c r="I562" s="3">
        <v>10793.28</v>
      </c>
      <c r="J562" s="3">
        <v>36017.35</v>
      </c>
      <c r="K562" s="1">
        <v>18901.5</v>
      </c>
      <c r="L562" s="3">
        <v>1731.76</v>
      </c>
      <c r="M562" s="3">
        <v>13116.25</v>
      </c>
      <c r="N562" s="6">
        <f>VLOOKUP(A562,'[1]俄罗斯交易系统市值加权指数历史数据 (1)'!$A:$B,2,)</f>
        <v>1228.6400000000001</v>
      </c>
      <c r="O562" s="3">
        <v>4978.18</v>
      </c>
      <c r="P562" s="1">
        <v>550.85</v>
      </c>
      <c r="Q562" s="3">
        <v>10539.17</v>
      </c>
      <c r="R562" s="3">
        <v>1111.96</v>
      </c>
      <c r="S562" s="3">
        <v>6929.8</v>
      </c>
      <c r="T562" s="3">
        <v>6007.05</v>
      </c>
      <c r="U562" s="3">
        <v>3283.69</v>
      </c>
      <c r="V562" s="6">
        <f>VLOOKUP(A562,[2]韩国KOSPI指数历史数据!$A:$B,2,)</f>
        <v>2412.4</v>
      </c>
      <c r="W562" s="6">
        <f>VLOOKUP(A562,[3]日经225指数历史数据!$A:$B,2,)</f>
        <v>23360.3</v>
      </c>
      <c r="X562" s="3">
        <v>1324.17</v>
      </c>
      <c r="Y562" s="6">
        <f>VLOOKUP(A562,[4]上证指数历史数据!$A:$B,2,)</f>
        <v>3338.09</v>
      </c>
      <c r="Z562" s="6">
        <f>VLOOKUP(A562,[5]深证成份指数历史数据!$A:$B,2,)</f>
        <v>13245.09</v>
      </c>
      <c r="AA562" s="6">
        <f>VLOOKUP(A562,[6]台湾加权指数历史数据!$A:$B,2,)</f>
        <v>12875.62</v>
      </c>
      <c r="AB562" s="3">
        <v>24455.41</v>
      </c>
      <c r="AC562" s="3">
        <v>2497.71</v>
      </c>
      <c r="AD562">
        <v>11504.95</v>
      </c>
      <c r="AE562" s="5">
        <f>VLOOKUP(A562,[7]越南VN30指数历史数据!$A:$B,2,)</f>
        <v>841.26</v>
      </c>
      <c r="AF562">
        <v>50399.16</v>
      </c>
      <c r="AG562" s="9">
        <v>12790.31</v>
      </c>
      <c r="AH562">
        <v>10084.209999999999</v>
      </c>
      <c r="AI562">
        <v>1085.51</v>
      </c>
      <c r="AJ562">
        <v>1815.05</v>
      </c>
    </row>
    <row r="563" spans="1:36" x14ac:dyDescent="0.3">
      <c r="A563" s="2">
        <v>44094</v>
      </c>
      <c r="B563" s="3">
        <v>42042.45</v>
      </c>
      <c r="C563" s="4">
        <v>96999</v>
      </c>
      <c r="D563" s="3">
        <v>5964.9</v>
      </c>
      <c r="E563" s="3">
        <v>27173.96</v>
      </c>
      <c r="F563" s="3">
        <v>16065.35</v>
      </c>
      <c r="G563" s="3">
        <v>1474.91</v>
      </c>
      <c r="H563" s="3">
        <v>3298.46</v>
      </c>
      <c r="I563" s="3">
        <v>10913.73</v>
      </c>
      <c r="J563" s="3">
        <v>36583.71</v>
      </c>
      <c r="K563" s="1">
        <v>18242.009999999998</v>
      </c>
      <c r="L563" s="3">
        <v>1674.14</v>
      </c>
      <c r="M563" s="3">
        <v>12469.2</v>
      </c>
      <c r="N563" s="6">
        <f>VLOOKUP(A563,'[1]俄罗斯交易系统市值加权指数历史数据 (1)'!$A:$B,2,)</f>
        <v>1164.68</v>
      </c>
      <c r="O563" s="3">
        <v>4729.66</v>
      </c>
      <c r="P563" s="1">
        <v>540.91</v>
      </c>
      <c r="Q563" s="3">
        <v>10216.280000000001</v>
      </c>
      <c r="R563" s="3">
        <v>1124.17</v>
      </c>
      <c r="S563" s="3">
        <v>6628.3</v>
      </c>
      <c r="T563" s="3">
        <v>5842.67</v>
      </c>
      <c r="U563" s="3">
        <v>3137.06</v>
      </c>
      <c r="V563" s="6">
        <f>VLOOKUP(A563,[2]韩国KOSPI指数历史数据!$A:$B,2,)</f>
        <v>2278.79</v>
      </c>
      <c r="W563" s="6">
        <f>VLOOKUP(A563,[3]日经225指数历史数据!$A:$B,2,)</f>
        <v>23204.62</v>
      </c>
      <c r="X563" s="3">
        <v>1275.23</v>
      </c>
      <c r="Y563" s="6">
        <f>VLOOKUP(A563,[4]上证指数历史数据!$A:$B,2,)</f>
        <v>3219.42</v>
      </c>
      <c r="Z563" s="6">
        <f>VLOOKUP(A563,[5]深证成份指数历史数据!$A:$B,2,)</f>
        <v>12814.17</v>
      </c>
      <c r="AA563" s="6">
        <f>VLOOKUP(A563,[6]台湾加权指数历史数据!$A:$B,2,)</f>
        <v>12232.91</v>
      </c>
      <c r="AB563" s="3">
        <v>23235.42</v>
      </c>
      <c r="AC563" s="3">
        <v>2472.2800000000002</v>
      </c>
      <c r="AD563">
        <v>11050.25</v>
      </c>
      <c r="AE563" s="5">
        <f>VLOOKUP(A563,[7]越南VN30指数历史数据!$A:$B,2,)</f>
        <v>854.71</v>
      </c>
      <c r="AF563">
        <v>49547.74</v>
      </c>
      <c r="AG563" s="9">
        <v>12581.36</v>
      </c>
      <c r="AH563">
        <v>9952.6299999999992</v>
      </c>
      <c r="AI563">
        <v>1123.5</v>
      </c>
      <c r="AJ563">
        <v>1816.83</v>
      </c>
    </row>
    <row r="564" spans="1:36" x14ac:dyDescent="0.3">
      <c r="A564" s="2">
        <v>44101</v>
      </c>
      <c r="B564" s="3">
        <v>43654.37</v>
      </c>
      <c r="C564" s="4">
        <v>94016</v>
      </c>
      <c r="D564" s="3">
        <v>5791.5</v>
      </c>
      <c r="E564" s="3">
        <v>27682.81</v>
      </c>
      <c r="F564" s="3">
        <v>16199.25</v>
      </c>
      <c r="G564" s="3">
        <v>1539.3</v>
      </c>
      <c r="H564" s="3">
        <v>3348.44</v>
      </c>
      <c r="I564" s="3">
        <v>11075.11</v>
      </c>
      <c r="J564" s="3">
        <v>36642.379999999997</v>
      </c>
      <c r="K564" s="1">
        <v>18591.259999999998</v>
      </c>
      <c r="L564" s="3">
        <v>1697.39</v>
      </c>
      <c r="M564" s="3">
        <v>12689.04</v>
      </c>
      <c r="N564" s="6">
        <f>VLOOKUP(A564,'[1]俄罗斯交易系统市值加权指数历史数据 (1)'!$A:$B,2,)</f>
        <v>1148.07</v>
      </c>
      <c r="O564" s="3">
        <v>4824.88</v>
      </c>
      <c r="P564" s="1">
        <v>553.12</v>
      </c>
      <c r="Q564" s="3">
        <v>10252.4</v>
      </c>
      <c r="R564" s="3">
        <v>1145.03</v>
      </c>
      <c r="S564" s="3">
        <v>6754.5</v>
      </c>
      <c r="T564" s="3">
        <v>5902.12</v>
      </c>
      <c r="U564" s="3">
        <v>3190.93</v>
      </c>
      <c r="V564" s="6">
        <f>VLOOKUP(A564,[2]韩国KOSPI指数历史数据!$A:$B,2,)</f>
        <v>2327.89</v>
      </c>
      <c r="W564" s="6">
        <f>VLOOKUP(A564,[3]日经225指数历史数据!$A:$B,2,)</f>
        <v>23029.9</v>
      </c>
      <c r="X564" s="3">
        <v>1318.93</v>
      </c>
      <c r="Y564" s="6">
        <f>VLOOKUP(A564,[4]上证指数历史数据!$A:$B,2,)</f>
        <v>3218.05</v>
      </c>
      <c r="Z564" s="6">
        <f>VLOOKUP(A564,[5]深证成份指数历史数据!$A:$B,2,)</f>
        <v>12907.45</v>
      </c>
      <c r="AA564" s="6">
        <f>VLOOKUP(A564,[6]台湾加权指数历史数据!$A:$B,2,)</f>
        <v>12515.61</v>
      </c>
      <c r="AB564" s="3">
        <v>23459.05</v>
      </c>
      <c r="AC564" s="3">
        <v>2496.11</v>
      </c>
      <c r="AD564">
        <v>11416.95</v>
      </c>
      <c r="AE564" s="5">
        <f>VLOOKUP(A564,[7]越南VN30指数历史数据!$A:$B,2,)</f>
        <v>861.51</v>
      </c>
      <c r="AF564">
        <v>49896.68</v>
      </c>
      <c r="AG564" s="9">
        <v>12862.88</v>
      </c>
      <c r="AH564">
        <v>10086.09</v>
      </c>
      <c r="AI564">
        <v>1156.24</v>
      </c>
      <c r="AJ564">
        <v>1814.35</v>
      </c>
    </row>
    <row r="565" spans="1:36" x14ac:dyDescent="0.3">
      <c r="A565" s="2">
        <v>44108</v>
      </c>
      <c r="B565" s="3">
        <v>45856.11</v>
      </c>
      <c r="C565" s="4">
        <v>97483</v>
      </c>
      <c r="D565" s="3">
        <v>6102.2</v>
      </c>
      <c r="E565" s="3">
        <v>28586.9</v>
      </c>
      <c r="F565" s="3">
        <v>16562.810000000001</v>
      </c>
      <c r="G565" s="3">
        <v>1637.55</v>
      </c>
      <c r="H565" s="3">
        <v>3477.13</v>
      </c>
      <c r="I565" s="3">
        <v>11580.04</v>
      </c>
      <c r="J565" s="3">
        <v>38494.400000000001</v>
      </c>
      <c r="K565" s="1">
        <v>18624.21</v>
      </c>
      <c r="L565" s="3">
        <v>1698.91</v>
      </c>
      <c r="M565" s="3">
        <v>13051.23</v>
      </c>
      <c r="N565" s="6">
        <f>VLOOKUP(A565,'[1]俄罗斯交易系统市值加权指数历史数据 (1)'!$A:$B,2,)</f>
        <v>1164.3399999999999</v>
      </c>
      <c r="O565" s="3">
        <v>4946.8100000000004</v>
      </c>
      <c r="P565" s="1">
        <v>567.16999999999996</v>
      </c>
      <c r="Q565" s="3">
        <v>10320.030000000001</v>
      </c>
      <c r="R565" s="3">
        <v>1165.7</v>
      </c>
      <c r="S565" s="3">
        <v>6950.9</v>
      </c>
      <c r="T565" s="3">
        <v>6016.65</v>
      </c>
      <c r="U565" s="3">
        <v>3273.12</v>
      </c>
      <c r="V565" s="6">
        <f>VLOOKUP(A565,[2]韩国KOSPI指数历史数据!$A:$B,2,)</f>
        <v>2391.96</v>
      </c>
      <c r="W565" s="6">
        <f>VLOOKUP(A565,[3]日经225指数历史数据!$A:$B,2,)</f>
        <v>23619.69</v>
      </c>
      <c r="X565" s="3">
        <v>1364.8</v>
      </c>
      <c r="Y565" s="6">
        <f>VLOOKUP(A565,[4]上证指数历史数据!$A:$B,2,)</f>
        <v>3272.08</v>
      </c>
      <c r="Z565" s="6">
        <f>VLOOKUP(A565,[5]深证成份指数历史数据!$A:$B,2,)</f>
        <v>13289.26</v>
      </c>
      <c r="AA565" s="6">
        <f>VLOOKUP(A565,[6]台湾加权指数历史数据!$A:$B,2,)</f>
        <v>12887.19</v>
      </c>
      <c r="AB565" s="3">
        <v>24119.13</v>
      </c>
      <c r="AC565" s="3">
        <v>2532.96</v>
      </c>
      <c r="AD565">
        <v>11914.2</v>
      </c>
      <c r="AE565" s="5">
        <f>VLOOKUP(A565,[7]越南VN30指数历史数据!$A:$B,2,)</f>
        <v>874.53</v>
      </c>
      <c r="AF565">
        <v>50781.18</v>
      </c>
      <c r="AG565" s="9">
        <v>13178.95</v>
      </c>
      <c r="AH565">
        <v>10205.85</v>
      </c>
      <c r="AI565">
        <v>1215.54</v>
      </c>
      <c r="AJ565">
        <v>1828.1</v>
      </c>
    </row>
    <row r="566" spans="1:36" x14ac:dyDescent="0.3">
      <c r="A566" s="2">
        <v>44115</v>
      </c>
      <c r="B566" s="3">
        <v>49024.08</v>
      </c>
      <c r="C566" s="4">
        <v>98309</v>
      </c>
      <c r="D566" s="3">
        <v>6176.8</v>
      </c>
      <c r="E566" s="3">
        <v>28606.31</v>
      </c>
      <c r="F566" s="3">
        <v>16438.75</v>
      </c>
      <c r="G566" s="3">
        <v>1633.81</v>
      </c>
      <c r="H566" s="3">
        <v>3483.81</v>
      </c>
      <c r="I566" s="3">
        <v>11671.66</v>
      </c>
      <c r="J566" s="3">
        <v>37876.49</v>
      </c>
      <c r="K566" s="3">
        <v>18457.240000000002</v>
      </c>
      <c r="L566" s="3">
        <v>1655.36</v>
      </c>
      <c r="M566" s="3">
        <v>12908.99</v>
      </c>
      <c r="N566" s="6">
        <f>VLOOKUP(A566,'[1]俄罗斯交易系统市值加权指数历史数据 (1)'!$A:$B,2,)</f>
        <v>1132.8</v>
      </c>
      <c r="O566" s="3">
        <v>4935.8599999999997</v>
      </c>
      <c r="P566" s="1">
        <v>568.17999999999995</v>
      </c>
      <c r="Q566" s="3">
        <v>10207.129999999999</v>
      </c>
      <c r="R566" s="3">
        <v>1192.73</v>
      </c>
      <c r="S566" s="3">
        <v>6849.7</v>
      </c>
      <c r="T566" s="3">
        <v>5919.58</v>
      </c>
      <c r="U566" s="3">
        <v>3245.47</v>
      </c>
      <c r="V566" s="6">
        <f>VLOOKUP(A566,[2]韩国KOSPI指数历史数据!$A:$B,2,)</f>
        <v>2341.5300000000002</v>
      </c>
      <c r="W566" s="6">
        <f>VLOOKUP(A566,[3]日经225指数历史数据!$A:$B,2,)</f>
        <v>23410.63</v>
      </c>
      <c r="X566" s="3">
        <v>1358.23</v>
      </c>
      <c r="Y566" s="6">
        <f>VLOOKUP(A566,[4]上证指数历史数据!$A:$B,2,)</f>
        <v>3336.36</v>
      </c>
      <c r="Z566" s="6">
        <f>VLOOKUP(A566,[5]深证成份指数历史数据!$A:$B,2,)</f>
        <v>13532.73</v>
      </c>
      <c r="AA566" s="6">
        <f>VLOOKUP(A566,[6]台湾加权指数历史数据!$A:$B,2,)</f>
        <v>12750.37</v>
      </c>
      <c r="AB566" s="3">
        <v>24386.79</v>
      </c>
      <c r="AC566" s="3">
        <v>2533.02</v>
      </c>
      <c r="AD566">
        <v>11762.45</v>
      </c>
      <c r="AE566" s="5">
        <f>VLOOKUP(A566,[7]越南VN30指数历史数据!$A:$B,2,)</f>
        <v>901.59</v>
      </c>
      <c r="AF566">
        <v>50697.69</v>
      </c>
      <c r="AG566" s="9">
        <v>13236.13</v>
      </c>
      <c r="AH566">
        <v>10323.93</v>
      </c>
      <c r="AI566">
        <v>1228.52</v>
      </c>
      <c r="AJ566">
        <v>1810.06</v>
      </c>
    </row>
    <row r="567" spans="1:36" x14ac:dyDescent="0.3">
      <c r="A567" s="2">
        <v>44122</v>
      </c>
      <c r="B567" s="3">
        <v>52512.6</v>
      </c>
      <c r="C567" s="4">
        <v>101260</v>
      </c>
      <c r="D567" s="3">
        <v>6167</v>
      </c>
      <c r="E567" s="3">
        <v>28335.57</v>
      </c>
      <c r="F567" s="3">
        <v>16304.08</v>
      </c>
      <c r="G567" s="3">
        <v>1640.5</v>
      </c>
      <c r="H567" s="3">
        <v>3465.39</v>
      </c>
      <c r="I567" s="3">
        <v>11548.28</v>
      </c>
      <c r="J567" s="3">
        <v>38707.72</v>
      </c>
      <c r="K567" s="3">
        <v>19176.36</v>
      </c>
      <c r="L567" s="3">
        <v>1645.32</v>
      </c>
      <c r="M567" s="3">
        <v>12645.75</v>
      </c>
      <c r="N567" s="6">
        <f>VLOOKUP(A567,'[1]俄罗斯交易系统市值加权指数历史数据 (1)'!$A:$B,2,)</f>
        <v>1164.06</v>
      </c>
      <c r="O567" s="3">
        <v>4909.6400000000003</v>
      </c>
      <c r="P567" s="1">
        <v>554.34</v>
      </c>
      <c r="Q567" s="3">
        <v>10023.9</v>
      </c>
      <c r="R567" s="3">
        <v>1190.6300000000001</v>
      </c>
      <c r="S567" s="3">
        <v>6893.4</v>
      </c>
      <c r="T567" s="3">
        <v>5860.28</v>
      </c>
      <c r="U567" s="3">
        <v>3198.86</v>
      </c>
      <c r="V567" s="6">
        <f>VLOOKUP(A567,[2]韩国KOSPI指数历史数据!$A:$B,2,)</f>
        <v>2360.81</v>
      </c>
      <c r="W567" s="6">
        <f>VLOOKUP(A567,[3]日经225指数历史数据!$A:$B,2,)</f>
        <v>23516.59</v>
      </c>
      <c r="X567" s="3">
        <v>1354.21</v>
      </c>
      <c r="Y567" s="6">
        <f>VLOOKUP(A567,[4]上证指数历史数据!$A:$B,2,)</f>
        <v>3278</v>
      </c>
      <c r="Z567" s="6">
        <f>VLOOKUP(A567,[5]深证成份指数历史数据!$A:$B,2,)</f>
        <v>13128.46</v>
      </c>
      <c r="AA567" s="6">
        <f>VLOOKUP(A567,[6]台湾加权指数历史数据!$A:$B,2,)</f>
        <v>12898.82</v>
      </c>
      <c r="AB567" s="3">
        <v>24918.78</v>
      </c>
      <c r="AC567" s="3">
        <v>2537.39</v>
      </c>
      <c r="AD567">
        <v>11930.35</v>
      </c>
      <c r="AE567" s="5">
        <f>VLOOKUP(A567,[7]越南VN30指数历史数据!$A:$B,2,)</f>
        <v>930.3</v>
      </c>
      <c r="AF567">
        <v>50692.28</v>
      </c>
      <c r="AG567" s="9">
        <v>12754.62</v>
      </c>
      <c r="AH567">
        <v>10453.86</v>
      </c>
      <c r="AI567">
        <v>1230.28</v>
      </c>
      <c r="AJ567">
        <v>1797.24</v>
      </c>
    </row>
    <row r="568" spans="1:36" x14ac:dyDescent="0.3">
      <c r="A568" s="2">
        <v>44129</v>
      </c>
      <c r="B568" s="3">
        <v>45290.02</v>
      </c>
      <c r="C568" s="4">
        <v>93952</v>
      </c>
      <c r="D568" s="3">
        <v>5927.6</v>
      </c>
      <c r="E568" s="3">
        <v>26501.599999999999</v>
      </c>
      <c r="F568" s="3">
        <v>15580.64</v>
      </c>
      <c r="G568" s="3">
        <v>1538.48</v>
      </c>
      <c r="H568" s="3">
        <v>3269.96</v>
      </c>
      <c r="I568" s="3">
        <v>10911.59</v>
      </c>
      <c r="J568" s="3">
        <v>36987.86</v>
      </c>
      <c r="K568" s="3">
        <v>17918.79</v>
      </c>
      <c r="L568" s="3">
        <v>1515.97</v>
      </c>
      <c r="M568" s="3">
        <v>11556.48</v>
      </c>
      <c r="N568" s="6">
        <f>VLOOKUP(A568,'[1]俄罗斯交易系统市值加权指数历史数据 (1)'!$A:$B,2,)</f>
        <v>1066.5999999999999</v>
      </c>
      <c r="O568" s="3">
        <v>4594.24</v>
      </c>
      <c r="P568" s="1">
        <v>533.88</v>
      </c>
      <c r="Q568" s="3">
        <v>9587.15</v>
      </c>
      <c r="R568" s="3">
        <v>1112.3699999999999</v>
      </c>
      <c r="S568" s="3">
        <v>6452.2</v>
      </c>
      <c r="T568" s="3">
        <v>5577.27</v>
      </c>
      <c r="U568" s="3">
        <v>2958.21</v>
      </c>
      <c r="V568" s="6">
        <f>VLOOKUP(A568,[2]韩国KOSPI指数历史数据!$A:$B,2,)</f>
        <v>2267.15</v>
      </c>
      <c r="W568" s="6">
        <f>VLOOKUP(A568,[3]日经225指数历史数据!$A:$B,2,)</f>
        <v>22977.13</v>
      </c>
      <c r="X568" s="3">
        <v>1330.18</v>
      </c>
      <c r="Y568" s="6">
        <f>VLOOKUP(A568,[4]上证指数历史数据!$A:$B,2,)</f>
        <v>3224.53</v>
      </c>
      <c r="Z568" s="6">
        <f>VLOOKUP(A568,[5]深证成份指数历史数据!$A:$B,2,)</f>
        <v>13236.6</v>
      </c>
      <c r="AA568" s="6">
        <f>VLOOKUP(A568,[6]台湾加权指数历史数据!$A:$B,2,)</f>
        <v>12546.34</v>
      </c>
      <c r="AB568" s="3">
        <v>24107.42</v>
      </c>
      <c r="AC568" s="3">
        <v>2423.84</v>
      </c>
      <c r="AD568">
        <v>11642.4</v>
      </c>
      <c r="AE568" s="5">
        <f>VLOOKUP(A568,[7]越南VN30指数历史数据!$A:$B,2,)</f>
        <v>892.55</v>
      </c>
      <c r="AF568">
        <v>47472.92</v>
      </c>
      <c r="AG568" s="9">
        <v>12478.48</v>
      </c>
      <c r="AH568">
        <v>10460.66</v>
      </c>
      <c r="AI568">
        <v>1319.45</v>
      </c>
      <c r="AJ568">
        <v>1782.93</v>
      </c>
    </row>
    <row r="569" spans="1:36" x14ac:dyDescent="0.3">
      <c r="A569" s="2">
        <v>44136</v>
      </c>
      <c r="B569" s="3">
        <v>48492.54</v>
      </c>
      <c r="C569" s="4">
        <v>100925</v>
      </c>
      <c r="D569" s="3">
        <v>6190.2</v>
      </c>
      <c r="E569" s="3">
        <v>28323.4</v>
      </c>
      <c r="F569" s="3">
        <v>16282.83</v>
      </c>
      <c r="G569" s="3">
        <v>1644.16</v>
      </c>
      <c r="H569" s="3">
        <v>3509.44</v>
      </c>
      <c r="I569" s="3">
        <v>11895.23</v>
      </c>
      <c r="J569" s="3">
        <v>38530.5</v>
      </c>
      <c r="K569" s="3">
        <v>19105.919999999998</v>
      </c>
      <c r="L569" s="3">
        <v>1697.49</v>
      </c>
      <c r="M569" s="3">
        <v>12480.02</v>
      </c>
      <c r="N569" s="6">
        <f>VLOOKUP(A569,'[1]俄罗斯交易系统市值加权指数历史数据 (1)'!$A:$B,2,)</f>
        <v>1178.28</v>
      </c>
      <c r="O569" s="3">
        <v>4960.88</v>
      </c>
      <c r="P569" s="1">
        <v>572.9</v>
      </c>
      <c r="Q569" s="3">
        <v>10322.57</v>
      </c>
      <c r="R569" s="3">
        <v>1191.96</v>
      </c>
      <c r="S569" s="3">
        <v>6870.4</v>
      </c>
      <c r="T569" s="3">
        <v>5910.02</v>
      </c>
      <c r="U569" s="3">
        <v>3204.05</v>
      </c>
      <c r="V569" s="6">
        <f>VLOOKUP(A569,[2]韩国KOSPI指数历史数据!$A:$B,2,)</f>
        <v>2416.5</v>
      </c>
      <c r="W569" s="6">
        <f>VLOOKUP(A569,[3]日经225指数历史数据!$A:$B,2,)</f>
        <v>24325.23</v>
      </c>
      <c r="X569" s="3">
        <v>1373.98</v>
      </c>
      <c r="Y569" s="6">
        <f>VLOOKUP(A569,[4]上证指数历史数据!$A:$B,2,)</f>
        <v>3312.16</v>
      </c>
      <c r="Z569" s="6">
        <f>VLOOKUP(A569,[5]深证成份指数历史数据!$A:$B,2,)</f>
        <v>13838.42</v>
      </c>
      <c r="AA569" s="6">
        <f>VLOOKUP(A569,[6]台湾加权指数历史数据!$A:$B,2,)</f>
        <v>12973.53</v>
      </c>
      <c r="AB569" s="3">
        <v>25712.97</v>
      </c>
      <c r="AC569" s="3">
        <v>2578.6799999999998</v>
      </c>
      <c r="AD569">
        <v>12263.55</v>
      </c>
      <c r="AE569" s="5">
        <f>VLOOKUP(A569,[7]越南VN30指数历史数据!$A:$B,2,)</f>
        <v>902.91</v>
      </c>
      <c r="AF569">
        <v>51876.24</v>
      </c>
      <c r="AG569" s="9">
        <v>12460.2</v>
      </c>
      <c r="AH569">
        <v>10360.98</v>
      </c>
      <c r="AI569">
        <v>1342.41</v>
      </c>
      <c r="AJ569">
        <v>1782.64</v>
      </c>
    </row>
    <row r="570" spans="1:36" x14ac:dyDescent="0.3">
      <c r="A570" s="2">
        <v>44143</v>
      </c>
      <c r="B570" s="3">
        <v>49895.5</v>
      </c>
      <c r="C570" s="4">
        <v>104723</v>
      </c>
      <c r="D570" s="3">
        <v>6405.2</v>
      </c>
      <c r="E570" s="3">
        <v>29479.81</v>
      </c>
      <c r="F570" s="3">
        <v>16675.64</v>
      </c>
      <c r="G570" s="3">
        <v>1744.04</v>
      </c>
      <c r="H570" s="3">
        <v>3585.15</v>
      </c>
      <c r="I570" s="3">
        <v>11829.29</v>
      </c>
      <c r="J570" s="3">
        <v>40791.81</v>
      </c>
      <c r="K570" s="3">
        <v>19994.46</v>
      </c>
      <c r="L570" s="3">
        <v>1749.41</v>
      </c>
      <c r="M570" s="3">
        <v>13076.72</v>
      </c>
      <c r="N570" s="6">
        <f>VLOOKUP(A570,'[1]俄罗斯交易系统市值加权指数历史数据 (1)'!$A:$B,2,)</f>
        <v>1227.78</v>
      </c>
      <c r="O570" s="3">
        <v>5380.16</v>
      </c>
      <c r="P570" s="1">
        <v>596.87</v>
      </c>
      <c r="Q570" s="3">
        <v>10492.61</v>
      </c>
      <c r="R570" s="3">
        <v>1291.29</v>
      </c>
      <c r="S570" s="3">
        <v>7783.7</v>
      </c>
      <c r="T570" s="3">
        <v>6316.39</v>
      </c>
      <c r="U570" s="3">
        <v>3432.07</v>
      </c>
      <c r="V570" s="6">
        <f>VLOOKUP(A570,[2]韩国KOSPI指数历史数据!$A:$B,2,)</f>
        <v>2493.87</v>
      </c>
      <c r="W570" s="6">
        <f>VLOOKUP(A570,[3]日经225指数历史数据!$A:$B,2,)</f>
        <v>25385.87</v>
      </c>
      <c r="X570" s="3">
        <v>1418.39</v>
      </c>
      <c r="Y570" s="6">
        <f>VLOOKUP(A570,[4]上证指数历史数据!$A:$B,2,)</f>
        <v>3310.1</v>
      </c>
      <c r="Z570" s="6">
        <f>VLOOKUP(A570,[5]深证成份指数历史数据!$A:$B,2,)</f>
        <v>13754.55</v>
      </c>
      <c r="AA570" s="6">
        <f>VLOOKUP(A570,[6]台湾加权指数历史数据!$A:$B,2,)</f>
        <v>13273.33</v>
      </c>
      <c r="AB570" s="3">
        <v>26156.86</v>
      </c>
      <c r="AC570" s="3">
        <v>2711.39</v>
      </c>
      <c r="AD570">
        <v>12719.95</v>
      </c>
      <c r="AE570" s="5">
        <f>VLOOKUP(A570,[7]越南VN30指数历史数据!$A:$B,2,)</f>
        <v>931.2</v>
      </c>
      <c r="AF570">
        <v>52517.57</v>
      </c>
      <c r="AG570" s="9">
        <v>12990.62</v>
      </c>
      <c r="AH570">
        <v>10657.54</v>
      </c>
      <c r="AI570">
        <v>1509.4</v>
      </c>
      <c r="AJ570">
        <v>1812.67</v>
      </c>
    </row>
    <row r="571" spans="1:36" x14ac:dyDescent="0.3">
      <c r="A571" s="2">
        <v>44150</v>
      </c>
      <c r="B571" s="3">
        <v>51492.34</v>
      </c>
      <c r="C571" s="4">
        <v>106042</v>
      </c>
      <c r="D571" s="3">
        <v>6539.2</v>
      </c>
      <c r="E571" s="3">
        <v>29263.48</v>
      </c>
      <c r="F571" s="3">
        <v>17019.099999999999</v>
      </c>
      <c r="G571" s="3">
        <v>1785.34</v>
      </c>
      <c r="H571" s="3">
        <v>3557.54</v>
      </c>
      <c r="I571" s="3">
        <v>11854.97</v>
      </c>
      <c r="J571" s="3">
        <v>41905.06</v>
      </c>
      <c r="K571" s="3">
        <v>20263.830000000002</v>
      </c>
      <c r="L571" s="3">
        <v>1820.85</v>
      </c>
      <c r="M571" s="3">
        <v>13137.25</v>
      </c>
      <c r="N571" s="6">
        <f>VLOOKUP(A571,'[1]俄罗斯交易系统市值加权指数历史数据 (1)'!$A:$B,2,)</f>
        <v>1262.69</v>
      </c>
      <c r="O571" s="3">
        <v>5495.89</v>
      </c>
      <c r="P571" s="1">
        <v>601.62</v>
      </c>
      <c r="Q571" s="3">
        <v>10495.65</v>
      </c>
      <c r="R571" s="3">
        <v>1323.95</v>
      </c>
      <c r="S571" s="3">
        <v>7977.9</v>
      </c>
      <c r="T571" s="3">
        <v>6351.45</v>
      </c>
      <c r="U571" s="3">
        <v>3467.6</v>
      </c>
      <c r="V571" s="6">
        <f>VLOOKUP(A571,[2]韩国KOSPI指数历史数据!$A:$B,2,)</f>
        <v>2553.5</v>
      </c>
      <c r="W571" s="6">
        <f>VLOOKUP(A571,[3]日经225指数历史数据!$A:$B,2,)</f>
        <v>25527.37</v>
      </c>
      <c r="X571" s="3">
        <v>1423.96</v>
      </c>
      <c r="Y571" s="6">
        <f>VLOOKUP(A571,[4]上证指数历史数据!$A:$B,2,)</f>
        <v>3377.73</v>
      </c>
      <c r="Z571" s="6">
        <f>VLOOKUP(A571,[5]深证成份指数历史数据!$A:$B,2,)</f>
        <v>13852.42</v>
      </c>
      <c r="AA571" s="6">
        <f>VLOOKUP(A571,[6]台湾加权指数历史数据!$A:$B,2,)</f>
        <v>13716.44</v>
      </c>
      <c r="AB571" s="3">
        <v>26451.54</v>
      </c>
      <c r="AC571" s="3">
        <v>2813.01</v>
      </c>
      <c r="AD571">
        <v>12859.05</v>
      </c>
      <c r="AE571" s="5">
        <f>VLOOKUP(A571,[7]越南VN30指数历史数据!$A:$B,2,)</f>
        <v>950.89</v>
      </c>
      <c r="AF571">
        <v>51915.4</v>
      </c>
      <c r="AG571" s="9">
        <v>12995.46</v>
      </c>
      <c r="AH571">
        <v>10900.41</v>
      </c>
      <c r="AI571">
        <v>1462.93</v>
      </c>
      <c r="AJ571">
        <v>1794.63</v>
      </c>
    </row>
    <row r="572" spans="1:36" x14ac:dyDescent="0.3">
      <c r="A572" s="2">
        <v>44157</v>
      </c>
      <c r="B572" s="3">
        <v>55427.26</v>
      </c>
      <c r="C572" s="4">
        <v>110575</v>
      </c>
      <c r="D572" s="3">
        <v>6601.1</v>
      </c>
      <c r="E572" s="3">
        <v>29910.37</v>
      </c>
      <c r="F572" s="3">
        <v>17396.560000000001</v>
      </c>
      <c r="G572" s="3">
        <v>1855.27</v>
      </c>
      <c r="H572" s="3">
        <v>3638.35</v>
      </c>
      <c r="I572" s="3">
        <v>12205.85</v>
      </c>
      <c r="J572" s="3">
        <v>41674.300000000003</v>
      </c>
      <c r="K572" s="3">
        <v>20593.349999999999</v>
      </c>
      <c r="L572" s="3">
        <v>1852.69</v>
      </c>
      <c r="M572" s="3">
        <v>13335.68</v>
      </c>
      <c r="N572" s="6">
        <f>VLOOKUP(A572,'[1]俄罗斯交易系统市值加权指数历史数据 (1)'!$A:$B,2,)</f>
        <v>1302.43</v>
      </c>
      <c r="O572" s="3">
        <v>5598.18</v>
      </c>
      <c r="P572" s="1">
        <v>611.66999999999996</v>
      </c>
      <c r="Q572" s="3">
        <v>10501.18</v>
      </c>
      <c r="R572" s="3">
        <v>1328.73</v>
      </c>
      <c r="S572" s="3">
        <v>8190.7</v>
      </c>
      <c r="T572" s="3">
        <v>6367.58</v>
      </c>
      <c r="U572" s="3">
        <v>3527.79</v>
      </c>
      <c r="V572" s="6">
        <f>VLOOKUP(A572,[2]韩国KOSPI指数历史数据!$A:$B,2,)</f>
        <v>2633.45</v>
      </c>
      <c r="W572" s="6">
        <f>VLOOKUP(A572,[3]日经225指数历史数据!$A:$B,2,)</f>
        <v>26644.71</v>
      </c>
      <c r="X572" s="3">
        <v>1486.38</v>
      </c>
      <c r="Y572" s="6">
        <f>VLOOKUP(A572,[4]上证指数历史数据!$A:$B,2,)</f>
        <v>3408.31</v>
      </c>
      <c r="Z572" s="6">
        <f>VLOOKUP(A572,[5]深证成份指数历史数据!$A:$B,2,)</f>
        <v>13690.88</v>
      </c>
      <c r="AA572" s="6">
        <f>VLOOKUP(A572,[6]台湾加权指数历史数据!$A:$B,2,)</f>
        <v>13867.09</v>
      </c>
      <c r="AB572" s="3">
        <v>26894.68</v>
      </c>
      <c r="AC572" s="3">
        <v>2855.82</v>
      </c>
      <c r="AD572">
        <v>12968.95</v>
      </c>
      <c r="AE572" s="5">
        <f>VLOOKUP(A572,[7]越南VN30指数历史数据!$A:$B,2,)</f>
        <v>971.11</v>
      </c>
      <c r="AF572">
        <v>53021.58</v>
      </c>
      <c r="AG572" s="9">
        <v>13137.71</v>
      </c>
      <c r="AH572">
        <v>10888.99</v>
      </c>
      <c r="AI572">
        <v>1487.64</v>
      </c>
      <c r="AJ572">
        <v>1799.12</v>
      </c>
    </row>
    <row r="573" spans="1:36" x14ac:dyDescent="0.3">
      <c r="A573" s="2">
        <v>44164</v>
      </c>
      <c r="B573" s="3">
        <v>54730.38</v>
      </c>
      <c r="C573" s="4">
        <v>113750</v>
      </c>
      <c r="D573" s="3">
        <v>6634.1</v>
      </c>
      <c r="E573" s="3">
        <v>30218.26</v>
      </c>
      <c r="F573" s="3">
        <v>17520.97</v>
      </c>
      <c r="G573" s="3">
        <v>1892.45</v>
      </c>
      <c r="H573" s="3">
        <v>3699.12</v>
      </c>
      <c r="I573" s="3">
        <v>12464.23</v>
      </c>
      <c r="J573" s="3">
        <v>43646.03</v>
      </c>
      <c r="K573" s="3">
        <v>20933.36</v>
      </c>
      <c r="L573" s="3">
        <v>1947.68</v>
      </c>
      <c r="M573" s="3">
        <v>13298.96</v>
      </c>
      <c r="N573" s="6">
        <f>VLOOKUP(A573,'[1]俄罗斯交易系统市值加权指数历史数据 (1)'!$A:$B,2,)</f>
        <v>1357.39</v>
      </c>
      <c r="O573" s="3">
        <v>5609.15</v>
      </c>
      <c r="P573" s="1">
        <v>615.66999999999996</v>
      </c>
      <c r="Q573" s="3">
        <v>10364.5</v>
      </c>
      <c r="R573" s="3">
        <v>1330.87</v>
      </c>
      <c r="S573" s="3">
        <v>8322.9</v>
      </c>
      <c r="T573" s="3">
        <v>6550.23</v>
      </c>
      <c r="U573" s="3">
        <v>3539.27</v>
      </c>
      <c r="V573" s="6">
        <f>VLOOKUP(A573,[2]韩国KOSPI指数历史数据!$A:$B,2,)</f>
        <v>2731.45</v>
      </c>
      <c r="W573" s="6">
        <f>VLOOKUP(A573,[3]日经225指数历史数据!$A:$B,2,)</f>
        <v>26751.24</v>
      </c>
      <c r="X573" s="3">
        <v>1447.02</v>
      </c>
      <c r="Y573" s="6">
        <f>VLOOKUP(A573,[4]上证指数历史数据!$A:$B,2,)</f>
        <v>3444.58</v>
      </c>
      <c r="Z573" s="6">
        <f>VLOOKUP(A573,[5]深证成份指数历史数据!$A:$B,2,)</f>
        <v>14026.66</v>
      </c>
      <c r="AA573" s="6">
        <f>VLOOKUP(A573,[6]台湾加权指数历史数据!$A:$B,2,)</f>
        <v>14132.44</v>
      </c>
      <c r="AB573" s="3">
        <v>26835.919999999998</v>
      </c>
      <c r="AC573" s="3">
        <v>2839.89</v>
      </c>
      <c r="AD573">
        <v>13258.55</v>
      </c>
      <c r="AE573" s="5">
        <f>VLOOKUP(A573,[7]越南VN30指数历史数据!$A:$B,2,)</f>
        <v>984.34</v>
      </c>
      <c r="AF573">
        <v>54500.04</v>
      </c>
      <c r="AG573" s="9">
        <v>13199.8</v>
      </c>
      <c r="AH573">
        <v>10977.68</v>
      </c>
      <c r="AI573">
        <v>1463.33</v>
      </c>
      <c r="AJ573">
        <v>1787.71</v>
      </c>
    </row>
    <row r="574" spans="1:36" x14ac:dyDescent="0.3">
      <c r="A574" s="2">
        <v>44171</v>
      </c>
      <c r="B574" s="3">
        <v>53822.44</v>
      </c>
      <c r="C574" s="4">
        <v>115128</v>
      </c>
      <c r="D574" s="3">
        <v>6642.6</v>
      </c>
      <c r="E574" s="3">
        <v>30046.37</v>
      </c>
      <c r="F574" s="3">
        <v>17548.919999999998</v>
      </c>
      <c r="G574" s="3">
        <v>1911.7</v>
      </c>
      <c r="H574" s="3">
        <v>3663.46</v>
      </c>
      <c r="I574" s="3">
        <v>12377.87</v>
      </c>
      <c r="J574" s="3">
        <v>43612.31</v>
      </c>
      <c r="K574" s="3">
        <v>20473.05</v>
      </c>
      <c r="L574" s="3">
        <v>1950.85</v>
      </c>
      <c r="M574" s="3">
        <v>13114.3</v>
      </c>
      <c r="N574" s="6">
        <f>VLOOKUP(A574,'[1]俄罗斯交易系统市值加权指数历史数据 (1)'!$A:$B,2,)</f>
        <v>1412.88</v>
      </c>
      <c r="O574" s="3">
        <v>5507.55</v>
      </c>
      <c r="P574" s="1">
        <v>614.46</v>
      </c>
      <c r="Q574" s="3">
        <v>10391.76</v>
      </c>
      <c r="R574" s="3">
        <v>1370.7</v>
      </c>
      <c r="S574" s="3">
        <v>8063.1</v>
      </c>
      <c r="T574" s="3">
        <v>6546.75</v>
      </c>
      <c r="U574" s="3">
        <v>3485.84</v>
      </c>
      <c r="V574" s="6">
        <f>VLOOKUP(A574,[2]韩国KOSPI指数历史数据!$A:$B,2,)</f>
        <v>2770.06</v>
      </c>
      <c r="W574" s="6">
        <f>VLOOKUP(A574,[3]日经225指数历史数据!$A:$B,2,)</f>
        <v>26652.52</v>
      </c>
      <c r="X574" s="3">
        <v>1472.62</v>
      </c>
      <c r="Y574" s="6">
        <f>VLOOKUP(A574,[4]上证指数历史数据!$A:$B,2,)</f>
        <v>3347.19</v>
      </c>
      <c r="Z574" s="6">
        <f>VLOOKUP(A574,[5]深证成份指数历史数据!$A:$B,2,)</f>
        <v>13555.14</v>
      </c>
      <c r="AA574" s="6">
        <f>VLOOKUP(A574,[6]台湾加权指数历史数据!$A:$B,2,)</f>
        <v>14261.69</v>
      </c>
      <c r="AB574" s="3">
        <v>26505.87</v>
      </c>
      <c r="AC574" s="3">
        <v>2821.7</v>
      </c>
      <c r="AD574">
        <v>13513.85</v>
      </c>
      <c r="AE574" s="5">
        <f>VLOOKUP(A574,[7]越南VN30指数历史数据!$A:$B,2,)</f>
        <v>1008.65</v>
      </c>
      <c r="AF574">
        <v>54458.61</v>
      </c>
      <c r="AG574" s="9">
        <v>13157.04</v>
      </c>
      <c r="AH574">
        <v>11366.94</v>
      </c>
      <c r="AI574">
        <v>1419.46</v>
      </c>
      <c r="AJ574">
        <v>1789.19</v>
      </c>
    </row>
    <row r="575" spans="1:36" x14ac:dyDescent="0.3">
      <c r="A575" s="2">
        <v>44178</v>
      </c>
      <c r="B575" s="3">
        <v>52346.77</v>
      </c>
      <c r="C575" s="4">
        <v>118024</v>
      </c>
      <c r="D575" s="3">
        <v>6675.5</v>
      </c>
      <c r="E575" s="3">
        <v>30179.05</v>
      </c>
      <c r="F575" s="3">
        <v>17534.63</v>
      </c>
      <c r="G575" s="3">
        <v>1969.99</v>
      </c>
      <c r="H575" s="3">
        <v>3709.41</v>
      </c>
      <c r="I575" s="3">
        <v>12755.64</v>
      </c>
      <c r="J575" s="3">
        <v>43873.81</v>
      </c>
      <c r="K575" s="3">
        <v>21059.56</v>
      </c>
      <c r="L575" s="3">
        <v>1952.54</v>
      </c>
      <c r="M575" s="3">
        <v>13630.51</v>
      </c>
      <c r="N575" s="6">
        <f>VLOOKUP(A575,'[1]俄罗斯交易系统市值加权指数历史数据 (1)'!$A:$B,2,)</f>
        <v>1402.5</v>
      </c>
      <c r="O575" s="3">
        <v>5527.84</v>
      </c>
      <c r="P575" s="1">
        <v>625.25</v>
      </c>
      <c r="Q575" s="3">
        <v>10523.86</v>
      </c>
      <c r="R575" s="3">
        <v>1408.32</v>
      </c>
      <c r="S575" s="3">
        <v>8037.4</v>
      </c>
      <c r="T575" s="3">
        <v>6529.18</v>
      </c>
      <c r="U575" s="3">
        <v>3545.74</v>
      </c>
      <c r="V575" s="6">
        <f>VLOOKUP(A575,[2]韩国KOSPI指数历史数据!$A:$B,2,)</f>
        <v>2772.18</v>
      </c>
      <c r="W575" s="6">
        <f>VLOOKUP(A575,[3]日经225指数历史数据!$A:$B,2,)</f>
        <v>26763.39</v>
      </c>
      <c r="X575" s="3">
        <v>1471.8</v>
      </c>
      <c r="Y575" s="6">
        <f>VLOOKUP(A575,[4]上证指数历史数据!$A:$B,2,)</f>
        <v>3394.9</v>
      </c>
      <c r="Z575" s="6">
        <f>VLOOKUP(A575,[5]深证成份指数历史数据!$A:$B,2,)</f>
        <v>13854.12</v>
      </c>
      <c r="AA575" s="6">
        <f>VLOOKUP(A575,[6]台湾加权指数历史数据!$A:$B,2,)</f>
        <v>14249.96</v>
      </c>
      <c r="AB575" s="3">
        <v>26498.6</v>
      </c>
      <c r="AC575" s="3">
        <v>2848.98</v>
      </c>
      <c r="AD575">
        <v>13760.55</v>
      </c>
      <c r="AE575" s="5">
        <f>VLOOKUP(A575,[7]越南VN30指数历史数据!$A:$B,2,)</f>
        <v>1036.6500000000001</v>
      </c>
      <c r="AF575">
        <v>54692.4</v>
      </c>
      <c r="AG575" s="9">
        <v>13062.36</v>
      </c>
      <c r="AH575">
        <v>11520.24</v>
      </c>
      <c r="AI575">
        <v>1497.16</v>
      </c>
      <c r="AJ575">
        <v>1781.69</v>
      </c>
    </row>
    <row r="576" spans="1:36" x14ac:dyDescent="0.3">
      <c r="A576" s="2">
        <v>44185</v>
      </c>
      <c r="B576" s="3">
        <v>51618.98</v>
      </c>
      <c r="C576" s="4">
        <v>117807</v>
      </c>
      <c r="D576" s="3">
        <v>6664.8</v>
      </c>
      <c r="E576" s="3">
        <v>30199.87</v>
      </c>
      <c r="F576" s="3">
        <v>17623.88</v>
      </c>
      <c r="G576" s="3">
        <v>2003.95</v>
      </c>
      <c r="H576" s="3">
        <v>3703.06</v>
      </c>
      <c r="I576" s="3">
        <v>12804.73</v>
      </c>
      <c r="J576" s="3">
        <v>43372.2</v>
      </c>
      <c r="K576" s="3">
        <v>20737.71</v>
      </c>
      <c r="L576" s="3">
        <v>1955.84</v>
      </c>
      <c r="M576" s="3">
        <v>13587.23</v>
      </c>
      <c r="N576" s="6">
        <f>VLOOKUP(A576,'[1]俄罗斯交易系统市值加权指数历史数据 (1)'!$A:$B,2,)</f>
        <v>1378.36</v>
      </c>
      <c r="O576" s="3">
        <v>5522.01</v>
      </c>
      <c r="P576" s="1">
        <v>626.37</v>
      </c>
      <c r="Q576" s="3">
        <v>10411.92</v>
      </c>
      <c r="R576" s="3">
        <v>1426.03</v>
      </c>
      <c r="S576" s="3">
        <v>8111.5</v>
      </c>
      <c r="T576" s="3">
        <v>6502.11</v>
      </c>
      <c r="U576" s="3">
        <v>3543.28</v>
      </c>
      <c r="V576" s="6">
        <f>VLOOKUP(A576,[2]韩国KOSPI指数历史数据!$A:$B,2,)</f>
        <v>2806.86</v>
      </c>
      <c r="W576" s="6">
        <f>VLOOKUP(A576,[3]日经225指数历史数据!$A:$B,2,)</f>
        <v>26656.61</v>
      </c>
      <c r="X576" s="3">
        <v>1470.36</v>
      </c>
      <c r="Y576" s="6">
        <f>VLOOKUP(A576,[4]上证指数历史数据!$A:$B,2,)</f>
        <v>3396.56</v>
      </c>
      <c r="Z576" s="6">
        <f>VLOOKUP(A576,[5]深证成份指数历史数据!$A:$B,2,)</f>
        <v>14017.06</v>
      </c>
      <c r="AA576" s="6">
        <f>VLOOKUP(A576,[6]台湾加权指数历史数据!$A:$B,2,)</f>
        <v>14331.42</v>
      </c>
      <c r="AB576" s="3">
        <v>26386.560000000001</v>
      </c>
      <c r="AC576" s="3">
        <v>2842.04</v>
      </c>
      <c r="AD576">
        <v>13749.25</v>
      </c>
      <c r="AE576" s="5">
        <f>VLOOKUP(A576,[7]越南VN30指数历史数据!$A:$B,2,)</f>
        <v>1052.1300000000001</v>
      </c>
      <c r="AF576">
        <v>54125.23</v>
      </c>
      <c r="AG576" s="9">
        <v>12894.25</v>
      </c>
      <c r="AH576">
        <v>11247.33</v>
      </c>
      <c r="AI576">
        <v>1568.25</v>
      </c>
      <c r="AJ576">
        <v>1812.12</v>
      </c>
    </row>
    <row r="577" spans="1:36" x14ac:dyDescent="0.3">
      <c r="A577" s="2">
        <v>44192</v>
      </c>
      <c r="B577" s="3">
        <v>51226.49</v>
      </c>
      <c r="C577" s="4">
        <v>119017</v>
      </c>
      <c r="D577" s="3">
        <v>6587.1</v>
      </c>
      <c r="E577" s="3">
        <v>30606.48</v>
      </c>
      <c r="F577" s="3">
        <v>17433.36</v>
      </c>
      <c r="G577" s="3">
        <v>1974.86</v>
      </c>
      <c r="H577" s="3">
        <v>3756.07</v>
      </c>
      <c r="I577" s="3">
        <v>12888.28</v>
      </c>
      <c r="J577" s="3">
        <v>44066.879999999997</v>
      </c>
      <c r="K577" s="3">
        <v>21007.46</v>
      </c>
      <c r="L577" s="3">
        <v>1983.98</v>
      </c>
      <c r="M577" s="3">
        <v>13718.78</v>
      </c>
      <c r="N577" s="6">
        <f>VLOOKUP(A577,'[1]俄罗斯交易系统市值加权指数历史数据 (1)'!$A:$B,2,)</f>
        <v>1387.46</v>
      </c>
      <c r="O577" s="3">
        <v>5551.41</v>
      </c>
      <c r="P577" s="1">
        <v>624.61</v>
      </c>
      <c r="Q577" s="3">
        <v>10703.51</v>
      </c>
      <c r="R577" s="3">
        <v>1476.72</v>
      </c>
      <c r="S577" s="3">
        <v>8073.7</v>
      </c>
      <c r="T577" s="3">
        <v>6460.52</v>
      </c>
      <c r="U577" s="3">
        <v>3552.64</v>
      </c>
      <c r="V577" s="6">
        <f>VLOOKUP(A577,[2]韩国KOSPI指数历史数据!$A:$B,2,)</f>
        <v>2873.47</v>
      </c>
      <c r="W577" s="6">
        <f>VLOOKUP(A577,[3]日经225指数历史数据!$A:$B,2,)</f>
        <v>27444.17</v>
      </c>
      <c r="X577" s="3">
        <v>1499.05</v>
      </c>
      <c r="Y577" s="6">
        <f>VLOOKUP(A577,[4]上证指数历史数据!$A:$B,2,)</f>
        <v>3473.07</v>
      </c>
      <c r="Z577" s="6">
        <f>VLOOKUP(A577,[5]深证成份指数历史数据!$A:$B,2,)</f>
        <v>14470.68</v>
      </c>
      <c r="AA577" s="6">
        <f>VLOOKUP(A577,[6]台湾加权指数历史数据!$A:$B,2,)</f>
        <v>14732.53</v>
      </c>
      <c r="AB577" s="3">
        <v>27231.13</v>
      </c>
      <c r="AC577" s="3">
        <v>2843.81</v>
      </c>
      <c r="AD577">
        <v>14018.5</v>
      </c>
      <c r="AE577" s="5">
        <f>VLOOKUP(A577,[7]越南VN30指数历史数据!$A:$B,2,)</f>
        <v>1070.77</v>
      </c>
      <c r="AF577">
        <v>54379.58</v>
      </c>
      <c r="AG577" s="9">
        <v>13245.88</v>
      </c>
      <c r="AH577">
        <v>11287.38</v>
      </c>
      <c r="AI577">
        <v>1640.11</v>
      </c>
      <c r="AJ577">
        <v>1816.88</v>
      </c>
    </row>
    <row r="578" spans="1:36" x14ac:dyDescent="0.3">
      <c r="A578" s="2">
        <v>44199</v>
      </c>
      <c r="B578" s="3">
        <v>51673.77</v>
      </c>
      <c r="C578" s="4">
        <v>125077</v>
      </c>
      <c r="D578" s="3">
        <v>6757.9</v>
      </c>
      <c r="E578" s="3">
        <v>31097.97</v>
      </c>
      <c r="F578" s="3">
        <v>18042.07</v>
      </c>
      <c r="G578" s="3">
        <v>2091.66</v>
      </c>
      <c r="H578" s="3">
        <v>3824.68</v>
      </c>
      <c r="I578" s="3">
        <v>13201.97</v>
      </c>
      <c r="J578" s="3">
        <v>46729.3</v>
      </c>
      <c r="K578" s="3">
        <v>22813.87</v>
      </c>
      <c r="L578" s="3">
        <v>2072.7399999999998</v>
      </c>
      <c r="M578" s="3">
        <v>14049.53</v>
      </c>
      <c r="N578" s="6">
        <f>VLOOKUP(A578,'[1]俄罗斯交易系统市值加权指数历史数据 (1)'!$A:$B,2,)</f>
        <v>1466.5</v>
      </c>
      <c r="O578" s="3">
        <v>5706.88</v>
      </c>
      <c r="P578" s="1">
        <v>645.6</v>
      </c>
      <c r="Q578" s="3">
        <v>10797.99</v>
      </c>
      <c r="R578" s="3">
        <v>1540.61</v>
      </c>
      <c r="S578" s="3">
        <v>8407.7000000000007</v>
      </c>
      <c r="T578" s="3">
        <v>6873.26</v>
      </c>
      <c r="U578" s="3">
        <v>3645.05</v>
      </c>
      <c r="V578" s="6">
        <f>VLOOKUP(A578,[2]韩国KOSPI指数历史数据!$A:$B,2,)</f>
        <v>3152.18</v>
      </c>
      <c r="W578" s="6">
        <f>VLOOKUP(A578,[3]日经225指数历史数据!$A:$B,2,)</f>
        <v>28139.03</v>
      </c>
      <c r="X578" s="3">
        <v>1540.73</v>
      </c>
      <c r="Y578" s="6">
        <f>VLOOKUP(A578,[4]上证指数历史数据!$A:$B,2,)</f>
        <v>3570.11</v>
      </c>
      <c r="Z578" s="6">
        <f>VLOOKUP(A578,[5]深证成份指数历史数据!$A:$B,2,)</f>
        <v>15319.29</v>
      </c>
      <c r="AA578" s="6">
        <f>VLOOKUP(A578,[6]台湾加权指数历史数据!$A:$B,2,)</f>
        <v>15463.95</v>
      </c>
      <c r="AB578" s="3">
        <v>27878.22</v>
      </c>
      <c r="AC578" s="3">
        <v>2993.19</v>
      </c>
      <c r="AD578">
        <v>14347.25</v>
      </c>
      <c r="AE578" s="5">
        <f>VLOOKUP(A578,[7]越南VN30指数历史数据!$A:$B,2,)</f>
        <v>1147.8599999999999</v>
      </c>
      <c r="AF578">
        <v>58423.34</v>
      </c>
      <c r="AG578" s="9">
        <v>13432.55</v>
      </c>
      <c r="AH578">
        <v>11249.14</v>
      </c>
      <c r="AI578">
        <v>1641.03</v>
      </c>
      <c r="AJ578">
        <v>1817.41</v>
      </c>
    </row>
    <row r="579" spans="1:36" x14ac:dyDescent="0.3">
      <c r="A579" s="2">
        <v>44206</v>
      </c>
      <c r="B579" s="3">
        <v>50500.83</v>
      </c>
      <c r="C579" s="4">
        <v>120349</v>
      </c>
      <c r="D579" s="3">
        <v>6715.4</v>
      </c>
      <c r="E579" s="3">
        <v>30814.26</v>
      </c>
      <c r="F579" s="3">
        <v>17909.03</v>
      </c>
      <c r="G579" s="3">
        <v>2123.1999999999998</v>
      </c>
      <c r="H579" s="3">
        <v>3768.25</v>
      </c>
      <c r="I579" s="3">
        <v>12998.5</v>
      </c>
      <c r="J579" s="3">
        <v>45892.28</v>
      </c>
      <c r="K579" s="3">
        <v>22972.11</v>
      </c>
      <c r="L579" s="3">
        <v>1985.68</v>
      </c>
      <c r="M579" s="3">
        <v>13787.73</v>
      </c>
      <c r="N579" s="6">
        <f>VLOOKUP(A579,'[1]俄罗斯交易系统市值加权指数历史数据 (1)'!$A:$B,2,)</f>
        <v>1474.28</v>
      </c>
      <c r="O579" s="3">
        <v>5611.69</v>
      </c>
      <c r="P579" s="1">
        <v>651.73</v>
      </c>
      <c r="Q579" s="3">
        <v>10877.06</v>
      </c>
      <c r="R579" s="3">
        <v>1524.49</v>
      </c>
      <c r="S579" s="3">
        <v>8230.7000000000007</v>
      </c>
      <c r="T579" s="3">
        <v>6735.71</v>
      </c>
      <c r="U579" s="3">
        <v>3599.55</v>
      </c>
      <c r="V579" s="6">
        <f>VLOOKUP(A579,[2]韩国KOSPI指数历史数据!$A:$B,2,)</f>
        <v>3085.9</v>
      </c>
      <c r="W579" s="6">
        <f>VLOOKUP(A579,[3]日经225指数历史数据!$A:$B,2,)</f>
        <v>28519.18</v>
      </c>
      <c r="X579" s="3">
        <v>1593.64</v>
      </c>
      <c r="Y579" s="6">
        <f>VLOOKUP(A579,[4]上证指数历史数据!$A:$B,2,)</f>
        <v>3566.38</v>
      </c>
      <c r="Z579" s="6">
        <f>VLOOKUP(A579,[5]深证成份指数历史数据!$A:$B,2,)</f>
        <v>15031.7</v>
      </c>
      <c r="AA579" s="6">
        <f>VLOOKUP(A579,[6]台湾加权指数历史数据!$A:$B,2,)</f>
        <v>15616.39</v>
      </c>
      <c r="AB579" s="3">
        <v>28573.86</v>
      </c>
      <c r="AC579" s="3">
        <v>3004.87</v>
      </c>
      <c r="AD579">
        <v>14433.7</v>
      </c>
      <c r="AE579" s="5">
        <f>VLOOKUP(A579,[7]越南VN30指数历史数据!$A:$B,2,)</f>
        <v>1182.2</v>
      </c>
      <c r="AF579">
        <v>58446.35</v>
      </c>
      <c r="AG579" s="9">
        <v>13886.97</v>
      </c>
      <c r="AH579">
        <v>11416.19</v>
      </c>
      <c r="AI579">
        <v>1687.18</v>
      </c>
      <c r="AJ579">
        <v>1803.04</v>
      </c>
    </row>
    <row r="580" spans="1:36" x14ac:dyDescent="0.3">
      <c r="A580" s="2">
        <v>44213</v>
      </c>
      <c r="B580" s="3">
        <v>48470.91</v>
      </c>
      <c r="C580" s="4">
        <v>117380</v>
      </c>
      <c r="D580" s="3">
        <v>6800.4</v>
      </c>
      <c r="E580" s="3">
        <v>30996.98</v>
      </c>
      <c r="F580" s="3">
        <v>17845.91</v>
      </c>
      <c r="G580" s="3">
        <v>2168.7600000000002</v>
      </c>
      <c r="H580" s="3">
        <v>3841.47</v>
      </c>
      <c r="I580" s="3">
        <v>13543.06</v>
      </c>
      <c r="J580" s="3">
        <v>44683.55</v>
      </c>
      <c r="K580" s="3">
        <v>22622.86</v>
      </c>
      <c r="L580" s="3">
        <v>1952.67</v>
      </c>
      <c r="M580" s="3">
        <v>13873.97</v>
      </c>
      <c r="N580" s="6">
        <f>VLOOKUP(A580,'[1]俄罗斯交易系统市值加权指数历史数据 (1)'!$A:$B,2,)</f>
        <v>1418.29</v>
      </c>
      <c r="O580" s="3">
        <v>5559.57</v>
      </c>
      <c r="P580" s="1">
        <v>660.53</v>
      </c>
      <c r="Q580" s="3">
        <v>10930.81</v>
      </c>
      <c r="R580" s="3">
        <v>1542.45</v>
      </c>
      <c r="S580" s="3">
        <v>8036.4</v>
      </c>
      <c r="T580" s="3">
        <v>6695.07</v>
      </c>
      <c r="U580" s="3">
        <v>3602.41</v>
      </c>
      <c r="V580" s="6">
        <f>VLOOKUP(A580,[2]韩国KOSPI指数历史数据!$A:$B,2,)</f>
        <v>3140.63</v>
      </c>
      <c r="W580" s="6">
        <f>VLOOKUP(A580,[3]日经225指数历史数据!$A:$B,2,)</f>
        <v>28631.45</v>
      </c>
      <c r="X580" s="3">
        <v>1613.29</v>
      </c>
      <c r="Y580" s="6">
        <f>VLOOKUP(A580,[4]上证指数历史数据!$A:$B,2,)</f>
        <v>3606.75</v>
      </c>
      <c r="Z580" s="6">
        <f>VLOOKUP(A580,[5]深证成份指数历史数据!$A:$B,2,)</f>
        <v>15628.73</v>
      </c>
      <c r="AA580" s="6">
        <f>VLOOKUP(A580,[6]台湾加权指数历史数据!$A:$B,2,)</f>
        <v>16019.03</v>
      </c>
      <c r="AB580" s="3">
        <v>29447.85</v>
      </c>
      <c r="AC580" s="3">
        <v>2991.53</v>
      </c>
      <c r="AD580">
        <v>14371.9</v>
      </c>
      <c r="AE580" s="5">
        <f>VLOOKUP(A580,[7]越南VN30指数历史数据!$A:$B,2,)</f>
        <v>1156.58</v>
      </c>
      <c r="AF580">
        <v>58886.26</v>
      </c>
      <c r="AG580" s="9">
        <v>14167.3</v>
      </c>
      <c r="AH580">
        <v>11563.73</v>
      </c>
      <c r="AI580">
        <v>1683.74</v>
      </c>
      <c r="AJ580">
        <v>1795.06</v>
      </c>
    </row>
    <row r="581" spans="1:36" x14ac:dyDescent="0.3">
      <c r="A581" s="2">
        <v>44220</v>
      </c>
      <c r="B581" s="3">
        <v>48257.14</v>
      </c>
      <c r="C581" s="4">
        <v>115068</v>
      </c>
      <c r="D581" s="3">
        <v>6607.4</v>
      </c>
      <c r="E581" s="3">
        <v>29982.62</v>
      </c>
      <c r="F581" s="3">
        <v>17337.02</v>
      </c>
      <c r="G581" s="3">
        <v>2073.64</v>
      </c>
      <c r="H581" s="3">
        <v>3714.24</v>
      </c>
      <c r="I581" s="3">
        <v>13070.7</v>
      </c>
      <c r="J581" s="3">
        <v>42985.73</v>
      </c>
      <c r="K581" s="3">
        <v>21681.02</v>
      </c>
      <c r="L581" s="3">
        <v>1948.01</v>
      </c>
      <c r="M581" s="3">
        <v>13432.87</v>
      </c>
      <c r="N581" s="6">
        <f>VLOOKUP(A581,'[1]俄罗斯交易系统市值加权指数历史数据 (1)'!$A:$B,2,)</f>
        <v>1367.64</v>
      </c>
      <c r="O581" s="3">
        <v>5399.21</v>
      </c>
      <c r="P581" s="1">
        <v>637.11</v>
      </c>
      <c r="Q581" s="3">
        <v>10591.06</v>
      </c>
      <c r="R581" s="3">
        <v>1473.45</v>
      </c>
      <c r="S581" s="3">
        <v>7757.5</v>
      </c>
      <c r="T581" s="3">
        <v>6407.46</v>
      </c>
      <c r="U581" s="3">
        <v>3481.44</v>
      </c>
      <c r="V581" s="6">
        <f>VLOOKUP(A581,[2]韩国KOSPI指数历史数据!$A:$B,2,)</f>
        <v>2976.21</v>
      </c>
      <c r="W581" s="6">
        <f>VLOOKUP(A581,[3]日经225指数历史数据!$A:$B,2,)</f>
        <v>27663.39</v>
      </c>
      <c r="X581" s="3">
        <v>1599.45</v>
      </c>
      <c r="Y581" s="6">
        <f>VLOOKUP(A581,[4]上证指数历史数据!$A:$B,2,)</f>
        <v>3483.07</v>
      </c>
      <c r="Z581" s="6">
        <f>VLOOKUP(A581,[5]深证成份指数历史数据!$A:$B,2,)</f>
        <v>14821.99</v>
      </c>
      <c r="AA581" s="6">
        <f>VLOOKUP(A581,[6]台湾加权指数历史数据!$A:$B,2,)</f>
        <v>15138.31</v>
      </c>
      <c r="AB581" s="3">
        <v>28283.71</v>
      </c>
      <c r="AC581" s="3">
        <v>2902.52</v>
      </c>
      <c r="AD581">
        <v>13634.6</v>
      </c>
      <c r="AE581" s="5">
        <f>VLOOKUP(A581,[7]越南VN30指数历史数据!$A:$B,2,)</f>
        <v>1048.31</v>
      </c>
      <c r="AF581">
        <v>57312.45</v>
      </c>
      <c r="AG581" s="9">
        <v>14163.12</v>
      </c>
      <c r="AH581">
        <v>11630.01</v>
      </c>
      <c r="AI581">
        <v>1720.95</v>
      </c>
      <c r="AJ581">
        <v>1790.18</v>
      </c>
    </row>
    <row r="582" spans="1:36" x14ac:dyDescent="0.3">
      <c r="A582" s="2">
        <v>44227</v>
      </c>
      <c r="B582" s="3">
        <v>51052.73</v>
      </c>
      <c r="C582" s="4">
        <v>120240</v>
      </c>
      <c r="D582" s="3">
        <v>6840.5</v>
      </c>
      <c r="E582" s="3">
        <v>31148.240000000002</v>
      </c>
      <c r="F582" s="3">
        <v>18135.900000000001</v>
      </c>
      <c r="G582" s="3">
        <v>2233.33</v>
      </c>
      <c r="H582" s="3">
        <v>3886.83</v>
      </c>
      <c r="I582" s="3">
        <v>13856.3</v>
      </c>
      <c r="J582" s="3">
        <v>44145.7</v>
      </c>
      <c r="K582" s="3">
        <v>22478.25</v>
      </c>
      <c r="L582" s="3">
        <v>1957.73</v>
      </c>
      <c r="M582" s="3">
        <v>14056.72</v>
      </c>
      <c r="N582" s="6">
        <f>VLOOKUP(A582,'[1]俄罗斯交易系统市值加权指数历史数据 (1)'!$A:$B,2,)</f>
        <v>1431.76</v>
      </c>
      <c r="O582" s="3">
        <v>5659.26</v>
      </c>
      <c r="P582" s="1">
        <v>653.24</v>
      </c>
      <c r="Q582" s="3">
        <v>10755.47</v>
      </c>
      <c r="R582" s="3">
        <v>1527.17</v>
      </c>
      <c r="S582" s="3">
        <v>8214.7000000000007</v>
      </c>
      <c r="T582" s="3">
        <v>6489.33</v>
      </c>
      <c r="U582" s="3">
        <v>3655.77</v>
      </c>
      <c r="V582" s="6">
        <f>VLOOKUP(A582,[2]韩国KOSPI指数历史数据!$A:$B,2,)</f>
        <v>3120.63</v>
      </c>
      <c r="W582" s="6">
        <f>VLOOKUP(A582,[3]日经225指数历史数据!$A:$B,2,)</f>
        <v>28779.19</v>
      </c>
      <c r="X582" s="3">
        <v>1600.91</v>
      </c>
      <c r="Y582" s="6">
        <f>VLOOKUP(A582,[4]上证指数历史数据!$A:$B,2,)</f>
        <v>3496.33</v>
      </c>
      <c r="Z582" s="6">
        <f>VLOOKUP(A582,[5]深证成份指数历史数据!$A:$B,2,)</f>
        <v>15007.29</v>
      </c>
      <c r="AA582" s="6">
        <f>VLOOKUP(A582,[6]台湾加权指数历史数据!$A:$B,2,)</f>
        <v>15802.4</v>
      </c>
      <c r="AB582" s="3">
        <v>29288.68</v>
      </c>
      <c r="AC582" s="3">
        <v>2907.11</v>
      </c>
      <c r="AD582">
        <v>14924.25</v>
      </c>
      <c r="AE582" s="5">
        <f>VLOOKUP(A582,[7]越南VN30指数历史数据!$A:$B,2,)</f>
        <v>1135.5</v>
      </c>
      <c r="AF582">
        <v>58877.36</v>
      </c>
      <c r="AG582" s="9">
        <v>14164.85</v>
      </c>
      <c r="AH582">
        <v>11713.5</v>
      </c>
      <c r="AI582">
        <v>1689.05</v>
      </c>
      <c r="AJ582">
        <v>1831.94</v>
      </c>
    </row>
    <row r="583" spans="1:36" x14ac:dyDescent="0.3">
      <c r="A583" s="2">
        <v>44234</v>
      </c>
      <c r="B583" s="3">
        <v>51466.21</v>
      </c>
      <c r="C583" s="4">
        <v>119429</v>
      </c>
      <c r="D583" s="3">
        <v>6806.7</v>
      </c>
      <c r="E583" s="3">
        <v>31458.400000000001</v>
      </c>
      <c r="F583" s="3">
        <v>18460.21</v>
      </c>
      <c r="G583" s="3">
        <v>2289.36</v>
      </c>
      <c r="H583" s="3">
        <v>3934.83</v>
      </c>
      <c r="I583" s="3">
        <v>14095.47</v>
      </c>
      <c r="J583" s="3">
        <v>44202.52</v>
      </c>
      <c r="K583" s="3">
        <v>23201.71</v>
      </c>
      <c r="L583" s="3">
        <v>1937.07</v>
      </c>
      <c r="M583" s="3">
        <v>14049.89</v>
      </c>
      <c r="N583" s="6">
        <f>VLOOKUP(A583,'[1]俄罗斯交易系统市值加权指数历史数据 (1)'!$A:$B,2,)</f>
        <v>1461.99</v>
      </c>
      <c r="O583" s="3">
        <v>5703.67</v>
      </c>
      <c r="P583" s="1">
        <v>676.83</v>
      </c>
      <c r="Q583" s="3">
        <v>10880.37</v>
      </c>
      <c r="R583" s="3">
        <v>1538.44</v>
      </c>
      <c r="S583" s="3">
        <v>8055</v>
      </c>
      <c r="T583" s="3">
        <v>6589.79</v>
      </c>
      <c r="U583" s="3">
        <v>3695.61</v>
      </c>
      <c r="V583" s="6">
        <f>VLOOKUP(A583,[2]韩国KOSPI指数历史数据!$A:$B,2,)</f>
        <v>3100.58</v>
      </c>
      <c r="W583" s="6">
        <f>VLOOKUP(A583,[3]日经225指数历史数据!$A:$B,2,)</f>
        <v>29520.07</v>
      </c>
      <c r="X583" s="3">
        <v>1605.92</v>
      </c>
      <c r="Y583" s="6">
        <f>VLOOKUP(A583,[4]上证指数历史数据!$A:$B,2,)</f>
        <v>3655.09</v>
      </c>
      <c r="Z583" s="6">
        <f>VLOOKUP(A583,[5]深证成份指数历史数据!$A:$B,2,)</f>
        <v>15962.25</v>
      </c>
      <c r="AA583" s="6" t="e">
        <f>VLOOKUP(A583,[6]台湾加权指数历史数据!$A:$B,2,)</f>
        <v>#N/A</v>
      </c>
      <c r="AB583" s="3">
        <v>30173.57</v>
      </c>
      <c r="AC583" s="3">
        <v>2925.48</v>
      </c>
      <c r="AD583">
        <v>15163.3</v>
      </c>
      <c r="AE583" s="5">
        <f>VLOOKUP(A583,[7]越南VN30指数历史数据!$A:$B,2,)</f>
        <v>1129.49</v>
      </c>
      <c r="AF583">
        <v>60673.94</v>
      </c>
      <c r="AG583" s="9">
        <v>14258.25</v>
      </c>
      <c r="AH583">
        <v>11556.59</v>
      </c>
      <c r="AI583">
        <v>1627.23</v>
      </c>
      <c r="AJ583">
        <v>1852.9</v>
      </c>
    </row>
    <row r="584" spans="1:36" x14ac:dyDescent="0.3">
      <c r="A584" s="2">
        <v>44241</v>
      </c>
      <c r="B584" s="3">
        <v>50992.85</v>
      </c>
      <c r="C584" s="4">
        <v>118431</v>
      </c>
      <c r="D584" s="3">
        <v>6793.8</v>
      </c>
      <c r="E584" s="3">
        <v>31494.32</v>
      </c>
      <c r="F584" s="3">
        <v>18384.27</v>
      </c>
      <c r="G584" s="3">
        <v>2266.69</v>
      </c>
      <c r="H584" s="3">
        <v>3906.71</v>
      </c>
      <c r="I584" s="3">
        <v>13874.47</v>
      </c>
      <c r="J584" s="3">
        <v>44900.08</v>
      </c>
      <c r="K584" s="3">
        <v>23323.98</v>
      </c>
      <c r="L584" s="3">
        <v>1985.31</v>
      </c>
      <c r="M584" s="3">
        <v>13993.23</v>
      </c>
      <c r="N584" s="6">
        <f>VLOOKUP(A584,'[1]俄罗斯交易系统市值加权指数历史数据 (1)'!$A:$B,2,)</f>
        <v>1472.33</v>
      </c>
      <c r="O584" s="3">
        <v>5773.55</v>
      </c>
      <c r="P584" s="1">
        <v>678.48</v>
      </c>
      <c r="Q584" s="3">
        <v>10704.75</v>
      </c>
      <c r="R584" s="3">
        <v>1560.34</v>
      </c>
      <c r="S584" s="3">
        <v>8151.6</v>
      </c>
      <c r="T584" s="3">
        <v>6624.02</v>
      </c>
      <c r="U584" s="3">
        <v>3713.46</v>
      </c>
      <c r="V584" s="6">
        <f>VLOOKUP(A584,[2]韩国KOSPI指数历史数据!$A:$B,2,)</f>
        <v>3107.62</v>
      </c>
      <c r="W584" s="6">
        <f>VLOOKUP(A584,[3]日经225指数历史数据!$A:$B,2,)</f>
        <v>30017.919999999998</v>
      </c>
      <c r="X584" s="3">
        <v>1583.25</v>
      </c>
      <c r="Y584" s="6">
        <f>VLOOKUP(A584,[4]上证指数历史数据!$A:$B,2,)</f>
        <v>3696.17</v>
      </c>
      <c r="Z584" s="6">
        <f>VLOOKUP(A584,[5]深证成份指数历史数据!$A:$B,2,)</f>
        <v>15823.11</v>
      </c>
      <c r="AA584" s="6">
        <f>VLOOKUP(A584,[6]台湾加权指数历史数据!$A:$B,2,)</f>
        <v>16341.38</v>
      </c>
      <c r="AB584" s="3">
        <v>30644.73</v>
      </c>
      <c r="AC584" s="3">
        <v>2880.64</v>
      </c>
      <c r="AD584">
        <v>14981.75</v>
      </c>
      <c r="AE584" s="5">
        <f>VLOOKUP(A584,[7]越南VN30指数历史数据!$A:$B,2,)</f>
        <v>1180.5899999999999</v>
      </c>
      <c r="AF584">
        <v>62105.24</v>
      </c>
      <c r="AG584" s="9">
        <v>14048.7</v>
      </c>
      <c r="AH584">
        <v>11467.04</v>
      </c>
      <c r="AI584">
        <v>1612.56</v>
      </c>
      <c r="AJ584">
        <v>1853.71</v>
      </c>
    </row>
    <row r="585" spans="1:36" x14ac:dyDescent="0.3">
      <c r="A585" s="2">
        <v>44248</v>
      </c>
      <c r="B585" s="3">
        <v>48432.27</v>
      </c>
      <c r="C585" s="4">
        <v>110035</v>
      </c>
      <c r="D585" s="3">
        <v>6673.3</v>
      </c>
      <c r="E585" s="3">
        <v>30932.37</v>
      </c>
      <c r="F585" s="3">
        <v>18060.259999999998</v>
      </c>
      <c r="G585" s="3">
        <v>2201.0500000000002</v>
      </c>
      <c r="H585" s="3">
        <v>3811.15</v>
      </c>
      <c r="I585" s="3">
        <v>13192.35</v>
      </c>
      <c r="J585" s="3">
        <v>44592.91</v>
      </c>
      <c r="K585" s="3">
        <v>23099.23</v>
      </c>
      <c r="L585" s="3">
        <v>1907.28</v>
      </c>
      <c r="M585" s="3">
        <v>13786.29</v>
      </c>
      <c r="N585" s="6">
        <f>VLOOKUP(A585,'[1]俄罗斯交易系统市值加权指数历史数据 (1)'!$A:$B,2,)</f>
        <v>1411.93</v>
      </c>
      <c r="O585" s="3">
        <v>5703.22</v>
      </c>
      <c r="P585" s="1">
        <v>651.26</v>
      </c>
      <c r="Q585" s="3">
        <v>10522.22</v>
      </c>
      <c r="R585" s="3">
        <v>1471.39</v>
      </c>
      <c r="S585" s="3">
        <v>8225</v>
      </c>
      <c r="T585" s="3">
        <v>6483.43</v>
      </c>
      <c r="U585" s="3">
        <v>3636.44</v>
      </c>
      <c r="V585" s="6">
        <f>VLOOKUP(A585,[2]韩国KOSPI指数历史数据!$A:$B,2,)</f>
        <v>3012.95</v>
      </c>
      <c r="W585" s="6">
        <f>VLOOKUP(A585,[3]日经225指数历史数据!$A:$B,2,)</f>
        <v>28966.01</v>
      </c>
      <c r="X585" s="3">
        <v>1549.63</v>
      </c>
      <c r="Y585" s="6">
        <f>VLOOKUP(A585,[4]上证指数历史数据!$A:$B,2,)</f>
        <v>3509.08</v>
      </c>
      <c r="Z585" s="6">
        <f>VLOOKUP(A585,[5]深证成份指数历史数据!$A:$B,2,)</f>
        <v>14507.45</v>
      </c>
      <c r="AA585" s="6">
        <f>VLOOKUP(A585,[6]台湾加权指数历史数据!$A:$B,2,)</f>
        <v>15953.8</v>
      </c>
      <c r="AB585" s="3">
        <v>28980.21</v>
      </c>
      <c r="AC585" s="3">
        <v>2949.04</v>
      </c>
      <c r="AD585">
        <v>14529.15</v>
      </c>
      <c r="AE585" s="5">
        <f>VLOOKUP(A585,[7]越南VN30指数历史数据!$A:$B,2,)</f>
        <v>1173.5999999999999</v>
      </c>
      <c r="AF585">
        <v>60754.3</v>
      </c>
      <c r="AG585" s="9">
        <v>14261.36</v>
      </c>
      <c r="AH585">
        <v>11358.17</v>
      </c>
      <c r="AI585">
        <v>1593.45</v>
      </c>
      <c r="AJ585">
        <v>1844.09</v>
      </c>
    </row>
    <row r="586" spans="1:36" x14ac:dyDescent="0.3">
      <c r="A586" s="2">
        <v>44255</v>
      </c>
      <c r="B586" s="3">
        <v>47242.26</v>
      </c>
      <c r="C586" s="4">
        <v>115202</v>
      </c>
      <c r="D586" s="3">
        <v>6710.8</v>
      </c>
      <c r="E586" s="3">
        <v>31496.3</v>
      </c>
      <c r="F586" s="3">
        <v>18380.96</v>
      </c>
      <c r="G586" s="3">
        <v>2192.21</v>
      </c>
      <c r="H586" s="3">
        <v>3841.94</v>
      </c>
      <c r="I586" s="3">
        <v>12920.15</v>
      </c>
      <c r="J586" s="3">
        <v>46342.54</v>
      </c>
      <c r="K586" s="3">
        <v>23784.48</v>
      </c>
      <c r="L586" s="3">
        <v>1939.59</v>
      </c>
      <c r="M586" s="3">
        <v>13920.69</v>
      </c>
      <c r="N586" s="6">
        <f>VLOOKUP(A586,'[1]俄罗斯交易系统市值加权指数历史数据 (1)'!$A:$B,2,)</f>
        <v>1447.46</v>
      </c>
      <c r="O586" s="3">
        <v>5782.65</v>
      </c>
      <c r="P586" s="1">
        <v>653.87</v>
      </c>
      <c r="Q586" s="3">
        <v>10607.79</v>
      </c>
      <c r="R586" s="3">
        <v>1541.98</v>
      </c>
      <c r="S586" s="3">
        <v>8286.7999999999993</v>
      </c>
      <c r="T586" s="3">
        <v>6630.52</v>
      </c>
      <c r="U586" s="3">
        <v>3669.54</v>
      </c>
      <c r="V586" s="6">
        <f>VLOOKUP(A586,[2]韩国KOSPI指数历史数据!$A:$B,2,)</f>
        <v>3026.26</v>
      </c>
      <c r="W586" s="6">
        <f>VLOOKUP(A586,[3]日经225指数历史数据!$A:$B,2,)</f>
        <v>28864.32</v>
      </c>
      <c r="X586" s="3">
        <v>1538.94</v>
      </c>
      <c r="Y586" s="6">
        <f>VLOOKUP(A586,[4]上证指数历史数据!$A:$B,2,)</f>
        <v>3501.99</v>
      </c>
      <c r="Z586" s="6">
        <f>VLOOKUP(A586,[5]深证成份指数历史数据!$A:$B,2,)</f>
        <v>14412.31</v>
      </c>
      <c r="AA586" s="6">
        <f>VLOOKUP(A586,[6]台湾加权指数历史数据!$A:$B,2,)</f>
        <v>15855.23</v>
      </c>
      <c r="AB586" s="3">
        <v>29098.29</v>
      </c>
      <c r="AC586" s="3">
        <v>3013.85</v>
      </c>
      <c r="AD586">
        <v>14938.1</v>
      </c>
      <c r="AE586" s="5">
        <f>VLOOKUP(A586,[7]越南VN30指数历史数据!$A:$B,2,)</f>
        <v>1173.83</v>
      </c>
      <c r="AF586">
        <v>62788.639999999999</v>
      </c>
      <c r="AG586" s="9">
        <v>13905.49</v>
      </c>
      <c r="AH586">
        <v>11350.12</v>
      </c>
      <c r="AI586">
        <v>1570.11</v>
      </c>
      <c r="AJ586">
        <v>1841.94</v>
      </c>
    </row>
    <row r="587" spans="1:36" x14ac:dyDescent="0.3">
      <c r="A587" s="2">
        <v>44262</v>
      </c>
      <c r="B587" s="3">
        <v>49070.98</v>
      </c>
      <c r="C587" s="4">
        <v>114160</v>
      </c>
      <c r="D587" s="3">
        <v>6766.8</v>
      </c>
      <c r="E587" s="3">
        <v>32778.639999999999</v>
      </c>
      <c r="F587" s="3">
        <v>18851.32</v>
      </c>
      <c r="G587" s="3">
        <v>2352.79</v>
      </c>
      <c r="H587" s="3">
        <v>3943.34</v>
      </c>
      <c r="I587" s="3">
        <v>13319.86</v>
      </c>
      <c r="J587" s="3">
        <v>47769.87</v>
      </c>
      <c r="K587" s="3">
        <v>24623.13</v>
      </c>
      <c r="L587" s="3">
        <v>2006.11</v>
      </c>
      <c r="M587" s="3">
        <v>14502.39</v>
      </c>
      <c r="N587" s="6">
        <f>VLOOKUP(A587,'[1]俄罗斯交易系统市值加权指数历史数据 (1)'!$A:$B,2,)</f>
        <v>1519.5</v>
      </c>
      <c r="O587" s="3">
        <v>6046.55</v>
      </c>
      <c r="P587" s="1">
        <v>677.41</v>
      </c>
      <c r="Q587" s="3">
        <v>10839.93</v>
      </c>
      <c r="R587" s="3">
        <v>1557.39</v>
      </c>
      <c r="S587" s="3">
        <v>8644.5</v>
      </c>
      <c r="T587" s="3">
        <v>6761.47</v>
      </c>
      <c r="U587" s="3">
        <v>3833.36</v>
      </c>
      <c r="V587" s="6">
        <f>VLOOKUP(A587,[2]韩国KOSPI指数历史数据!$A:$B,2,)</f>
        <v>3054.39</v>
      </c>
      <c r="W587" s="6">
        <f>VLOOKUP(A587,[3]日经225指数历史数据!$A:$B,2,)</f>
        <v>29717.83</v>
      </c>
      <c r="X587" s="3">
        <v>1596.81</v>
      </c>
      <c r="Y587" s="6">
        <f>VLOOKUP(A587,[4]上证指数历史数据!$A:$B,2,)</f>
        <v>3453.08</v>
      </c>
      <c r="Z587" s="6">
        <f>VLOOKUP(A587,[5]深证成份指数历史数据!$A:$B,2,)</f>
        <v>13897.03</v>
      </c>
      <c r="AA587" s="6">
        <f>VLOOKUP(A587,[6]台湾加权指数历史数据!$A:$B,2,)</f>
        <v>16255.18</v>
      </c>
      <c r="AB587" s="3">
        <v>28739.72</v>
      </c>
      <c r="AC587" s="3">
        <v>3095.22</v>
      </c>
      <c r="AD587">
        <v>15030.95</v>
      </c>
      <c r="AE587" s="5">
        <f>VLOOKUP(A587,[7]越南VN30指数历史数据!$A:$B,2,)</f>
        <v>1187.81</v>
      </c>
      <c r="AF587">
        <v>62587.78</v>
      </c>
      <c r="AG587" s="9">
        <v>13781.59</v>
      </c>
      <c r="AH587">
        <v>11415.05</v>
      </c>
      <c r="AI587">
        <v>1535.59</v>
      </c>
      <c r="AJ587">
        <v>1867.44</v>
      </c>
    </row>
    <row r="588" spans="1:36" x14ac:dyDescent="0.3">
      <c r="A588" s="2">
        <v>44269</v>
      </c>
      <c r="B588" s="3">
        <v>48976</v>
      </c>
      <c r="C588" s="4">
        <v>116222</v>
      </c>
      <c r="D588" s="3">
        <v>6708.2</v>
      </c>
      <c r="E588" s="3">
        <v>32627.97</v>
      </c>
      <c r="F588" s="3">
        <v>18854</v>
      </c>
      <c r="G588" s="3">
        <v>2287.5500000000002</v>
      </c>
      <c r="H588" s="3">
        <v>3913.1</v>
      </c>
      <c r="I588" s="3">
        <v>13215.24</v>
      </c>
      <c r="J588" s="3">
        <v>47028.04</v>
      </c>
      <c r="K588" s="3">
        <v>24475.46</v>
      </c>
      <c r="L588" s="3">
        <v>1927.56</v>
      </c>
      <c r="M588" s="3">
        <v>14621</v>
      </c>
      <c r="N588" s="6">
        <f>VLOOKUP(A588,'[1]俄罗斯交易系统市值加权指数历史数据 (1)'!$A:$B,2,)</f>
        <v>1474.05</v>
      </c>
      <c r="O588" s="3">
        <v>5997.96</v>
      </c>
      <c r="P588" s="1">
        <v>681.7</v>
      </c>
      <c r="Q588" s="3">
        <v>10967.37</v>
      </c>
      <c r="R588" s="3">
        <v>1528.99</v>
      </c>
      <c r="S588" s="3">
        <v>8493</v>
      </c>
      <c r="T588" s="3">
        <v>6708.71</v>
      </c>
      <c r="U588" s="3">
        <v>3837.02</v>
      </c>
      <c r="V588" s="6">
        <f>VLOOKUP(A588,[2]韩国KOSPI指数历史数据!$A:$B,2,)</f>
        <v>3039.53</v>
      </c>
      <c r="W588" s="6">
        <f>VLOOKUP(A588,[3]日经225指数历史数据!$A:$B,2,)</f>
        <v>29792.05</v>
      </c>
      <c r="X588" s="3">
        <v>1587.28</v>
      </c>
      <c r="Y588" s="6">
        <f>VLOOKUP(A588,[4]上证指数历史数据!$A:$B,2,)</f>
        <v>3404.66</v>
      </c>
      <c r="Z588" s="6">
        <f>VLOOKUP(A588,[5]深证成份指数历史数据!$A:$B,2,)</f>
        <v>13606</v>
      </c>
      <c r="AA588" s="6">
        <f>VLOOKUP(A588,[6]台湾加权指数历史数据!$A:$B,2,)</f>
        <v>16070.24</v>
      </c>
      <c r="AB588" s="3">
        <v>28990.94</v>
      </c>
      <c r="AC588" s="3">
        <v>3134.54</v>
      </c>
      <c r="AD588">
        <v>14744</v>
      </c>
      <c r="AE588" s="5">
        <f>VLOOKUP(A588,[7]越南VN30指数历史数据!$A:$B,2,)</f>
        <v>1203.3599999999999</v>
      </c>
      <c r="AF588">
        <v>60313.4</v>
      </c>
      <c r="AG588" s="9">
        <v>13250.38</v>
      </c>
      <c r="AH588">
        <v>11465.21</v>
      </c>
      <c r="AI588">
        <v>1520.46</v>
      </c>
      <c r="AJ588">
        <v>1873.88</v>
      </c>
    </row>
    <row r="589" spans="1:36" x14ac:dyDescent="0.3">
      <c r="A589" s="2">
        <v>44276</v>
      </c>
      <c r="B589" s="3">
        <v>46440.78</v>
      </c>
      <c r="C589" s="4">
        <v>114781</v>
      </c>
      <c r="D589" s="3">
        <v>6824.2</v>
      </c>
      <c r="E589" s="3">
        <v>33072.879999999997</v>
      </c>
      <c r="F589" s="3">
        <v>18752.580000000002</v>
      </c>
      <c r="G589" s="3">
        <v>2221.48</v>
      </c>
      <c r="H589" s="3">
        <v>3974.54</v>
      </c>
      <c r="I589" s="3">
        <v>13138.72</v>
      </c>
      <c r="J589" s="3">
        <v>47379.19</v>
      </c>
      <c r="K589" s="3">
        <v>24450.98</v>
      </c>
      <c r="L589" s="3">
        <v>1918.71</v>
      </c>
      <c r="M589" s="3">
        <v>14748.94</v>
      </c>
      <c r="N589" s="6">
        <f>VLOOKUP(A589,'[1]俄罗斯交易系统市值加权指数历史数据 (1)'!$A:$B,2,)</f>
        <v>1449.85</v>
      </c>
      <c r="O589" s="3">
        <v>5988.81</v>
      </c>
      <c r="P589" s="1">
        <v>696.62</v>
      </c>
      <c r="Q589" s="3">
        <v>11116.81</v>
      </c>
      <c r="R589" s="3">
        <v>1382.15</v>
      </c>
      <c r="S589" s="3">
        <v>8498.2000000000007</v>
      </c>
      <c r="T589" s="3">
        <v>6740.59</v>
      </c>
      <c r="U589" s="3">
        <v>3866.68</v>
      </c>
      <c r="V589" s="6">
        <f>VLOOKUP(A589,[2]韩国KOSPI指数历史数据!$A:$B,2,)</f>
        <v>3041.01</v>
      </c>
      <c r="W589" s="6">
        <f>VLOOKUP(A589,[3]日经225指数历史数据!$A:$B,2,)</f>
        <v>29176.7</v>
      </c>
      <c r="X589" s="3">
        <v>1578.07</v>
      </c>
      <c r="Y589" s="6">
        <f>VLOOKUP(A589,[4]上证指数历史数据!$A:$B,2,)</f>
        <v>3418.33</v>
      </c>
      <c r="Z589" s="6">
        <f>VLOOKUP(A589,[5]深证成份指数历史数据!$A:$B,2,)</f>
        <v>13769.68</v>
      </c>
      <c r="AA589" s="6">
        <f>VLOOKUP(A589,[6]台湾加权指数历史数据!$A:$B,2,)</f>
        <v>16305.88</v>
      </c>
      <c r="AB589" s="3">
        <v>28336.43</v>
      </c>
      <c r="AC589" s="3">
        <v>3157.95</v>
      </c>
      <c r="AD589">
        <v>14507.3</v>
      </c>
      <c r="AE589" s="5">
        <f>VLOOKUP(A589,[7]越南VN30指数历史数据!$A:$B,2,)</f>
        <v>1167.19</v>
      </c>
      <c r="AF589">
        <v>61244.27</v>
      </c>
      <c r="AG589" s="9">
        <v>13149.96</v>
      </c>
      <c r="AH589">
        <v>11499.38</v>
      </c>
      <c r="AI589">
        <v>1560.57</v>
      </c>
      <c r="AJ589">
        <v>1875.85</v>
      </c>
    </row>
    <row r="590" spans="1:36" x14ac:dyDescent="0.3">
      <c r="A590" s="2">
        <v>44283</v>
      </c>
      <c r="B590" s="3">
        <v>47982.39</v>
      </c>
      <c r="C590" s="4">
        <v>115253</v>
      </c>
      <c r="D590" s="3">
        <v>6828.7</v>
      </c>
      <c r="E590" s="3">
        <v>33153.21</v>
      </c>
      <c r="F590" s="3">
        <v>18990.32</v>
      </c>
      <c r="G590" s="3">
        <v>2253.9</v>
      </c>
      <c r="H590" s="3">
        <v>4019.87</v>
      </c>
      <c r="I590" s="3">
        <v>13480.11</v>
      </c>
      <c r="J590" s="3">
        <v>47246.26</v>
      </c>
      <c r="K590" s="3">
        <v>24645.73</v>
      </c>
      <c r="L590" s="3">
        <v>1954.38</v>
      </c>
      <c r="M590" s="3">
        <v>15107.17</v>
      </c>
      <c r="N590" s="6">
        <f>VLOOKUP(A590,'[1]俄罗斯交易系统市值加权指数历史数据 (1)'!$A:$B,2,)</f>
        <v>1466.71</v>
      </c>
      <c r="O590" s="3">
        <v>6102.96</v>
      </c>
      <c r="P590" s="1">
        <v>708.43</v>
      </c>
      <c r="Q590" s="3">
        <v>11118.03</v>
      </c>
      <c r="R590" s="3">
        <v>1430.19</v>
      </c>
      <c r="S590" s="3">
        <v>8577.6</v>
      </c>
      <c r="T590" s="3">
        <v>6737.3</v>
      </c>
      <c r="U590" s="3">
        <v>3945.96</v>
      </c>
      <c r="V590" s="6">
        <f>VLOOKUP(A590,[2]韩国KOSPI指数历史数据!$A:$B,2,)</f>
        <v>3112.8</v>
      </c>
      <c r="W590" s="6">
        <f>VLOOKUP(A590,[3]日经225指数历史数据!$A:$B,2,)</f>
        <v>29854</v>
      </c>
      <c r="X590" s="3">
        <v>1610.22</v>
      </c>
      <c r="Y590" s="6">
        <f>VLOOKUP(A590,[4]上证指数历史数据!$A:$B,2,)</f>
        <v>3484.39</v>
      </c>
      <c r="Z590" s="6">
        <f>VLOOKUP(A590,[5]深证成份指数历史数据!$A:$B,2,)</f>
        <v>14122.61</v>
      </c>
      <c r="AA590" s="6">
        <f>VLOOKUP(A590,[6]台湾加权指数历史数据!$A:$B,2,)</f>
        <v>16571.28</v>
      </c>
      <c r="AB590" s="3">
        <v>28938.74</v>
      </c>
      <c r="AC590" s="3">
        <v>3181.68</v>
      </c>
      <c r="AD590">
        <v>14867.35</v>
      </c>
      <c r="AE590" s="5">
        <f>VLOOKUP(A590,[7]越南VN30指数历史数据!$A:$B,2,)</f>
        <v>1238.03</v>
      </c>
      <c r="AF590">
        <v>61590.239999999998</v>
      </c>
      <c r="AG590" s="9">
        <v>12932.84</v>
      </c>
      <c r="AH590">
        <v>11572.95</v>
      </c>
      <c r="AI590">
        <v>1549.32</v>
      </c>
      <c r="AJ590">
        <v>1851.27</v>
      </c>
    </row>
    <row r="591" spans="1:36" x14ac:dyDescent="0.3">
      <c r="A591" s="2">
        <v>44290</v>
      </c>
      <c r="B591" s="3">
        <v>48845.99</v>
      </c>
      <c r="C591" s="4">
        <v>117670</v>
      </c>
      <c r="D591" s="3">
        <v>6995.2</v>
      </c>
      <c r="E591" s="3">
        <v>33800.6</v>
      </c>
      <c r="F591" s="3">
        <v>19228.03</v>
      </c>
      <c r="G591" s="3">
        <v>2243.4699999999998</v>
      </c>
      <c r="H591" s="3">
        <v>4128.8</v>
      </c>
      <c r="I591" s="3">
        <v>13900.19</v>
      </c>
      <c r="J591" s="3">
        <v>47627.67</v>
      </c>
      <c r="K591" s="3">
        <v>25000.06</v>
      </c>
      <c r="L591" s="3">
        <v>1975.11</v>
      </c>
      <c r="M591" s="3">
        <v>15234.16</v>
      </c>
      <c r="N591" s="6">
        <f>VLOOKUP(A591,'[1]俄罗斯交易系统市值加权指数历史数据 (1)'!$A:$B,2,)</f>
        <v>1417.77</v>
      </c>
      <c r="O591" s="3">
        <v>6169.41</v>
      </c>
      <c r="P591" s="1">
        <v>713.36</v>
      </c>
      <c r="Q591" s="3">
        <v>11238.52</v>
      </c>
      <c r="R591" s="3">
        <v>1393.24</v>
      </c>
      <c r="S591" s="3">
        <v>8565.7999999999993</v>
      </c>
      <c r="T591" s="3">
        <v>6915.75</v>
      </c>
      <c r="U591" s="3">
        <v>3978.84</v>
      </c>
      <c r="V591" s="6">
        <f>VLOOKUP(A591,[2]韩国KOSPI指数历史数据!$A:$B,2,)</f>
        <v>3131.88</v>
      </c>
      <c r="W591" s="6">
        <f>VLOOKUP(A591,[3]日经225指数历史数据!$A:$B,2,)</f>
        <v>29768.06</v>
      </c>
      <c r="X591" s="3">
        <v>1635.38</v>
      </c>
      <c r="Y591" s="6">
        <f>VLOOKUP(A591,[4]上证指数历史数据!$A:$B,2,)</f>
        <v>3450.68</v>
      </c>
      <c r="Z591" s="6">
        <f>VLOOKUP(A591,[5]深证成份指数历史数据!$A:$B,2,)</f>
        <v>13813.31</v>
      </c>
      <c r="AA591" s="6">
        <f>VLOOKUP(A591,[6]台湾加权指数历史数据!$A:$B,2,)</f>
        <v>16854.099999999999</v>
      </c>
      <c r="AB591" s="3">
        <v>28698.799999999999</v>
      </c>
      <c r="AC591" s="3">
        <v>3184.54</v>
      </c>
      <c r="AD591">
        <v>14834.85</v>
      </c>
      <c r="AE591" s="5">
        <f>VLOOKUP(A591,[7]越南VN30指数历史数据!$A:$B,2,)</f>
        <v>1253.26</v>
      </c>
      <c r="AF591">
        <v>61458.47</v>
      </c>
      <c r="AG591" s="9">
        <v>12665.03</v>
      </c>
      <c r="AH591">
        <v>11579.84</v>
      </c>
      <c r="AI591">
        <v>1545.94</v>
      </c>
      <c r="AJ591">
        <v>1868.83</v>
      </c>
    </row>
    <row r="592" spans="1:36" x14ac:dyDescent="0.3">
      <c r="A592" s="2">
        <v>44297</v>
      </c>
      <c r="B592" s="3">
        <v>47664.35</v>
      </c>
      <c r="C592" s="4">
        <v>121114</v>
      </c>
      <c r="D592" s="3">
        <v>7063.5</v>
      </c>
      <c r="E592" s="3">
        <v>34200.67</v>
      </c>
      <c r="F592" s="3">
        <v>19351.32</v>
      </c>
      <c r="G592" s="3">
        <v>2262.67</v>
      </c>
      <c r="H592" s="3">
        <v>4185.47</v>
      </c>
      <c r="I592" s="3">
        <v>14052.34</v>
      </c>
      <c r="J592" s="3">
        <v>48726.98</v>
      </c>
      <c r="K592" s="3">
        <v>25153.9</v>
      </c>
      <c r="L592" s="3">
        <v>2012.27</v>
      </c>
      <c r="M592" s="3">
        <v>15459.75</v>
      </c>
      <c r="N592" s="6">
        <f>VLOOKUP(A592,'[1]俄罗斯交易系统市值加权指数历史数据 (1)'!$A:$B,2,)</f>
        <v>1497.05</v>
      </c>
      <c r="O592" s="3">
        <v>6287.07</v>
      </c>
      <c r="P592" s="1">
        <v>716.8</v>
      </c>
      <c r="Q592" s="3">
        <v>11262.97</v>
      </c>
      <c r="R592" s="3">
        <v>1408.14</v>
      </c>
      <c r="S592" s="3">
        <v>8613.5</v>
      </c>
      <c r="T592" s="3">
        <v>7019.53</v>
      </c>
      <c r="U592" s="3">
        <v>4032.99</v>
      </c>
      <c r="V592" s="6">
        <f>VLOOKUP(A592,[2]韩国KOSPI指数历史数据!$A:$B,2,)</f>
        <v>3198.62</v>
      </c>
      <c r="W592" s="6">
        <f>VLOOKUP(A592,[3]日经225指数历史数据!$A:$B,2,)</f>
        <v>29683.37</v>
      </c>
      <c r="X592" s="3">
        <v>1631.97</v>
      </c>
      <c r="Y592" s="6">
        <f>VLOOKUP(A592,[4]上证指数历史数据!$A:$B,2,)</f>
        <v>3426.62</v>
      </c>
      <c r="Z592" s="6">
        <f>VLOOKUP(A592,[5]深证成份指数历史数据!$A:$B,2,)</f>
        <v>13720.74</v>
      </c>
      <c r="AA592" s="6">
        <f>VLOOKUP(A592,[6]台湾加权指数历史数据!$A:$B,2,)</f>
        <v>17158.810000000001</v>
      </c>
      <c r="AB592" s="3">
        <v>28969.71</v>
      </c>
      <c r="AC592" s="3">
        <v>3201.76</v>
      </c>
      <c r="AD592">
        <v>14617.85</v>
      </c>
      <c r="AE592" s="5">
        <f>VLOOKUP(A592,[7]越南VN30指数历史数据!$A:$B,2,)</f>
        <v>1276.8699999999999</v>
      </c>
      <c r="AF592">
        <v>62898.13</v>
      </c>
      <c r="AG592" s="9">
        <v>12458.29</v>
      </c>
      <c r="AH592">
        <v>11669.34</v>
      </c>
      <c r="AI592">
        <v>1541.39</v>
      </c>
      <c r="AJ592">
        <v>1895.48</v>
      </c>
    </row>
    <row r="593" spans="1:36" x14ac:dyDescent="0.3">
      <c r="A593" s="2">
        <v>44304</v>
      </c>
      <c r="B593" s="3">
        <v>47374.47</v>
      </c>
      <c r="C593" s="4">
        <v>120530</v>
      </c>
      <c r="D593" s="3">
        <v>7060.7</v>
      </c>
      <c r="E593" s="3">
        <v>34043.49</v>
      </c>
      <c r="F593" s="3">
        <v>19102.330000000002</v>
      </c>
      <c r="G593" s="3">
        <v>2271.86</v>
      </c>
      <c r="H593" s="3">
        <v>4180.17</v>
      </c>
      <c r="I593" s="3">
        <v>14016.81</v>
      </c>
      <c r="J593" s="3">
        <v>49091.09</v>
      </c>
      <c r="K593" s="3">
        <v>24425.34</v>
      </c>
      <c r="L593" s="3">
        <v>1986.63</v>
      </c>
      <c r="M593" s="3">
        <v>15279.62</v>
      </c>
      <c r="N593" s="6">
        <f>VLOOKUP(A593,'[1]俄罗斯交易系统市值加权指数历史数据 (1)'!$A:$B,2,)</f>
        <v>1511.85</v>
      </c>
      <c r="O593" s="3">
        <v>6257.94</v>
      </c>
      <c r="P593" s="1">
        <v>715.77</v>
      </c>
      <c r="Q593" s="3">
        <v>11200.54</v>
      </c>
      <c r="R593" s="3">
        <v>1345.15</v>
      </c>
      <c r="S593" s="3">
        <v>8618.6</v>
      </c>
      <c r="T593" s="3">
        <v>6938.56</v>
      </c>
      <c r="U593" s="3">
        <v>4013.34</v>
      </c>
      <c r="V593" s="6">
        <f>VLOOKUP(A593,[2]韩国KOSPI指数历史数据!$A:$B,2,)</f>
        <v>3186.1</v>
      </c>
      <c r="W593" s="6">
        <f>VLOOKUP(A593,[3]日经225指数历史数据!$A:$B,2,)</f>
        <v>29020.63</v>
      </c>
      <c r="X593" s="3">
        <v>1633.03</v>
      </c>
      <c r="Y593" s="6">
        <f>VLOOKUP(A593,[4]上证指数历史数据!$A:$B,2,)</f>
        <v>3474.17</v>
      </c>
      <c r="Z593" s="6">
        <f>VLOOKUP(A593,[5]深证成份指数历史数据!$A:$B,2,)</f>
        <v>14351.86</v>
      </c>
      <c r="AA593" s="6">
        <f>VLOOKUP(A593,[6]台湾加权指数历史数据!$A:$B,2,)</f>
        <v>17300.27</v>
      </c>
      <c r="AB593" s="3">
        <v>29078.75</v>
      </c>
      <c r="AC593" s="3">
        <v>3194.04</v>
      </c>
      <c r="AD593">
        <v>14341.35</v>
      </c>
      <c r="AE593" s="5">
        <f>VLOOKUP(A593,[7]越南VN30指数历史数据!$A:$B,2,)</f>
        <v>1301.3900000000001</v>
      </c>
      <c r="AF593">
        <v>61478.76</v>
      </c>
      <c r="AG593" s="9">
        <v>12893.34</v>
      </c>
      <c r="AH593">
        <v>11739.44</v>
      </c>
      <c r="AI593">
        <v>1566.66</v>
      </c>
      <c r="AJ593">
        <v>1883.22</v>
      </c>
    </row>
    <row r="594" spans="1:36" x14ac:dyDescent="0.3">
      <c r="A594" s="2">
        <v>44311</v>
      </c>
      <c r="B594" s="3">
        <v>49056.1</v>
      </c>
      <c r="C594" s="4">
        <v>118894</v>
      </c>
      <c r="D594" s="3">
        <v>7025.8</v>
      </c>
      <c r="E594" s="3">
        <v>33874.85</v>
      </c>
      <c r="F594" s="3">
        <v>19108.330000000002</v>
      </c>
      <c r="G594" s="3">
        <v>2266.4499999999998</v>
      </c>
      <c r="H594" s="3">
        <v>4181.17</v>
      </c>
      <c r="I594" s="3">
        <v>13962.68</v>
      </c>
      <c r="J594" s="3">
        <v>48009.72</v>
      </c>
      <c r="K594" s="3">
        <v>22623.22</v>
      </c>
      <c r="L594" s="3">
        <v>2037.59</v>
      </c>
      <c r="M594" s="3">
        <v>15135.91</v>
      </c>
      <c r="N594" s="6">
        <f>VLOOKUP(A594,'[1]俄罗斯交易系统市值加权指数历史数据 (1)'!$A:$B,2,)</f>
        <v>1485.03</v>
      </c>
      <c r="O594" s="3">
        <v>6269.48</v>
      </c>
      <c r="P594" s="1">
        <v>707.56</v>
      </c>
      <c r="Q594" s="3">
        <v>11022.34</v>
      </c>
      <c r="R594" s="3">
        <v>1397.82</v>
      </c>
      <c r="S594" s="3">
        <v>8815</v>
      </c>
      <c r="T594" s="3">
        <v>6969.81</v>
      </c>
      <c r="U594" s="3">
        <v>3974.74</v>
      </c>
      <c r="V594" s="6">
        <f>VLOOKUP(A594,[2]韩国KOSPI指数历史数据!$A:$B,2,)</f>
        <v>3147.86</v>
      </c>
      <c r="W594" s="6">
        <f>VLOOKUP(A594,[3]日经225指数历史数据!$A:$B,2,)</f>
        <v>28812.63</v>
      </c>
      <c r="X594" s="3">
        <v>1641.76</v>
      </c>
      <c r="Y594" s="6">
        <f>VLOOKUP(A594,[4]上证指数历史数据!$A:$B,2,)</f>
        <v>3446.86</v>
      </c>
      <c r="Z594" s="6">
        <f>VLOOKUP(A594,[5]深证成份指数历史数据!$A:$B,2,)</f>
        <v>14438.57</v>
      </c>
      <c r="AA594" s="6">
        <f>VLOOKUP(A594,[6]台湾加权指数历史数据!$A:$B,2,)</f>
        <v>17566.66</v>
      </c>
      <c r="AB594" s="3">
        <v>28724.880000000001</v>
      </c>
      <c r="AC594" s="3">
        <v>3218.27</v>
      </c>
      <c r="AD594">
        <v>14631.1</v>
      </c>
      <c r="AE594" s="5">
        <f>VLOOKUP(A594,[7]越南VN30指数历史数据!$A:$B,2,)</f>
        <v>1312.28</v>
      </c>
      <c r="AF594">
        <v>61096.37</v>
      </c>
      <c r="AG594" s="9">
        <v>12704.5</v>
      </c>
      <c r="AH594">
        <v>11811.23</v>
      </c>
      <c r="AI594">
        <v>1598.76</v>
      </c>
      <c r="AJ594">
        <v>1878.46</v>
      </c>
    </row>
    <row r="595" spans="1:36" x14ac:dyDescent="0.3">
      <c r="A595" s="2">
        <v>44318</v>
      </c>
      <c r="B595" s="3">
        <v>51419.49</v>
      </c>
      <c r="C595" s="4">
        <v>122038</v>
      </c>
      <c r="D595" s="3">
        <v>7080.8</v>
      </c>
      <c r="E595" s="3">
        <v>34777.760000000002</v>
      </c>
      <c r="F595" s="3">
        <v>19472.740000000002</v>
      </c>
      <c r="G595" s="3">
        <v>2271.63</v>
      </c>
      <c r="H595" s="3">
        <v>4232.6000000000004</v>
      </c>
      <c r="I595" s="3">
        <v>13752.24</v>
      </c>
      <c r="J595" s="3">
        <v>49249.02</v>
      </c>
      <c r="K595" s="3">
        <v>23293.919999999998</v>
      </c>
      <c r="L595" s="3">
        <v>2097.31</v>
      </c>
      <c r="M595" s="3">
        <v>15399.65</v>
      </c>
      <c r="N595" s="6">
        <f>VLOOKUP(A595,'[1]俄罗斯交易系统市值加权指数历史数据 (1)'!$A:$B,2,)</f>
        <v>1577.51</v>
      </c>
      <c r="O595" s="3">
        <v>6385.51</v>
      </c>
      <c r="P595" s="1">
        <v>718.41</v>
      </c>
      <c r="Q595" s="3">
        <v>11173.57</v>
      </c>
      <c r="R595" s="3">
        <v>1441.33</v>
      </c>
      <c r="S595" s="3">
        <v>9059.2000000000007</v>
      </c>
      <c r="T595" s="3">
        <v>7129.71</v>
      </c>
      <c r="U595" s="3">
        <v>4034.25</v>
      </c>
      <c r="V595" s="6">
        <f>VLOOKUP(A595,[2]韩国KOSPI指数历史数据!$A:$B,2,)</f>
        <v>3197.2</v>
      </c>
      <c r="W595" s="6">
        <f>VLOOKUP(A595,[3]日经225指数历史数据!$A:$B,2,)</f>
        <v>29357.82</v>
      </c>
      <c r="X595" s="3">
        <v>1648.7</v>
      </c>
      <c r="Y595" s="6">
        <f>VLOOKUP(A595,[4]上证指数历史数据!$A:$B,2,)</f>
        <v>3418.87</v>
      </c>
      <c r="Z595" s="6">
        <f>VLOOKUP(A595,[5]深证成份指数历史数据!$A:$B,2,)</f>
        <v>13933.81</v>
      </c>
      <c r="AA595" s="6">
        <f>VLOOKUP(A595,[6]台湾加权指数历史数据!$A:$B,2,)</f>
        <v>17285</v>
      </c>
      <c r="AB595" s="3">
        <v>28610.65</v>
      </c>
      <c r="AC595" s="3">
        <v>3200.26</v>
      </c>
      <c r="AD595">
        <v>14823.15</v>
      </c>
      <c r="AE595" s="5">
        <f>VLOOKUP(A595,[7]越南VN30指数历史数据!$A:$B,2,)</f>
        <v>1340.73</v>
      </c>
      <c r="AF595">
        <v>62573.36</v>
      </c>
      <c r="AG595" s="9">
        <v>12800.29</v>
      </c>
      <c r="AH595">
        <v>12012.39</v>
      </c>
      <c r="AI595">
        <v>1567.42</v>
      </c>
      <c r="AJ595">
        <v>1911.57</v>
      </c>
    </row>
    <row r="596" spans="1:36" x14ac:dyDescent="0.3">
      <c r="A596" s="2">
        <v>44325</v>
      </c>
      <c r="B596" s="3">
        <v>54850.06</v>
      </c>
      <c r="C596" s="4">
        <v>121881</v>
      </c>
      <c r="D596" s="3">
        <v>7014.2</v>
      </c>
      <c r="E596" s="3">
        <v>34382.129999999997</v>
      </c>
      <c r="F596" s="3">
        <v>19366.689999999999</v>
      </c>
      <c r="G596" s="3">
        <v>2224.63</v>
      </c>
      <c r="H596" s="3">
        <v>4173.8500000000004</v>
      </c>
      <c r="I596" s="3">
        <v>13429.98</v>
      </c>
      <c r="J596" s="3">
        <v>49219.26</v>
      </c>
      <c r="K596" s="3">
        <v>23054.59</v>
      </c>
      <c r="L596" s="3">
        <v>2092.8000000000002</v>
      </c>
      <c r="M596" s="3">
        <v>15416.64</v>
      </c>
      <c r="N596" s="6">
        <f>VLOOKUP(A596,'[1]俄罗斯交易系统市值加权指数历史数据 (1)'!$A:$B,2,)</f>
        <v>1548.93</v>
      </c>
      <c r="O596" s="3">
        <v>6385.14</v>
      </c>
      <c r="P596" s="1">
        <v>703.33</v>
      </c>
      <c r="Q596" s="3">
        <v>11120.77</v>
      </c>
      <c r="R596" s="3">
        <v>1441.33</v>
      </c>
      <c r="S596" s="3">
        <v>9145.6</v>
      </c>
      <c r="T596" s="3">
        <v>7043.61</v>
      </c>
      <c r="U596" s="3">
        <v>4017.44</v>
      </c>
      <c r="V596" s="6">
        <f>VLOOKUP(A596,[2]韩国KOSPI指数历史数据!$A:$B,2,)</f>
        <v>3153.32</v>
      </c>
      <c r="W596" s="6">
        <f>VLOOKUP(A596,[3]日经225指数历史数据!$A:$B,2,)</f>
        <v>28084.47</v>
      </c>
      <c r="X596" s="3">
        <v>1640.62</v>
      </c>
      <c r="Y596" s="6">
        <f>VLOOKUP(A596,[4]上证指数历史数据!$A:$B,2,)</f>
        <v>3490.38</v>
      </c>
      <c r="Z596" s="6">
        <f>VLOOKUP(A596,[5]深证成份指数历史数据!$A:$B,2,)</f>
        <v>14208.78</v>
      </c>
      <c r="AA596" s="6">
        <f>VLOOKUP(A596,[6]台湾加权指数历史数据!$A:$B,2,)</f>
        <v>15827.09</v>
      </c>
      <c r="AB596" s="3">
        <v>28027.57</v>
      </c>
      <c r="AC596" s="3">
        <v>3055.02</v>
      </c>
      <c r="AD596">
        <v>14677.8</v>
      </c>
      <c r="AE596" s="5">
        <f>VLOOKUP(A596,[7]越南VN30指数历史数据!$A:$B,2,)</f>
        <v>1380.02</v>
      </c>
      <c r="AF596">
        <v>60573.37</v>
      </c>
      <c r="AG596" s="9">
        <v>13047.42</v>
      </c>
      <c r="AH596">
        <v>12041.98</v>
      </c>
      <c r="AI596">
        <v>1582.3</v>
      </c>
      <c r="AJ596">
        <v>1889.32</v>
      </c>
    </row>
    <row r="597" spans="1:36" x14ac:dyDescent="0.3">
      <c r="A597" s="2">
        <v>44332</v>
      </c>
      <c r="B597" s="3">
        <v>56221.87</v>
      </c>
      <c r="C597" s="4">
        <v>122592</v>
      </c>
      <c r="D597" s="3">
        <v>7030.3</v>
      </c>
      <c r="E597" s="3">
        <v>34207.839999999997</v>
      </c>
      <c r="F597" s="3">
        <v>19527.3</v>
      </c>
      <c r="G597" s="3">
        <v>2215.27</v>
      </c>
      <c r="H597" s="3">
        <v>4155.8599999999997</v>
      </c>
      <c r="I597" s="3">
        <v>13470.99</v>
      </c>
      <c r="J597" s="3">
        <v>49778.81</v>
      </c>
      <c r="K597" s="3">
        <v>20593.939999999999</v>
      </c>
      <c r="L597" s="3">
        <v>2139.06</v>
      </c>
      <c r="M597" s="3">
        <v>15437.51</v>
      </c>
      <c r="N597" s="6">
        <f>VLOOKUP(A597,'[1]俄罗斯交易系统市值加权指数历史数据 (1)'!$A:$B,2,)</f>
        <v>1569.55</v>
      </c>
      <c r="O597" s="3">
        <v>6386.41</v>
      </c>
      <c r="P597" s="1">
        <v>706.96</v>
      </c>
      <c r="Q597" s="3">
        <v>11225.58</v>
      </c>
      <c r="R597" s="3">
        <v>1451.84</v>
      </c>
      <c r="S597" s="3">
        <v>9204</v>
      </c>
      <c r="T597" s="3">
        <v>7018.05</v>
      </c>
      <c r="U597" s="3">
        <v>4025.78</v>
      </c>
      <c r="V597" s="6">
        <f>VLOOKUP(A597,[2]韩国KOSPI指数历史数据!$A:$B,2,)</f>
        <v>3156.42</v>
      </c>
      <c r="W597" s="6">
        <f>VLOOKUP(A597,[3]日经225指数历史数据!$A:$B,2,)</f>
        <v>28317.83</v>
      </c>
      <c r="X597" s="3">
        <v>1678.1</v>
      </c>
      <c r="Y597" s="6">
        <f>VLOOKUP(A597,[4]上证指数历史数据!$A:$B,2,)</f>
        <v>3486.56</v>
      </c>
      <c r="Z597" s="6">
        <f>VLOOKUP(A597,[5]深证成份指数历史数据!$A:$B,2,)</f>
        <v>14417.46</v>
      </c>
      <c r="AA597" s="6">
        <f>VLOOKUP(A597,[6]台湾加权指数历史数据!$A:$B,2,)</f>
        <v>16302.06</v>
      </c>
      <c r="AB597" s="3">
        <v>28458.44</v>
      </c>
      <c r="AC597" s="3">
        <v>3117.89</v>
      </c>
      <c r="AD597">
        <v>15175.3</v>
      </c>
      <c r="AE597" s="5">
        <f>VLOOKUP(A597,[7]越南VN30指数历史数据!$A:$B,2,)</f>
        <v>1425.04</v>
      </c>
      <c r="AF597">
        <v>60210</v>
      </c>
      <c r="AG597" s="9">
        <v>13223.48</v>
      </c>
      <c r="AH597">
        <v>12142.83</v>
      </c>
      <c r="AI597">
        <v>1557.65</v>
      </c>
      <c r="AJ597">
        <v>1921.41</v>
      </c>
    </row>
    <row r="598" spans="1:36" x14ac:dyDescent="0.3">
      <c r="A598" s="2">
        <v>44339</v>
      </c>
      <c r="B598" s="3">
        <v>59212.97</v>
      </c>
      <c r="C598" s="4">
        <v>125561</v>
      </c>
      <c r="D598" s="3">
        <v>7179.5</v>
      </c>
      <c r="E598" s="3">
        <v>34529.449999999997</v>
      </c>
      <c r="F598" s="3">
        <v>19852.18</v>
      </c>
      <c r="G598" s="3">
        <v>2268.9699999999998</v>
      </c>
      <c r="H598" s="3">
        <v>4204.1099999999997</v>
      </c>
      <c r="I598" s="3">
        <v>13748.74</v>
      </c>
      <c r="J598" s="3">
        <v>50040.74</v>
      </c>
      <c r="K598" s="3">
        <v>21433.57</v>
      </c>
      <c r="L598" s="3">
        <v>2236.31</v>
      </c>
      <c r="M598" s="3">
        <v>15519.98</v>
      </c>
      <c r="N598" s="6">
        <f>VLOOKUP(A598,'[1]俄罗斯交易系统市值加权指数历史数据 (1)'!$A:$B,2,)</f>
        <v>1603.79</v>
      </c>
      <c r="O598" s="3">
        <v>6484.11</v>
      </c>
      <c r="P598" s="1">
        <v>713.28</v>
      </c>
      <c r="Q598" s="3">
        <v>11426.15</v>
      </c>
      <c r="R598" s="3">
        <v>1422.06</v>
      </c>
      <c r="S598" s="3">
        <v>9224.6</v>
      </c>
      <c r="T598" s="3">
        <v>7022.61</v>
      </c>
      <c r="U598" s="3">
        <v>4070.56</v>
      </c>
      <c r="V598" s="6">
        <f>VLOOKUP(A598,[2]韩国KOSPI指数历史数据!$A:$B,2,)</f>
        <v>3188.73</v>
      </c>
      <c r="W598" s="6">
        <f>VLOOKUP(A598,[3]日经225指数历史数据!$A:$B,2,)</f>
        <v>29149.41</v>
      </c>
      <c r="X598" s="3">
        <v>1706.9</v>
      </c>
      <c r="Y598" s="6">
        <f>VLOOKUP(A598,[4]上证指数历史数据!$A:$B,2,)</f>
        <v>3600.78</v>
      </c>
      <c r="Z598" s="6">
        <f>VLOOKUP(A598,[5]深证成份指数历史数据!$A:$B,2,)</f>
        <v>14852.88</v>
      </c>
      <c r="AA598" s="6">
        <f>VLOOKUP(A598,[6]台湾加权指数历史数据!$A:$B,2,)</f>
        <v>16870.86</v>
      </c>
      <c r="AB598" s="3">
        <v>29124.41</v>
      </c>
      <c r="AC598" s="3">
        <v>3178.5</v>
      </c>
      <c r="AD598">
        <v>15435.65</v>
      </c>
      <c r="AE598" s="5">
        <f>VLOOKUP(A598,[7]越南VN30指数历史数据!$A:$B,2,)</f>
        <v>1458.78</v>
      </c>
      <c r="AF598">
        <v>61345.49</v>
      </c>
      <c r="AG598" s="9">
        <v>12694.61</v>
      </c>
      <c r="AH598">
        <v>12162.51</v>
      </c>
      <c r="AI598">
        <v>1552.29</v>
      </c>
      <c r="AJ598">
        <v>1978.98</v>
      </c>
    </row>
    <row r="599" spans="1:36" x14ac:dyDescent="0.3">
      <c r="A599" s="2">
        <v>44346</v>
      </c>
      <c r="B599" s="3">
        <v>66190.06</v>
      </c>
      <c r="C599" s="4">
        <v>130126</v>
      </c>
      <c r="D599" s="3">
        <v>7295.4</v>
      </c>
      <c r="E599" s="3">
        <v>34756.39</v>
      </c>
      <c r="F599" s="3">
        <v>20029.189999999999</v>
      </c>
      <c r="G599" s="3">
        <v>2286.41</v>
      </c>
      <c r="H599" s="3">
        <v>4229.8900000000003</v>
      </c>
      <c r="I599" s="3">
        <v>13814.49</v>
      </c>
      <c r="J599" s="3">
        <v>50484.35</v>
      </c>
      <c r="K599" s="3">
        <v>21281.7</v>
      </c>
      <c r="L599" s="3">
        <v>2254.59</v>
      </c>
      <c r="M599" s="3">
        <v>15692.9</v>
      </c>
      <c r="N599" s="6">
        <f>VLOOKUP(A599,'[1]俄罗斯交易系统市值加权指数历史数据 (1)'!$A:$B,2,)</f>
        <v>1647.06</v>
      </c>
      <c r="O599" s="3">
        <v>6515.66</v>
      </c>
      <c r="P599" s="1">
        <v>720.18</v>
      </c>
      <c r="Q599" s="3">
        <v>11570.68</v>
      </c>
      <c r="R599" s="3">
        <v>1432.93</v>
      </c>
      <c r="S599" s="3">
        <v>9088.2999999999993</v>
      </c>
      <c r="T599" s="3">
        <v>7069.04</v>
      </c>
      <c r="U599" s="3">
        <v>4089.38</v>
      </c>
      <c r="V599" s="6">
        <f>VLOOKUP(A599,[2]韩国KOSPI指数历史数据!$A:$B,2,)</f>
        <v>3240.08</v>
      </c>
      <c r="W599" s="6">
        <f>VLOOKUP(A599,[3]日经225指数历史数据!$A:$B,2,)</f>
        <v>28941.52</v>
      </c>
      <c r="X599" s="3">
        <v>1686.73</v>
      </c>
      <c r="Y599" s="6">
        <f>VLOOKUP(A599,[4]上证指数历史数据!$A:$B,2,)</f>
        <v>3591.84</v>
      </c>
      <c r="Z599" s="6">
        <f>VLOOKUP(A599,[5]深证成份指数历史数据!$A:$B,2,)</f>
        <v>14870.91</v>
      </c>
      <c r="AA599" s="6">
        <f>VLOOKUP(A599,[6]台湾加权指数历史数据!$A:$B,2,)</f>
        <v>17147.41</v>
      </c>
      <c r="AB599" s="3">
        <v>28918.1</v>
      </c>
      <c r="AC599" s="3">
        <v>3151.04</v>
      </c>
      <c r="AD599">
        <v>15670.25</v>
      </c>
      <c r="AE599" s="5">
        <f>VLOOKUP(A599,[7]越南VN30指数历史数据!$A:$B,2,)</f>
        <v>1508.35</v>
      </c>
      <c r="AF599">
        <v>61616.800000000003</v>
      </c>
      <c r="AG599" s="9">
        <v>12474.68</v>
      </c>
      <c r="AH599">
        <v>12375.91</v>
      </c>
      <c r="AI599">
        <v>1573.18</v>
      </c>
      <c r="AJ599">
        <v>1985.15</v>
      </c>
    </row>
    <row r="600" spans="1:36" x14ac:dyDescent="0.3">
      <c r="A600" s="2">
        <v>44353</v>
      </c>
      <c r="B600" s="3">
        <v>66093.97</v>
      </c>
      <c r="C600" s="4">
        <v>129441</v>
      </c>
      <c r="D600" s="3">
        <v>7312.3</v>
      </c>
      <c r="E600" s="3">
        <v>34479.599999999999</v>
      </c>
      <c r="F600" s="3">
        <v>20138.349999999999</v>
      </c>
      <c r="G600" s="3">
        <v>2335.81</v>
      </c>
      <c r="H600" s="3">
        <v>4247.4399999999996</v>
      </c>
      <c r="I600" s="3">
        <v>14069.42</v>
      </c>
      <c r="J600" s="3">
        <v>51286.46</v>
      </c>
      <c r="K600" s="3">
        <v>21660.12</v>
      </c>
      <c r="L600" s="3">
        <v>2224.67</v>
      </c>
      <c r="M600" s="3">
        <v>15693.27</v>
      </c>
      <c r="N600" s="6">
        <f>VLOOKUP(A600,'[1]俄罗斯交易系统市值加权指数历史数据 (1)'!$A:$B,2,)</f>
        <v>1678.57</v>
      </c>
      <c r="O600" s="3">
        <v>6600.66</v>
      </c>
      <c r="P600" s="1">
        <v>728.48</v>
      </c>
      <c r="Q600" s="3">
        <v>11841.3</v>
      </c>
      <c r="R600" s="3">
        <v>1460.86</v>
      </c>
      <c r="S600" s="3">
        <v>9205</v>
      </c>
      <c r="T600" s="3">
        <v>7134.06</v>
      </c>
      <c r="U600" s="3">
        <v>4126.7</v>
      </c>
      <c r="V600" s="6">
        <f>VLOOKUP(A600,[2]韩国KOSPI指数历史数据!$A:$B,2,)</f>
        <v>3249.32</v>
      </c>
      <c r="W600" s="6">
        <f>VLOOKUP(A600,[3]日经225指数历史数据!$A:$B,2,)</f>
        <v>28948.73</v>
      </c>
      <c r="X600" s="3">
        <v>1693.51</v>
      </c>
      <c r="Y600" s="6">
        <f>VLOOKUP(A600,[4]上证指数历史数据!$A:$B,2,)</f>
        <v>3589.75</v>
      </c>
      <c r="Z600" s="6">
        <f>VLOOKUP(A600,[5]深证成份指数历史数据!$A:$B,2,)</f>
        <v>14801.24</v>
      </c>
      <c r="AA600" s="6">
        <f>VLOOKUP(A600,[6]台湾加权指数历史数据!$A:$B,2,)</f>
        <v>17213.52</v>
      </c>
      <c r="AB600" s="3">
        <v>28842.13</v>
      </c>
      <c r="AC600" s="3">
        <v>3157.97</v>
      </c>
      <c r="AD600">
        <v>15799.35</v>
      </c>
      <c r="AE600" s="5">
        <f>VLOOKUP(A600,[7]越南VN30指数历史数据!$A:$B,2,)</f>
        <v>1487.61</v>
      </c>
      <c r="AF600">
        <v>61444.66</v>
      </c>
      <c r="AG600" s="9">
        <v>12545.84</v>
      </c>
      <c r="AH600">
        <v>12462.8</v>
      </c>
      <c r="AI600">
        <v>1594.62</v>
      </c>
      <c r="AJ600">
        <v>1986.64</v>
      </c>
    </row>
    <row r="601" spans="1:36" x14ac:dyDescent="0.3">
      <c r="A601" s="2">
        <v>44360</v>
      </c>
      <c r="B601" s="3">
        <v>65136</v>
      </c>
      <c r="C601" s="4">
        <v>128405</v>
      </c>
      <c r="D601" s="3">
        <v>7368.9</v>
      </c>
      <c r="E601" s="3">
        <v>33290.080000000002</v>
      </c>
      <c r="F601" s="3">
        <v>19999.59</v>
      </c>
      <c r="G601" s="3">
        <v>2237.75</v>
      </c>
      <c r="H601" s="3">
        <v>4166.45</v>
      </c>
      <c r="I601" s="3">
        <v>14030.38</v>
      </c>
      <c r="J601" s="3">
        <v>50319.57</v>
      </c>
      <c r="K601" s="3">
        <v>21562.97</v>
      </c>
      <c r="L601" s="3">
        <v>2220.6799999999998</v>
      </c>
      <c r="M601" s="3">
        <v>15448.04</v>
      </c>
      <c r="N601" s="6">
        <f>VLOOKUP(A601,'[1]俄罗斯交易系统市值加权指数历史数据 (1)'!$A:$B,2,)</f>
        <v>1646.72</v>
      </c>
      <c r="O601" s="3">
        <v>6569.16</v>
      </c>
      <c r="P601" s="1">
        <v>719.63</v>
      </c>
      <c r="Q601" s="3">
        <v>11941.25</v>
      </c>
      <c r="R601" s="3">
        <v>1391.06</v>
      </c>
      <c r="S601" s="3">
        <v>9030.6</v>
      </c>
      <c r="T601" s="3">
        <v>7017.47</v>
      </c>
      <c r="U601" s="3">
        <v>4083.37</v>
      </c>
      <c r="V601" s="6">
        <f>VLOOKUP(A601,[2]韩国KOSPI指数历史数据!$A:$B,2,)</f>
        <v>3267.93</v>
      </c>
      <c r="W601" s="6">
        <f>VLOOKUP(A601,[3]日经225指数历史数据!$A:$B,2,)</f>
        <v>28964.080000000002</v>
      </c>
      <c r="X601" s="3">
        <v>1689.5</v>
      </c>
      <c r="Y601" s="6">
        <f>VLOOKUP(A601,[4]上证指数历史数据!$A:$B,2,)</f>
        <v>3525.1</v>
      </c>
      <c r="Z601" s="6">
        <f>VLOOKUP(A601,[5]深证成份指数历史数据!$A:$B,2,)</f>
        <v>14583.67</v>
      </c>
      <c r="AA601" s="6">
        <f>VLOOKUP(A601,[6]台湾加权指数历史数据!$A:$B,2,)</f>
        <v>17318.54</v>
      </c>
      <c r="AB601" s="3">
        <v>28801.27</v>
      </c>
      <c r="AC601" s="3">
        <v>3144.16</v>
      </c>
      <c r="AD601">
        <v>15683.35</v>
      </c>
      <c r="AE601" s="5">
        <f>VLOOKUP(A601,[7]越南VN30指数历史数据!$A:$B,2,)</f>
        <v>1481.3</v>
      </c>
      <c r="AF601">
        <v>59503.87</v>
      </c>
      <c r="AG601" s="9">
        <v>12399.3</v>
      </c>
      <c r="AH601">
        <v>12487.66</v>
      </c>
      <c r="AI601">
        <v>1598.66</v>
      </c>
      <c r="AJ601">
        <v>1956.16</v>
      </c>
    </row>
    <row r="602" spans="1:36" x14ac:dyDescent="0.3">
      <c r="A602" s="2">
        <v>44367</v>
      </c>
      <c r="B602" s="3">
        <v>65133.47</v>
      </c>
      <c r="C602" s="4">
        <v>127256</v>
      </c>
      <c r="D602" s="3">
        <v>7308</v>
      </c>
      <c r="E602" s="3">
        <v>34433.839999999997</v>
      </c>
      <c r="F602" s="3">
        <v>20230.259999999998</v>
      </c>
      <c r="G602" s="3">
        <v>2334.4</v>
      </c>
      <c r="H602" s="3">
        <v>4280.7</v>
      </c>
      <c r="I602" s="3">
        <v>14360.39</v>
      </c>
      <c r="J602" s="3">
        <v>50549.86</v>
      </c>
      <c r="K602" s="3">
        <v>21845.32</v>
      </c>
      <c r="L602" s="3">
        <v>2282.46</v>
      </c>
      <c r="M602" s="3">
        <v>15607.97</v>
      </c>
      <c r="N602" s="6">
        <f>VLOOKUP(A602,'[1]俄罗斯交易系统市值加权指数历史数据 (1)'!$A:$B,2,)</f>
        <v>1672.08</v>
      </c>
      <c r="O602" s="3">
        <v>6622.87</v>
      </c>
      <c r="P602" s="1">
        <v>733.14</v>
      </c>
      <c r="Q602" s="3">
        <v>11999.7</v>
      </c>
      <c r="R602" s="3">
        <v>1391.86</v>
      </c>
      <c r="S602" s="3">
        <v>9095</v>
      </c>
      <c r="T602" s="3">
        <v>7136.07</v>
      </c>
      <c r="U602" s="3">
        <v>4120.66</v>
      </c>
      <c r="V602" s="6">
        <f>VLOOKUP(A602,[2]韩国KOSPI指数历史数据!$A:$B,2,)</f>
        <v>3302.84</v>
      </c>
      <c r="W602" s="6">
        <f>VLOOKUP(A602,[3]日经225指数历史数据!$A:$B,2,)</f>
        <v>29066.18</v>
      </c>
      <c r="X602" s="3">
        <v>1687.01</v>
      </c>
      <c r="Y602" s="6">
        <f>VLOOKUP(A602,[4]上证指数历史数据!$A:$B,2,)</f>
        <v>3607.56</v>
      </c>
      <c r="Z602" s="6">
        <f>VLOOKUP(A602,[5]深证成份指数历史数据!$A:$B,2,)</f>
        <v>15003.85</v>
      </c>
      <c r="AA602" s="6">
        <f>VLOOKUP(A602,[6]台湾加权指数历史数据!$A:$B,2,)</f>
        <v>17502.990000000002</v>
      </c>
      <c r="AB602" s="3">
        <v>29288.22</v>
      </c>
      <c r="AC602" s="3">
        <v>3121.6</v>
      </c>
      <c r="AD602">
        <v>15860.35</v>
      </c>
      <c r="AE602" s="5">
        <f>VLOOKUP(A602,[7]越南VN30指数历史数据!$A:$B,2,)</f>
        <v>1500.3</v>
      </c>
      <c r="AF602">
        <v>60140.15</v>
      </c>
      <c r="AG602" s="9">
        <v>12877.36</v>
      </c>
      <c r="AH602">
        <v>12417.6</v>
      </c>
      <c r="AI602">
        <v>1577.78</v>
      </c>
      <c r="AJ602">
        <v>1975.43</v>
      </c>
    </row>
    <row r="603" spans="1:36" x14ac:dyDescent="0.3">
      <c r="A603" s="2">
        <v>44374</v>
      </c>
      <c r="B603" s="3">
        <v>63330.37</v>
      </c>
      <c r="C603" s="4">
        <v>127622</v>
      </c>
      <c r="D603" s="3">
        <v>7308.6</v>
      </c>
      <c r="E603" s="3">
        <v>34786.35</v>
      </c>
      <c r="F603" s="3">
        <v>20226.11</v>
      </c>
      <c r="G603" s="3">
        <v>2305.7600000000002</v>
      </c>
      <c r="H603" s="3">
        <v>4352.34</v>
      </c>
      <c r="I603" s="3">
        <v>14639.33</v>
      </c>
      <c r="J603" s="3">
        <v>50223.01</v>
      </c>
      <c r="K603" s="3">
        <v>21662.01</v>
      </c>
      <c r="L603" s="3">
        <v>2252.1799999999998</v>
      </c>
      <c r="M603" s="3">
        <v>15650.09</v>
      </c>
      <c r="N603" s="6">
        <f>VLOOKUP(A603,'[1]俄罗斯交易系统市值加权指数历史数据 (1)'!$A:$B,2,)</f>
        <v>1659.72</v>
      </c>
      <c r="O603" s="3">
        <v>6552.86</v>
      </c>
      <c r="P603" s="1">
        <v>733.55</v>
      </c>
      <c r="Q603" s="3">
        <v>11964.84</v>
      </c>
      <c r="R603" s="3">
        <v>1376.67</v>
      </c>
      <c r="S603" s="3">
        <v>8907.6</v>
      </c>
      <c r="T603" s="3">
        <v>7123.27</v>
      </c>
      <c r="U603" s="3">
        <v>4084.31</v>
      </c>
      <c r="V603" s="6">
        <f>VLOOKUP(A603,[2]韩国KOSPI指数历史数据!$A:$B,2,)</f>
        <v>3281.78</v>
      </c>
      <c r="W603" s="6">
        <f>VLOOKUP(A603,[3]日经225指数历史数据!$A:$B,2,)</f>
        <v>28783.279999999999</v>
      </c>
      <c r="X603" s="3">
        <v>1687.84</v>
      </c>
      <c r="Y603" s="6">
        <f>VLOOKUP(A603,[4]上证指数历史数据!$A:$B,2,)</f>
        <v>3518.76</v>
      </c>
      <c r="Z603" s="6">
        <f>VLOOKUP(A603,[5]深证成份指数历史数据!$A:$B,2,)</f>
        <v>14670.71</v>
      </c>
      <c r="AA603" s="6">
        <f>VLOOKUP(A603,[6]台湾加权指数历史数据!$A:$B,2,)</f>
        <v>17710.150000000001</v>
      </c>
      <c r="AB603" s="3">
        <v>28310.42</v>
      </c>
      <c r="AC603" s="3">
        <v>3128.95</v>
      </c>
      <c r="AD603">
        <v>15722.2</v>
      </c>
      <c r="AE603" s="5">
        <f>VLOOKUP(A603,[7]越南VN30指数历史数据!$A:$B,2,)</f>
        <v>1554.59</v>
      </c>
      <c r="AF603">
        <v>60292.639999999999</v>
      </c>
      <c r="AG603" s="9">
        <v>12813.25</v>
      </c>
      <c r="AH603">
        <v>12426</v>
      </c>
      <c r="AI603">
        <v>1608.02</v>
      </c>
      <c r="AJ603">
        <v>1971.96</v>
      </c>
    </row>
    <row r="604" spans="1:36" x14ac:dyDescent="0.3">
      <c r="A604" s="2">
        <v>44381</v>
      </c>
      <c r="B604" s="3">
        <v>62371.58</v>
      </c>
      <c r="C604" s="4">
        <v>125428</v>
      </c>
      <c r="D604" s="3">
        <v>7273.3</v>
      </c>
      <c r="E604" s="3">
        <v>34870.160000000003</v>
      </c>
      <c r="F604" s="3">
        <v>20257.95</v>
      </c>
      <c r="G604" s="3">
        <v>2280</v>
      </c>
      <c r="H604" s="3">
        <v>4369.55</v>
      </c>
      <c r="I604" s="3">
        <v>14701.92</v>
      </c>
      <c r="J604" s="3">
        <v>49768.35</v>
      </c>
      <c r="K604" s="3">
        <v>21325.9</v>
      </c>
      <c r="L604" s="3">
        <v>2251.7800000000002</v>
      </c>
      <c r="M604" s="3">
        <v>15687.93</v>
      </c>
      <c r="N604" s="6">
        <f>VLOOKUP(A604,'[1]俄罗斯交易系统市值加权指数历史数据 (1)'!$A:$B,2,)</f>
        <v>1635.04</v>
      </c>
      <c r="O604" s="3">
        <v>6529.42</v>
      </c>
      <c r="P604" s="1">
        <v>732.15</v>
      </c>
      <c r="Q604" s="3">
        <v>11989.81</v>
      </c>
      <c r="R604" s="3">
        <v>1378.28</v>
      </c>
      <c r="S604" s="3">
        <v>8776.6</v>
      </c>
      <c r="T604" s="3">
        <v>7121.88</v>
      </c>
      <c r="U604" s="3">
        <v>4068.09</v>
      </c>
      <c r="V604" s="6">
        <f>VLOOKUP(A604,[2]韩国KOSPI指数历史数据!$A:$B,2,)</f>
        <v>3217.95</v>
      </c>
      <c r="W604" s="6">
        <f>VLOOKUP(A604,[3]日经225指数历史数据!$A:$B,2,)</f>
        <v>27940.42</v>
      </c>
      <c r="X604" s="3">
        <v>1658.09</v>
      </c>
      <c r="Y604" s="6">
        <f>VLOOKUP(A604,[4]上证指数历史数据!$A:$B,2,)</f>
        <v>3524.09</v>
      </c>
      <c r="Z604" s="6">
        <f>VLOOKUP(A604,[5]深证成份指数历史数据!$A:$B,2,)</f>
        <v>14844.36</v>
      </c>
      <c r="AA604" s="6">
        <f>VLOOKUP(A604,[6]台湾加权指数历史数据!$A:$B,2,)</f>
        <v>17661.48</v>
      </c>
      <c r="AB604" s="3">
        <v>27344.54</v>
      </c>
      <c r="AC604" s="3">
        <v>3131.4</v>
      </c>
      <c r="AD604">
        <v>15689.8</v>
      </c>
      <c r="AE604" s="5">
        <f>VLOOKUP(A604,[7]越南VN30指数历史数据!$A:$B,2,)</f>
        <v>1494.43</v>
      </c>
      <c r="AF604">
        <v>60221.84</v>
      </c>
      <c r="AG604" s="9">
        <v>12541.16</v>
      </c>
      <c r="AH604">
        <v>12234.85</v>
      </c>
      <c r="AI604">
        <v>1620.89</v>
      </c>
      <c r="AJ604">
        <v>2007.02</v>
      </c>
    </row>
    <row r="605" spans="1:36" x14ac:dyDescent="0.3">
      <c r="A605" s="2">
        <v>44388</v>
      </c>
      <c r="B605" s="3">
        <v>63090.8</v>
      </c>
      <c r="C605" s="4">
        <v>125960</v>
      </c>
      <c r="D605" s="3">
        <v>7348.1</v>
      </c>
      <c r="E605" s="3">
        <v>34687.85</v>
      </c>
      <c r="F605" s="3">
        <v>19985.54</v>
      </c>
      <c r="G605" s="3">
        <v>2163.2399999999998</v>
      </c>
      <c r="H605" s="3">
        <v>4327.16</v>
      </c>
      <c r="I605" s="3">
        <v>14427.24</v>
      </c>
      <c r="J605" s="3">
        <v>50148.13</v>
      </c>
      <c r="K605" s="3">
        <v>20831.740000000002</v>
      </c>
      <c r="L605" s="3">
        <v>2258.1</v>
      </c>
      <c r="M605" s="3">
        <v>15540.31</v>
      </c>
      <c r="N605" s="6">
        <f>VLOOKUP(A605,'[1]俄罗斯交易系统市值加权指数历史数据 (1)'!$A:$B,2,)</f>
        <v>1603.1</v>
      </c>
      <c r="O605" s="3">
        <v>6460.08</v>
      </c>
      <c r="P605" s="1">
        <v>736.52</v>
      </c>
      <c r="Q605" s="3">
        <v>12026.5</v>
      </c>
      <c r="R605" s="3">
        <v>1363.28</v>
      </c>
      <c r="S605" s="3">
        <v>8506.2000000000007</v>
      </c>
      <c r="T605" s="3">
        <v>7008.09</v>
      </c>
      <c r="U605" s="3">
        <v>4035.77</v>
      </c>
      <c r="V605" s="6">
        <f>VLOOKUP(A605,[2]韩国KOSPI指数历史数据!$A:$B,2,)</f>
        <v>3276.91</v>
      </c>
      <c r="W605" s="6">
        <f>VLOOKUP(A605,[3]日经225指数历史数据!$A:$B,2,)</f>
        <v>28003.08</v>
      </c>
      <c r="X605" s="3">
        <v>1657.92</v>
      </c>
      <c r="Y605" s="6">
        <f>VLOOKUP(A605,[4]上证指数历史数据!$A:$B,2,)</f>
        <v>3539.3</v>
      </c>
      <c r="Z605" s="6">
        <f>VLOOKUP(A605,[5]深证成份指数历史数据!$A:$B,2,)</f>
        <v>14972.21</v>
      </c>
      <c r="AA605" s="6">
        <f>VLOOKUP(A605,[6]台湾加权指数历史数据!$A:$B,2,)</f>
        <v>17895.25</v>
      </c>
      <c r="AB605" s="3">
        <v>28004.68</v>
      </c>
      <c r="AC605" s="3">
        <v>3152.3</v>
      </c>
      <c r="AD605">
        <v>15923.4</v>
      </c>
      <c r="AE605" s="5">
        <f>VLOOKUP(A605,[7]越南VN30指数历史数据!$A:$B,2,)</f>
        <v>1438.05</v>
      </c>
      <c r="AF605">
        <v>60437.58</v>
      </c>
      <c r="AG605" s="9">
        <v>12979.61</v>
      </c>
      <c r="AH605">
        <v>12166.09</v>
      </c>
      <c r="AI605">
        <v>1617.76</v>
      </c>
      <c r="AJ605">
        <v>2004.91</v>
      </c>
    </row>
    <row r="606" spans="1:36" x14ac:dyDescent="0.3">
      <c r="A606" s="2">
        <v>44395</v>
      </c>
      <c r="B606" s="3">
        <v>64841.23</v>
      </c>
      <c r="C606" s="4">
        <v>125053</v>
      </c>
      <c r="D606" s="3">
        <v>7394.4</v>
      </c>
      <c r="E606" s="3">
        <v>35061.550000000003</v>
      </c>
      <c r="F606" s="3">
        <v>20188.43</v>
      </c>
      <c r="G606" s="3">
        <v>2209.65</v>
      </c>
      <c r="H606" s="3">
        <v>4411.8</v>
      </c>
      <c r="I606" s="3">
        <v>14836.99</v>
      </c>
      <c r="J606" s="3">
        <v>50268.45</v>
      </c>
      <c r="K606" s="3">
        <v>20974.61</v>
      </c>
      <c r="L606" s="3">
        <v>2242.41</v>
      </c>
      <c r="M606" s="3">
        <v>15669.29</v>
      </c>
      <c r="N606" s="6">
        <f>VLOOKUP(A606,'[1]俄罗斯交易系统市值加权指数历史数据 (1)'!$A:$B,2,)</f>
        <v>1595.86</v>
      </c>
      <c r="O606" s="3">
        <v>6568.82</v>
      </c>
      <c r="P606" s="1">
        <v>749.42</v>
      </c>
      <c r="Q606" s="3">
        <v>12130.83</v>
      </c>
      <c r="R606" s="3">
        <v>1351.59</v>
      </c>
      <c r="S606" s="3">
        <v>8717.2000000000007</v>
      </c>
      <c r="T606" s="3">
        <v>7027.58</v>
      </c>
      <c r="U606" s="3">
        <v>4109.1000000000004</v>
      </c>
      <c r="V606" s="6">
        <f>VLOOKUP(A606,[2]韩国KOSPI指数历史数据!$A:$B,2,)</f>
        <v>3254.42</v>
      </c>
      <c r="W606" s="6">
        <f>VLOOKUP(A606,[3]日经225指数历史数据!$A:$B,2,)</f>
        <v>27548</v>
      </c>
      <c r="X606" s="3">
        <v>1660.75</v>
      </c>
      <c r="Y606" s="6">
        <f>VLOOKUP(A606,[4]上证指数历史数据!$A:$B,2,)</f>
        <v>3550.4</v>
      </c>
      <c r="Z606" s="6">
        <f>VLOOKUP(A606,[5]深证成份指数历史数据!$A:$B,2,)</f>
        <v>15028.57</v>
      </c>
      <c r="AA606" s="6">
        <f>VLOOKUP(A606,[6]台湾加权指数历史数据!$A:$B,2,)</f>
        <v>17572.919999999998</v>
      </c>
      <c r="AB606" s="3">
        <v>27321.98</v>
      </c>
      <c r="AC606" s="3">
        <v>3157.05</v>
      </c>
      <c r="AD606">
        <v>15856.05</v>
      </c>
      <c r="AE606" s="5">
        <f>VLOOKUP(A606,[7]越南VN30指数历史数据!$A:$B,2,)</f>
        <v>1401.53</v>
      </c>
      <c r="AF606">
        <v>61932.98</v>
      </c>
      <c r="AG606" s="9">
        <v>13048.53</v>
      </c>
      <c r="AH606">
        <v>12217.21</v>
      </c>
      <c r="AI606">
        <v>1649.09</v>
      </c>
      <c r="AJ606">
        <v>2136.52</v>
      </c>
    </row>
    <row r="607" spans="1:36" x14ac:dyDescent="0.3">
      <c r="A607" s="2">
        <v>44402</v>
      </c>
      <c r="B607" s="3">
        <v>66005.289999999994</v>
      </c>
      <c r="C607" s="4">
        <v>121801</v>
      </c>
      <c r="D607" s="3">
        <v>7392.6</v>
      </c>
      <c r="E607" s="3">
        <v>34935.47</v>
      </c>
      <c r="F607" s="3">
        <v>20287.8</v>
      </c>
      <c r="G607" s="3">
        <v>2226.25</v>
      </c>
      <c r="H607" s="3">
        <v>4395.26</v>
      </c>
      <c r="I607" s="3">
        <v>14672.68</v>
      </c>
      <c r="J607" s="3">
        <v>50868.32</v>
      </c>
      <c r="K607" s="3">
        <v>21238.31</v>
      </c>
      <c r="L607" s="3">
        <v>2253.4499999999998</v>
      </c>
      <c r="M607" s="3">
        <v>15544.39</v>
      </c>
      <c r="N607" s="6">
        <f>VLOOKUP(A607,'[1]俄罗斯交易系统市值加权指数历史数据 (1)'!$A:$B,2,)</f>
        <v>1625.76</v>
      </c>
      <c r="O607" s="3">
        <v>6612.76</v>
      </c>
      <c r="P607" s="1">
        <v>754.31</v>
      </c>
      <c r="Q607" s="3">
        <v>12116.82</v>
      </c>
      <c r="R607" s="3">
        <v>1392.91</v>
      </c>
      <c r="S607" s="3">
        <v>8675.7000000000007</v>
      </c>
      <c r="T607" s="3">
        <v>7032.3</v>
      </c>
      <c r="U607" s="3">
        <v>4089.3</v>
      </c>
      <c r="V607" s="6">
        <f>VLOOKUP(A607,[2]韩国KOSPI指数历史数据!$A:$B,2,)</f>
        <v>3202.32</v>
      </c>
      <c r="W607" s="6">
        <f>VLOOKUP(A607,[3]日经225指数历史数据!$A:$B,2,)</f>
        <v>27283.59</v>
      </c>
      <c r="X607" s="3">
        <v>1691.73</v>
      </c>
      <c r="Y607" s="6">
        <f>VLOOKUP(A607,[4]上证指数历史数据!$A:$B,2,)</f>
        <v>3397.36</v>
      </c>
      <c r="Z607" s="6">
        <f>VLOOKUP(A607,[5]深证成份指数历史数据!$A:$B,2,)</f>
        <v>14473.21</v>
      </c>
      <c r="AA607" s="6">
        <f>VLOOKUP(A607,[6]台湾加权指数历史数据!$A:$B,2,)</f>
        <v>17247.41</v>
      </c>
      <c r="AB607" s="3">
        <v>25961.03</v>
      </c>
      <c r="AC607" s="3">
        <v>3166.94</v>
      </c>
      <c r="AD607">
        <v>15763.05</v>
      </c>
      <c r="AE607" s="5">
        <f>VLOOKUP(A607,[7]越南VN30指数历史数据!$A:$B,2,)</f>
        <v>1447.23</v>
      </c>
      <c r="AF607">
        <v>62852.28</v>
      </c>
      <c r="AG607" s="9">
        <v>13231.03</v>
      </c>
      <c r="AH607">
        <v>12304.15</v>
      </c>
      <c r="AI607">
        <v>1639.22</v>
      </c>
      <c r="AJ607">
        <v>2000.92</v>
      </c>
    </row>
    <row r="608" spans="1:36" x14ac:dyDescent="0.3">
      <c r="A608" s="2">
        <v>44409</v>
      </c>
      <c r="B608" s="3">
        <v>65860.91</v>
      </c>
      <c r="C608" s="4">
        <v>122810</v>
      </c>
      <c r="D608" s="3">
        <v>7538.4</v>
      </c>
      <c r="E608" s="3">
        <v>35208.51</v>
      </c>
      <c r="F608" s="3">
        <v>20475.419999999998</v>
      </c>
      <c r="G608" s="3">
        <v>2247.7600000000002</v>
      </c>
      <c r="H608" s="3">
        <v>4436.5200000000004</v>
      </c>
      <c r="I608" s="3">
        <v>14835.76</v>
      </c>
      <c r="J608" s="3">
        <v>51113.85</v>
      </c>
      <c r="K608" s="3">
        <v>21354.75</v>
      </c>
      <c r="L608" s="3">
        <v>2273.89</v>
      </c>
      <c r="M608" s="3">
        <v>15761.45</v>
      </c>
      <c r="N608" s="6">
        <f>VLOOKUP(A608,'[1]俄罗斯交易系统市值加权指数历史数据 (1)'!$A:$B,2,)</f>
        <v>1632.87</v>
      </c>
      <c r="O608" s="3">
        <v>6816.96</v>
      </c>
      <c r="P608" s="1">
        <v>767.82</v>
      </c>
      <c r="Q608" s="3">
        <v>12176.3</v>
      </c>
      <c r="R608" s="3">
        <v>1434.76</v>
      </c>
      <c r="S608" s="3">
        <v>8879</v>
      </c>
      <c r="T608" s="3">
        <v>7122.95</v>
      </c>
      <c r="U608" s="3">
        <v>4174.54</v>
      </c>
      <c r="V608" s="6">
        <f>VLOOKUP(A608,[2]韩国KOSPI指数历史数据!$A:$B,2,)</f>
        <v>3270.36</v>
      </c>
      <c r="W608" s="6">
        <f>VLOOKUP(A608,[3]日经225指数历史数据!$A:$B,2,)</f>
        <v>27820.04</v>
      </c>
      <c r="X608" s="3">
        <v>1689.87</v>
      </c>
      <c r="Y608" s="6">
        <f>VLOOKUP(A608,[4]上证指数历史数据!$A:$B,2,)</f>
        <v>3458.23</v>
      </c>
      <c r="Z608" s="6">
        <f>VLOOKUP(A608,[5]深证成份指数历史数据!$A:$B,2,)</f>
        <v>14827.41</v>
      </c>
      <c r="AA608" s="6">
        <f>VLOOKUP(A608,[6]台湾加权指数历史数据!$A:$B,2,)</f>
        <v>17526.28</v>
      </c>
      <c r="AB608" s="3">
        <v>26179.4</v>
      </c>
      <c r="AC608" s="3">
        <v>3177.18</v>
      </c>
      <c r="AD608">
        <v>16238.2</v>
      </c>
      <c r="AE608" s="5">
        <f>VLOOKUP(A608,[7]越南VN30指数历史数据!$A:$B,2,)</f>
        <v>1476.79</v>
      </c>
      <c r="AF608">
        <v>62509.23</v>
      </c>
      <c r="AG608" s="9">
        <v>13151.72</v>
      </c>
      <c r="AH608">
        <v>12528.57</v>
      </c>
      <c r="AI608">
        <v>1637.41</v>
      </c>
      <c r="AJ608">
        <v>1998.42</v>
      </c>
    </row>
    <row r="609" spans="1:36" x14ac:dyDescent="0.3">
      <c r="A609" s="2">
        <v>44416</v>
      </c>
      <c r="B609" s="3">
        <v>69544.759999999995</v>
      </c>
      <c r="C609" s="4">
        <v>121194</v>
      </c>
      <c r="D609" s="3">
        <v>7628.9</v>
      </c>
      <c r="E609" s="3">
        <v>35515.379999999997</v>
      </c>
      <c r="F609" s="3">
        <v>20518.07</v>
      </c>
      <c r="G609" s="3">
        <v>2223.11</v>
      </c>
      <c r="H609" s="3">
        <v>4468</v>
      </c>
      <c r="I609" s="3">
        <v>14822.9</v>
      </c>
      <c r="J609" s="3">
        <v>51490.94</v>
      </c>
      <c r="K609" s="3">
        <v>21961.27</v>
      </c>
      <c r="L609" s="3">
        <v>2302.0300000000002</v>
      </c>
      <c r="M609" s="3">
        <v>15977.44</v>
      </c>
      <c r="N609" s="6">
        <f>VLOOKUP(A609,'[1]俄罗斯交易系统市值加权指数历史数据 (1)'!$A:$B,2,)</f>
        <v>1666.44</v>
      </c>
      <c r="O609" s="3">
        <v>6896.04</v>
      </c>
      <c r="P609" s="1">
        <v>774.83</v>
      </c>
      <c r="Q609" s="3">
        <v>12464.44</v>
      </c>
      <c r="R609" s="3">
        <v>1447.64</v>
      </c>
      <c r="S609" s="3">
        <v>8999.7999999999993</v>
      </c>
      <c r="T609" s="3">
        <v>7218.71</v>
      </c>
      <c r="U609" s="3">
        <v>4229.7</v>
      </c>
      <c r="V609" s="6">
        <f>VLOOKUP(A609,[2]韩国KOSPI指数历史数据!$A:$B,2,)</f>
        <v>3171.29</v>
      </c>
      <c r="W609" s="6">
        <f>VLOOKUP(A609,[3]日经225指数历史数据!$A:$B,2,)</f>
        <v>27977.15</v>
      </c>
      <c r="X609" s="3">
        <v>1710.67</v>
      </c>
      <c r="Y609" s="6">
        <f>VLOOKUP(A609,[4]上证指数历史数据!$A:$B,2,)</f>
        <v>3516.3</v>
      </c>
      <c r="Z609" s="6">
        <f>VLOOKUP(A609,[5]深证成份指数历史数据!$A:$B,2,)</f>
        <v>14799.03</v>
      </c>
      <c r="AA609" s="6">
        <f>VLOOKUP(A609,[6]台湾加权指数历史数据!$A:$B,2,)</f>
        <v>16982.11</v>
      </c>
      <c r="AB609" s="3">
        <v>26391.62</v>
      </c>
      <c r="AC609" s="3">
        <v>3165.49</v>
      </c>
      <c r="AD609">
        <v>16529.099999999999</v>
      </c>
      <c r="AE609" s="5">
        <f>VLOOKUP(A609,[7]越南VN30指数历史数据!$A:$B,2,)</f>
        <v>1484.25</v>
      </c>
      <c r="AF609">
        <v>63269.04</v>
      </c>
      <c r="AG609" s="9">
        <v>13247.81</v>
      </c>
      <c r="AH609">
        <v>12623.11</v>
      </c>
      <c r="AI609">
        <v>1638.69</v>
      </c>
      <c r="AJ609">
        <v>1997.55</v>
      </c>
    </row>
    <row r="610" spans="1:36" x14ac:dyDescent="0.3">
      <c r="A610" s="2">
        <v>44423</v>
      </c>
      <c r="B610" s="3">
        <v>67822.2</v>
      </c>
      <c r="C610" s="4">
        <v>118053</v>
      </c>
      <c r="D610" s="3">
        <v>7460.9</v>
      </c>
      <c r="E610" s="3">
        <v>35120.080000000002</v>
      </c>
      <c r="F610" s="3">
        <v>20339.02</v>
      </c>
      <c r="G610" s="3">
        <v>2167.6</v>
      </c>
      <c r="H610" s="3">
        <v>4441.67</v>
      </c>
      <c r="I610" s="3">
        <v>14714.66</v>
      </c>
      <c r="J610" s="3">
        <v>51414.32</v>
      </c>
      <c r="K610" s="3">
        <v>21726.06</v>
      </c>
      <c r="L610" s="3">
        <v>2255.56</v>
      </c>
      <c r="M610" s="3">
        <v>15808.04</v>
      </c>
      <c r="N610" s="6">
        <f>VLOOKUP(A610,'[1]俄罗斯交易系统市值加权指数历史数据 (1)'!$A:$B,2,)</f>
        <v>1623.5</v>
      </c>
      <c r="O610" s="3">
        <v>6626.11</v>
      </c>
      <c r="P610" s="1">
        <v>771.41</v>
      </c>
      <c r="Q610" s="3">
        <v>12415.66</v>
      </c>
      <c r="R610" s="3">
        <v>1444.63</v>
      </c>
      <c r="S610" s="3">
        <v>8915.2999999999993</v>
      </c>
      <c r="T610" s="3">
        <v>7087.9</v>
      </c>
      <c r="U610" s="3">
        <v>4147.5</v>
      </c>
      <c r="V610" s="6">
        <f>VLOOKUP(A610,[2]韩国KOSPI指数历史数据!$A:$B,2,)</f>
        <v>3060.51</v>
      </c>
      <c r="W610" s="6">
        <f>VLOOKUP(A610,[3]日经225指数历史数据!$A:$B,2,)</f>
        <v>27013.25</v>
      </c>
      <c r="X610" s="3">
        <v>1725.18</v>
      </c>
      <c r="Y610" s="6">
        <f>VLOOKUP(A610,[4]上证指数历史数据!$A:$B,2,)</f>
        <v>3427.33</v>
      </c>
      <c r="Z610" s="6">
        <f>VLOOKUP(A610,[5]深证成份指数历史数据!$A:$B,2,)</f>
        <v>14253.54</v>
      </c>
      <c r="AA610" s="6">
        <f>VLOOKUP(A610,[6]台湾加权指数历史数据!$A:$B,2,)</f>
        <v>16341.94</v>
      </c>
      <c r="AB610" s="3">
        <v>24849.72</v>
      </c>
      <c r="AC610" s="3">
        <v>3102.75</v>
      </c>
      <c r="AD610">
        <v>16450.5</v>
      </c>
      <c r="AE610" s="5">
        <f>VLOOKUP(A610,[7]越南VN30指数历史数据!$A:$B,2,)</f>
        <v>1450.45</v>
      </c>
      <c r="AF610">
        <v>59800.02</v>
      </c>
      <c r="AG610" s="9">
        <v>13099.19</v>
      </c>
      <c r="AH610">
        <v>12607.27</v>
      </c>
      <c r="AI610">
        <v>1633.23</v>
      </c>
      <c r="AJ610">
        <v>2001.98</v>
      </c>
    </row>
    <row r="611" spans="1:36" x14ac:dyDescent="0.3">
      <c r="A611" s="2">
        <v>44430</v>
      </c>
      <c r="B611" s="3">
        <v>73203.64</v>
      </c>
      <c r="C611" s="4">
        <v>120678</v>
      </c>
      <c r="D611" s="3">
        <v>7488.3</v>
      </c>
      <c r="E611" s="3">
        <v>35455.800000000003</v>
      </c>
      <c r="F611" s="3">
        <v>20644.64</v>
      </c>
      <c r="G611" s="3">
        <v>2277.15</v>
      </c>
      <c r="H611" s="3">
        <v>4509.37</v>
      </c>
      <c r="I611" s="3">
        <v>15129.5</v>
      </c>
      <c r="J611" s="3">
        <v>52425.64</v>
      </c>
      <c r="K611" s="3">
        <v>22289.96</v>
      </c>
      <c r="L611" s="3">
        <v>2323.77</v>
      </c>
      <c r="M611" s="3">
        <v>15851.75</v>
      </c>
      <c r="N611" s="6">
        <f>VLOOKUP(A611,'[1]俄罗斯交易系统市值加权指数历史数据 (1)'!$A:$B,2,)</f>
        <v>1664.25</v>
      </c>
      <c r="O611" s="3">
        <v>6681.92</v>
      </c>
      <c r="P611" s="1">
        <v>787.04</v>
      </c>
      <c r="Q611" s="3">
        <v>12439</v>
      </c>
      <c r="R611" s="3">
        <v>1458.23</v>
      </c>
      <c r="S611" s="3">
        <v>8922.2000000000007</v>
      </c>
      <c r="T611" s="3">
        <v>7148.01</v>
      </c>
      <c r="U611" s="3">
        <v>4190.9799999999996</v>
      </c>
      <c r="V611" s="6">
        <f>VLOOKUP(A611,[2]韩国KOSPI指数历史数据!$A:$B,2,)</f>
        <v>3133.9</v>
      </c>
      <c r="W611" s="6">
        <f>VLOOKUP(A611,[3]日经225指数历史数据!$A:$B,2,)</f>
        <v>27641.14</v>
      </c>
      <c r="X611" s="3">
        <v>1760.64</v>
      </c>
      <c r="Y611" s="6">
        <f>VLOOKUP(A611,[4]上证指数历史数据!$A:$B,2,)</f>
        <v>3522.16</v>
      </c>
      <c r="Z611" s="6">
        <f>VLOOKUP(A611,[5]深证成份指数历史数据!$A:$B,2,)</f>
        <v>14436.9</v>
      </c>
      <c r="AA611" s="6">
        <f>VLOOKUP(A611,[6]台湾加权指数历史数据!$A:$B,2,)</f>
        <v>17209.93</v>
      </c>
      <c r="AB611" s="3">
        <v>25407.89</v>
      </c>
      <c r="AC611" s="3">
        <v>3080.77</v>
      </c>
      <c r="AD611">
        <v>16705.2</v>
      </c>
      <c r="AE611" s="5">
        <f>VLOOKUP(A611,[7]越南VN30指数历史数据!$A:$B,2,)</f>
        <v>1418.57</v>
      </c>
      <c r="AF611">
        <v>61393.15</v>
      </c>
      <c r="AG611" s="9">
        <v>13440.49</v>
      </c>
      <c r="AH611">
        <v>12784.68</v>
      </c>
      <c r="AI611">
        <v>1629.18</v>
      </c>
      <c r="AJ611">
        <v>2003.01</v>
      </c>
    </row>
    <row r="612" spans="1:36" x14ac:dyDescent="0.3">
      <c r="A612" s="2">
        <v>44437</v>
      </c>
      <c r="B612" s="3">
        <v>74734.95</v>
      </c>
      <c r="C612" s="4">
        <v>116933</v>
      </c>
      <c r="D612" s="3">
        <v>7522.9</v>
      </c>
      <c r="E612" s="3">
        <v>35369.089999999997</v>
      </c>
      <c r="F612" s="3">
        <v>20821.43</v>
      </c>
      <c r="G612" s="3">
        <v>2292.0500000000002</v>
      </c>
      <c r="H612" s="3">
        <v>4535.43</v>
      </c>
      <c r="I612" s="3">
        <v>15363.52</v>
      </c>
      <c r="J612" s="3">
        <v>51835.09</v>
      </c>
      <c r="K612" s="3">
        <v>22318.73</v>
      </c>
      <c r="L612" s="3">
        <v>2380.8200000000002</v>
      </c>
      <c r="M612" s="3">
        <v>15781.2</v>
      </c>
      <c r="N612" s="6">
        <f>VLOOKUP(A612,'[1]俄罗斯交易系统市值加权指数历史数据 (1)'!$A:$B,2,)</f>
        <v>1734.16</v>
      </c>
      <c r="O612" s="3">
        <v>6689.99</v>
      </c>
      <c r="P612" s="1">
        <v>789.55</v>
      </c>
      <c r="Q612" s="3">
        <v>12351.84</v>
      </c>
      <c r="R612" s="3">
        <v>1468.67</v>
      </c>
      <c r="S612" s="3">
        <v>8864</v>
      </c>
      <c r="T612" s="3">
        <v>7138.35</v>
      </c>
      <c r="U612" s="3">
        <v>4201.9799999999996</v>
      </c>
      <c r="V612" s="6">
        <f>VLOOKUP(A612,[2]韩国KOSPI指数历史数据!$A:$B,2,)</f>
        <v>3201.06</v>
      </c>
      <c r="W612" s="6">
        <f>VLOOKUP(A612,[3]日经225指数历史数据!$A:$B,2,)</f>
        <v>29128.11</v>
      </c>
      <c r="X612" s="3">
        <v>1766.83</v>
      </c>
      <c r="Y612" s="6">
        <f>VLOOKUP(A612,[4]上证指数历史数据!$A:$B,2,)</f>
        <v>3581.73</v>
      </c>
      <c r="Z612" s="6">
        <f>VLOOKUP(A612,[5]深证成份指数历史数据!$A:$B,2,)</f>
        <v>14179.86</v>
      </c>
      <c r="AA612" s="6">
        <f>VLOOKUP(A612,[6]台湾加权指数历史数据!$A:$B,2,)</f>
        <v>17516.919999999998</v>
      </c>
      <c r="AB612" s="3">
        <v>25901.99</v>
      </c>
      <c r="AC612" s="3">
        <v>3083.85</v>
      </c>
      <c r="AD612">
        <v>17323.599999999999</v>
      </c>
      <c r="AE612" s="5">
        <f>VLOOKUP(A612,[7]越南VN30指数历史数据!$A:$B,2,)</f>
        <v>1426.94</v>
      </c>
      <c r="AF612">
        <v>60106.720000000001</v>
      </c>
      <c r="AG612" s="9">
        <v>13694.29</v>
      </c>
      <c r="AH612">
        <v>12767.48</v>
      </c>
      <c r="AI612">
        <v>1620.59</v>
      </c>
      <c r="AJ612">
        <v>1976.9</v>
      </c>
    </row>
    <row r="613" spans="1:36" x14ac:dyDescent="0.3">
      <c r="A613" s="2">
        <v>44444</v>
      </c>
      <c r="B613" s="3">
        <v>75895.02</v>
      </c>
      <c r="C613" s="4">
        <v>114286</v>
      </c>
      <c r="D613" s="3">
        <v>7406.6</v>
      </c>
      <c r="E613" s="3">
        <v>34607.72</v>
      </c>
      <c r="F613" s="3">
        <v>20633.060000000001</v>
      </c>
      <c r="G613" s="3">
        <v>2227.5500000000002</v>
      </c>
      <c r="H613" s="3">
        <v>4458.58</v>
      </c>
      <c r="I613" s="3">
        <v>15115.49</v>
      </c>
      <c r="J613" s="3">
        <v>51521.8</v>
      </c>
      <c r="K613" s="3">
        <v>22287.89</v>
      </c>
      <c r="L613" s="3">
        <v>2360.6999999999998</v>
      </c>
      <c r="M613" s="3">
        <v>15609.81</v>
      </c>
      <c r="N613" s="6">
        <f>VLOOKUP(A613,'[1]俄罗斯交易系统市值加权指数历史数据 (1)'!$A:$B,2,)</f>
        <v>1725.25</v>
      </c>
      <c r="O613" s="3">
        <v>6663.77</v>
      </c>
      <c r="P613" s="1">
        <v>788.49</v>
      </c>
      <c r="Q613" s="3">
        <v>12060.64</v>
      </c>
      <c r="R613" s="3">
        <v>1438.72</v>
      </c>
      <c r="S613" s="3">
        <v>8695.2999999999993</v>
      </c>
      <c r="T613" s="3">
        <v>7029.2</v>
      </c>
      <c r="U613" s="3">
        <v>4170.3500000000004</v>
      </c>
      <c r="V613" s="6">
        <f>VLOOKUP(A613,[2]韩国KOSPI指数历史数据!$A:$B,2,)</f>
        <v>3125.76</v>
      </c>
      <c r="W613" s="6">
        <f>VLOOKUP(A613,[3]日经225指数历史数据!$A:$B,2,)</f>
        <v>30381.84</v>
      </c>
      <c r="X613" s="3">
        <v>1800.42</v>
      </c>
      <c r="Y613" s="6">
        <f>VLOOKUP(A613,[4]上证指数历史数据!$A:$B,2,)</f>
        <v>3703.11</v>
      </c>
      <c r="Z613" s="6">
        <f>VLOOKUP(A613,[5]深证成份指数历史数据!$A:$B,2,)</f>
        <v>14771.87</v>
      </c>
      <c r="AA613" s="6">
        <f>VLOOKUP(A613,[6]台湾加权指数历史数据!$A:$B,2,)</f>
        <v>17474.57</v>
      </c>
      <c r="AB613" s="3">
        <v>26205.91</v>
      </c>
      <c r="AC613" s="3">
        <v>3098.8</v>
      </c>
      <c r="AD613">
        <v>17369.25</v>
      </c>
      <c r="AE613" s="5">
        <f>VLOOKUP(A613,[7]越南VN30指数历史数据!$A:$B,2,)</f>
        <v>1448.33</v>
      </c>
      <c r="AF613">
        <v>58175.75</v>
      </c>
      <c r="AG613" s="9">
        <v>13441</v>
      </c>
      <c r="AH613">
        <v>12884.05</v>
      </c>
      <c r="AI613">
        <v>1615.69</v>
      </c>
      <c r="AJ613">
        <v>1974.65</v>
      </c>
    </row>
    <row r="614" spans="1:36" x14ac:dyDescent="0.3">
      <c r="A614" s="2">
        <v>44451</v>
      </c>
      <c r="B614" s="3">
        <v>78512.09</v>
      </c>
      <c r="C614" s="4">
        <v>111439</v>
      </c>
      <c r="D614" s="3">
        <v>7403.7</v>
      </c>
      <c r="E614" s="3">
        <v>34584.879999999997</v>
      </c>
      <c r="F614" s="3">
        <v>20490.36</v>
      </c>
      <c r="G614" s="3">
        <v>2236.87</v>
      </c>
      <c r="H614" s="3">
        <v>4432.99</v>
      </c>
      <c r="I614" s="3">
        <v>15043.97</v>
      </c>
      <c r="J614" s="3">
        <v>51307.71</v>
      </c>
      <c r="K614" s="3">
        <v>22278.84</v>
      </c>
      <c r="L614" s="3">
        <v>2333.0100000000002</v>
      </c>
      <c r="M614" s="3">
        <v>15490.17</v>
      </c>
      <c r="N614" s="6">
        <f>VLOOKUP(A614,'[1]俄罗斯交易系统市值加权指数历史数据 (1)'!$A:$B,2,)</f>
        <v>1745.04</v>
      </c>
      <c r="O614" s="3">
        <v>6570.19</v>
      </c>
      <c r="P614" s="1">
        <v>789.49</v>
      </c>
      <c r="Q614" s="3">
        <v>11935.53</v>
      </c>
      <c r="R614" s="3">
        <v>1419.43</v>
      </c>
      <c r="S614" s="3">
        <v>8760.9</v>
      </c>
      <c r="T614" s="3">
        <v>6963.64</v>
      </c>
      <c r="U614" s="3">
        <v>4130.84</v>
      </c>
      <c r="V614" s="6">
        <f>VLOOKUP(A614,[2]韩国KOSPI指数历史数据!$A:$B,2,)</f>
        <v>3140.51</v>
      </c>
      <c r="W614" s="6">
        <f>VLOOKUP(A614,[3]日经225指数历史数据!$A:$B,2,)</f>
        <v>30500.05</v>
      </c>
      <c r="X614" s="3">
        <v>1812.02</v>
      </c>
      <c r="Y614" s="6">
        <f>VLOOKUP(A614,[4]上证指数历史数据!$A:$B,2,)</f>
        <v>3613.97</v>
      </c>
      <c r="Z614" s="6">
        <f>VLOOKUP(A614,[5]深证成份指数历史数据!$A:$B,2,)</f>
        <v>14359.36</v>
      </c>
      <c r="AA614" s="6">
        <f>VLOOKUP(A614,[6]台湾加权指数历史数据!$A:$B,2,)</f>
        <v>17276.79</v>
      </c>
      <c r="AB614" s="3">
        <v>24920.76</v>
      </c>
      <c r="AC614" s="3">
        <v>3071.23</v>
      </c>
      <c r="AD614">
        <v>17585.150000000001</v>
      </c>
      <c r="AE614" s="5">
        <f>VLOOKUP(A614,[7]越南VN30指数历史数据!$A:$B,2,)</f>
        <v>1455.59</v>
      </c>
      <c r="AF614">
        <v>56605.25</v>
      </c>
      <c r="AG614" s="9">
        <v>13501.76</v>
      </c>
      <c r="AH614">
        <v>13019.2</v>
      </c>
      <c r="AI614">
        <v>1617.37</v>
      </c>
      <c r="AJ614">
        <v>1989.64</v>
      </c>
    </row>
    <row r="615" spans="1:36" x14ac:dyDescent="0.3">
      <c r="A615" s="2">
        <v>44458</v>
      </c>
      <c r="B615" s="3">
        <v>74180.2</v>
      </c>
      <c r="C615" s="4">
        <v>113283</v>
      </c>
      <c r="D615" s="3">
        <v>7342.6</v>
      </c>
      <c r="E615" s="3">
        <v>34798</v>
      </c>
      <c r="F615" s="3">
        <v>20402.66</v>
      </c>
      <c r="G615" s="3">
        <v>2248.0700000000002</v>
      </c>
      <c r="H615" s="3">
        <v>4455.4799999999996</v>
      </c>
      <c r="I615" s="3">
        <v>15047.7</v>
      </c>
      <c r="J615" s="3">
        <v>51105.71</v>
      </c>
      <c r="K615" s="3">
        <v>21838.53</v>
      </c>
      <c r="L615" s="3">
        <v>2299.1799999999998</v>
      </c>
      <c r="M615" s="3">
        <v>15531.75</v>
      </c>
      <c r="N615" s="6">
        <f>VLOOKUP(A615,'[1]俄罗斯交易系统市值加权指数历史数据 (1)'!$A:$B,2,)</f>
        <v>1747.56</v>
      </c>
      <c r="O615" s="3">
        <v>6638.46</v>
      </c>
      <c r="P615" s="1">
        <v>791.45</v>
      </c>
      <c r="Q615" s="3">
        <v>11817.2</v>
      </c>
      <c r="R615" s="3">
        <v>1384.68</v>
      </c>
      <c r="S615" s="3">
        <v>8873.1</v>
      </c>
      <c r="T615" s="3">
        <v>7051.48</v>
      </c>
      <c r="U615" s="3">
        <v>4158.51</v>
      </c>
      <c r="V615" s="6">
        <f>VLOOKUP(A615,[2]韩国KOSPI指数历史数据!$A:$B,2,)</f>
        <v>3125.24</v>
      </c>
      <c r="W615" s="6">
        <f>VLOOKUP(A615,[3]日经225指数历史数据!$A:$B,2,)</f>
        <v>30248.81</v>
      </c>
      <c r="X615" s="3">
        <v>1804.59</v>
      </c>
      <c r="Y615" s="6">
        <f>VLOOKUP(A615,[4]上证指数历史数据!$A:$B,2,)</f>
        <v>3613.07</v>
      </c>
      <c r="Z615" s="6">
        <f>VLOOKUP(A615,[5]深证成份指数历史数据!$A:$B,2,)</f>
        <v>14357.85</v>
      </c>
      <c r="AA615" s="6">
        <f>VLOOKUP(A615,[6]台湾加权指数历史数据!$A:$B,2,)</f>
        <v>17260.189999999999</v>
      </c>
      <c r="AB615" s="3">
        <v>24192.16</v>
      </c>
      <c r="AC615" s="3">
        <v>3061.35</v>
      </c>
      <c r="AD615">
        <v>17853.2</v>
      </c>
      <c r="AE615" s="5">
        <f>VLOOKUP(A615,[7]越南VN30指数历史数据!$A:$B,2,)</f>
        <v>1459.94</v>
      </c>
      <c r="AF615">
        <v>57642.54</v>
      </c>
      <c r="AG615" s="9">
        <v>13017.99</v>
      </c>
      <c r="AH615">
        <v>13131.88</v>
      </c>
      <c r="AI615">
        <v>1616.8</v>
      </c>
      <c r="AJ615">
        <v>1972.64</v>
      </c>
    </row>
    <row r="616" spans="1:36" x14ac:dyDescent="0.3">
      <c r="A616" s="2">
        <v>44465</v>
      </c>
      <c r="B616" s="3">
        <v>77626.17</v>
      </c>
      <c r="C616" s="4">
        <v>112900</v>
      </c>
      <c r="D616" s="3">
        <v>7185.5</v>
      </c>
      <c r="E616" s="3">
        <v>34326.46</v>
      </c>
      <c r="F616" s="3">
        <v>20150.87</v>
      </c>
      <c r="G616" s="3">
        <v>2241.63</v>
      </c>
      <c r="H616" s="3">
        <v>4357.05</v>
      </c>
      <c r="I616" s="3">
        <v>14566.7</v>
      </c>
      <c r="J616" s="3">
        <v>51060.05</v>
      </c>
      <c r="K616" s="3">
        <v>21558.47</v>
      </c>
      <c r="L616" s="3">
        <v>2327.88</v>
      </c>
      <c r="M616" s="3">
        <v>15156.44</v>
      </c>
      <c r="N616" s="6">
        <f>VLOOKUP(A616,'[1]俄罗斯交易系统市值加权指数历史数据 (1)'!$A:$B,2,)</f>
        <v>1771.5</v>
      </c>
      <c r="O616" s="3">
        <v>6517.69</v>
      </c>
      <c r="P616" s="1">
        <v>766.69</v>
      </c>
      <c r="Q616" s="3">
        <v>11575.37</v>
      </c>
      <c r="R616" s="3">
        <v>1401.46</v>
      </c>
      <c r="S616" s="3">
        <v>8799.5</v>
      </c>
      <c r="T616" s="3">
        <v>7027.07</v>
      </c>
      <c r="U616" s="3">
        <v>4035.3</v>
      </c>
      <c r="V616" s="6">
        <f>VLOOKUP(A616,[2]韩国KOSPI指数历史数据!$A:$B,2,)</f>
        <v>3019.18</v>
      </c>
      <c r="W616" s="6">
        <f>VLOOKUP(A616,[3]日经225指数历史数据!$A:$B,2,)</f>
        <v>28771.07</v>
      </c>
      <c r="X616" s="3">
        <v>1802.26</v>
      </c>
      <c r="Y616" s="6">
        <f>VLOOKUP(A616,[4]上证指数历史数据!$A:$B,2,)</f>
        <v>3568.17</v>
      </c>
      <c r="Z616" s="6">
        <f>VLOOKUP(A616,[5]深证成份指数历史数据!$A:$B,2,)</f>
        <v>14309.01</v>
      </c>
      <c r="AA616" s="6">
        <f>VLOOKUP(A616,[6]台湾加权指数历史数据!$A:$B,2,)</f>
        <v>16570.89</v>
      </c>
      <c r="AB616" s="3">
        <v>24575.64</v>
      </c>
      <c r="AC616" s="3">
        <v>3051.11</v>
      </c>
      <c r="AD616">
        <v>17532.05</v>
      </c>
      <c r="AE616" s="5">
        <f>VLOOKUP(A616,[7]越南VN30指数历史数据!$A:$B,2,)</f>
        <v>1441.83</v>
      </c>
      <c r="AF616">
        <v>57265.62</v>
      </c>
      <c r="AG616" s="9">
        <v>12885.56</v>
      </c>
      <c r="AH616">
        <v>13105.71</v>
      </c>
      <c r="AI616">
        <v>1674.51</v>
      </c>
      <c r="AJ616">
        <v>1949.48</v>
      </c>
    </row>
    <row r="617" spans="1:36" x14ac:dyDescent="0.3">
      <c r="A617" s="2">
        <v>44472</v>
      </c>
      <c r="B617" s="3">
        <v>77553.31</v>
      </c>
      <c r="C617" s="4">
        <v>112833</v>
      </c>
      <c r="D617" s="3">
        <v>7320.1</v>
      </c>
      <c r="E617" s="3">
        <v>34746.25</v>
      </c>
      <c r="F617" s="3">
        <v>20416.310000000001</v>
      </c>
      <c r="G617" s="3">
        <v>2233.09</v>
      </c>
      <c r="H617" s="3">
        <v>4391.3599999999997</v>
      </c>
      <c r="I617" s="3">
        <v>14579.54</v>
      </c>
      <c r="J617" s="3">
        <v>51136.62</v>
      </c>
      <c r="K617" s="3">
        <v>20692.59</v>
      </c>
      <c r="L617" s="3">
        <v>2411.12</v>
      </c>
      <c r="M617" s="3">
        <v>15206.13</v>
      </c>
      <c r="N617" s="6">
        <f>VLOOKUP(A617,'[1]俄罗斯交易系统市值加权指数历史数据 (1)'!$A:$B,2,)</f>
        <v>1860.96</v>
      </c>
      <c r="O617" s="3">
        <v>6559.99</v>
      </c>
      <c r="P617" s="1">
        <v>772.05</v>
      </c>
      <c r="Q617" s="3">
        <v>11764.99</v>
      </c>
      <c r="R617" s="3">
        <v>1398</v>
      </c>
      <c r="S617" s="3">
        <v>8955</v>
      </c>
      <c r="T617" s="3">
        <v>7095.55</v>
      </c>
      <c r="U617" s="3">
        <v>4073.29</v>
      </c>
      <c r="V617" s="6">
        <f>VLOOKUP(A617,[2]韩国KOSPI指数历史数据!$A:$B,2,)</f>
        <v>2956.3</v>
      </c>
      <c r="W617" s="6">
        <f>VLOOKUP(A617,[3]日经225指数历史数据!$A:$B,2,)</f>
        <v>28048.94</v>
      </c>
      <c r="X617" s="3">
        <v>1803.34</v>
      </c>
      <c r="Y617" s="6">
        <f>VLOOKUP(A617,[4]上证指数历史数据!$A:$B,2,)</f>
        <v>3592.17</v>
      </c>
      <c r="Z617" s="6">
        <f>VLOOKUP(A617,[5]深证成份指数历史数据!$A:$B,2,)</f>
        <v>14414.16</v>
      </c>
      <c r="AA617" s="6">
        <f>VLOOKUP(A617,[6]台湾加权指数历史数据!$A:$B,2,)</f>
        <v>16640.43</v>
      </c>
      <c r="AB617" s="3">
        <v>24837.85</v>
      </c>
      <c r="AC617" s="3">
        <v>3112.81</v>
      </c>
      <c r="AD617">
        <v>17895.2</v>
      </c>
      <c r="AE617" s="5">
        <f>VLOOKUP(A617,[7]越南VN30指数历史数据!$A:$B,2,)</f>
        <v>1476.54</v>
      </c>
      <c r="AF617">
        <v>58839.09</v>
      </c>
      <c r="AG617" s="9">
        <v>12884.99</v>
      </c>
      <c r="AH617">
        <v>13192.55</v>
      </c>
      <c r="AI617">
        <v>1692.85</v>
      </c>
      <c r="AJ617">
        <v>1926.98</v>
      </c>
    </row>
    <row r="618" spans="1:36" x14ac:dyDescent="0.3">
      <c r="A618" s="2">
        <v>44479</v>
      </c>
      <c r="B618" s="3">
        <v>81990.22</v>
      </c>
      <c r="C618" s="4">
        <v>114648</v>
      </c>
      <c r="D618" s="3">
        <v>7362</v>
      </c>
      <c r="E618" s="3">
        <v>35294.76</v>
      </c>
      <c r="F618" s="3">
        <v>20928.099999999999</v>
      </c>
      <c r="G618" s="3">
        <v>2265.65</v>
      </c>
      <c r="H618" s="3">
        <v>4471.37</v>
      </c>
      <c r="I618" s="3">
        <v>14897.34</v>
      </c>
      <c r="J618" s="3">
        <v>52798.38</v>
      </c>
      <c r="K618" s="3">
        <v>19945.59</v>
      </c>
      <c r="L618" s="3">
        <v>2453.98</v>
      </c>
      <c r="M618" s="3">
        <v>15587.36</v>
      </c>
      <c r="N618" s="6">
        <f>VLOOKUP(A618,'[1]俄罗斯交易系统市值加权指数历史数据 (1)'!$A:$B,2,)</f>
        <v>1891.56</v>
      </c>
      <c r="O618" s="3">
        <v>6727.52</v>
      </c>
      <c r="P618" s="1">
        <v>800.41</v>
      </c>
      <c r="Q618" s="3">
        <v>11961.34</v>
      </c>
      <c r="R618" s="3">
        <v>1409.56</v>
      </c>
      <c r="S618" s="3">
        <v>8997</v>
      </c>
      <c r="T618" s="3">
        <v>7234.03</v>
      </c>
      <c r="U618" s="3">
        <v>4182.91</v>
      </c>
      <c r="V618" s="6">
        <f>VLOOKUP(A618,[2]韩国KOSPI指数历史数据!$A:$B,2,)</f>
        <v>3015.06</v>
      </c>
      <c r="W618" s="6">
        <f>VLOOKUP(A618,[3]日经225指数历史数据!$A:$B,2,)</f>
        <v>29068.63</v>
      </c>
      <c r="X618" s="3">
        <v>1848.07</v>
      </c>
      <c r="Y618" s="6">
        <f>VLOOKUP(A618,[4]上证指数历史数据!$A:$B,2,)</f>
        <v>3572.37</v>
      </c>
      <c r="Z618" s="6">
        <f>VLOOKUP(A618,[5]深证成份指数历史数据!$A:$B,2,)</f>
        <v>14415.99</v>
      </c>
      <c r="AA618" s="6">
        <f>VLOOKUP(A618,[6]台湾加权指数历史数据!$A:$B,2,)</f>
        <v>16781.189999999999</v>
      </c>
      <c r="AB618" s="3">
        <v>25330.959999999999</v>
      </c>
      <c r="AC618" s="3">
        <v>3173.91</v>
      </c>
      <c r="AD618">
        <v>18338.55</v>
      </c>
      <c r="AE618" s="5">
        <f>VLOOKUP(A618,[7]越南VN30指数历史数据!$A:$B,2,)</f>
        <v>1504.84</v>
      </c>
      <c r="AF618">
        <v>60494.02</v>
      </c>
      <c r="AG618" s="9">
        <v>13341.92</v>
      </c>
      <c r="AH618">
        <v>13300.93</v>
      </c>
      <c r="AI618">
        <v>1721.39</v>
      </c>
      <c r="AJ618">
        <v>1920.13</v>
      </c>
    </row>
    <row r="619" spans="1:36" x14ac:dyDescent="0.3">
      <c r="A619" s="2">
        <v>44486</v>
      </c>
      <c r="B619" s="3">
        <v>86898.51</v>
      </c>
      <c r="C619" s="4">
        <v>106296</v>
      </c>
      <c r="D619" s="3">
        <v>7415.5</v>
      </c>
      <c r="E619" s="3">
        <v>35677.019999999997</v>
      </c>
      <c r="F619" s="3">
        <v>21216.15</v>
      </c>
      <c r="G619" s="3">
        <v>2291.27</v>
      </c>
      <c r="H619" s="3">
        <v>4544.8999999999996</v>
      </c>
      <c r="I619" s="3">
        <v>15090.2</v>
      </c>
      <c r="J619" s="3">
        <v>51889.66</v>
      </c>
      <c r="K619" s="3">
        <v>20427.78</v>
      </c>
      <c r="L619" s="3">
        <v>2417.09</v>
      </c>
      <c r="M619" s="3">
        <v>15542.98</v>
      </c>
      <c r="N619" s="6">
        <f>VLOOKUP(A619,'[1]俄罗斯交易系统市值加权指数历史数据 (1)'!$A:$B,2,)</f>
        <v>1877.99</v>
      </c>
      <c r="O619" s="3">
        <v>6733.69</v>
      </c>
      <c r="P619" s="1">
        <v>812.97</v>
      </c>
      <c r="Q619" s="3">
        <v>12056.21</v>
      </c>
      <c r="R619" s="3">
        <v>1479.93</v>
      </c>
      <c r="S619" s="3">
        <v>8906.4</v>
      </c>
      <c r="T619" s="3">
        <v>7204.55</v>
      </c>
      <c r="U619" s="3">
        <v>4188.8100000000004</v>
      </c>
      <c r="V619" s="6">
        <f>VLOOKUP(A619,[2]韩国KOSPI指数历史数据!$A:$B,2,)</f>
        <v>3006.16</v>
      </c>
      <c r="W619" s="6">
        <f>VLOOKUP(A619,[3]日经225指数历史数据!$A:$B,2,)</f>
        <v>28804.85</v>
      </c>
      <c r="X619" s="3">
        <v>1860.81</v>
      </c>
      <c r="Y619" s="6">
        <f>VLOOKUP(A619,[4]上证指数历史数据!$A:$B,2,)</f>
        <v>3582.6</v>
      </c>
      <c r="Z619" s="6">
        <f>VLOOKUP(A619,[5]深证成份指数历史数据!$A:$B,2,)</f>
        <v>14492.82</v>
      </c>
      <c r="AA619" s="6">
        <f>VLOOKUP(A619,[6]台湾加权指数历史数据!$A:$B,2,)</f>
        <v>16888.740000000002</v>
      </c>
      <c r="AB619" s="3">
        <v>26126.93</v>
      </c>
      <c r="AC619" s="3">
        <v>3205.14</v>
      </c>
      <c r="AD619">
        <v>18114.900000000001</v>
      </c>
      <c r="AE619" s="5">
        <f>VLOOKUP(A619,[7]越南VN30指数历史数据!$A:$B,2,)</f>
        <v>1488.71</v>
      </c>
      <c r="AF619">
        <v>60524.55</v>
      </c>
      <c r="AG619" s="9">
        <v>13444.44</v>
      </c>
      <c r="AH619">
        <v>13300.72</v>
      </c>
      <c r="AI619">
        <v>1735.1</v>
      </c>
      <c r="AJ619">
        <v>1913.74</v>
      </c>
    </row>
    <row r="620" spans="1:36" x14ac:dyDescent="0.3">
      <c r="A620" s="2">
        <v>44493</v>
      </c>
      <c r="B620" s="3">
        <v>83560.960000000006</v>
      </c>
      <c r="C620" s="4">
        <v>103501</v>
      </c>
      <c r="D620" s="3">
        <v>7323.7</v>
      </c>
      <c r="E620" s="3">
        <v>35819.56</v>
      </c>
      <c r="F620" s="3">
        <v>21037.07</v>
      </c>
      <c r="G620" s="3">
        <v>2297.19</v>
      </c>
      <c r="H620" s="3">
        <v>4605.38</v>
      </c>
      <c r="I620" s="3">
        <v>15498.39</v>
      </c>
      <c r="J620" s="3">
        <v>51309.84</v>
      </c>
      <c r="K620" s="3">
        <v>20561.169999999998</v>
      </c>
      <c r="L620" s="3">
        <v>2405.0500000000002</v>
      </c>
      <c r="M620" s="3">
        <v>15688.77</v>
      </c>
      <c r="N620" s="6">
        <f>VLOOKUP(A620,'[1]俄罗斯交易系统市值加权指数历史数据 (1)'!$A:$B,2,)</f>
        <v>1843.83</v>
      </c>
      <c r="O620" s="3">
        <v>6830.34</v>
      </c>
      <c r="P620" s="1">
        <v>810.91</v>
      </c>
      <c r="Q620" s="3">
        <v>12108.17</v>
      </c>
      <c r="R620" s="3">
        <v>1522.04</v>
      </c>
      <c r="S620" s="3">
        <v>9057.7000000000007</v>
      </c>
      <c r="T620" s="3">
        <v>7237.57</v>
      </c>
      <c r="U620" s="3">
        <v>4250.5600000000004</v>
      </c>
      <c r="V620" s="6">
        <f>VLOOKUP(A620,[2]韩国KOSPI指数历史数据!$A:$B,2,)</f>
        <v>2970.68</v>
      </c>
      <c r="W620" s="6">
        <f>VLOOKUP(A620,[3]日经225指数历史数据!$A:$B,2,)</f>
        <v>28892.69</v>
      </c>
      <c r="X620" s="3">
        <v>1849.5</v>
      </c>
      <c r="Y620" s="6">
        <f>VLOOKUP(A620,[4]上证指数历史数据!$A:$B,2,)</f>
        <v>3547.34</v>
      </c>
      <c r="Z620" s="6">
        <f>VLOOKUP(A620,[5]深证成份指数历史数据!$A:$B,2,)</f>
        <v>14451.38</v>
      </c>
      <c r="AA620" s="6">
        <f>VLOOKUP(A620,[6]台湾加权指数历史数据!$A:$B,2,)</f>
        <v>16987.41</v>
      </c>
      <c r="AB620" s="3">
        <v>25377.24</v>
      </c>
      <c r="AC620" s="3">
        <v>3198.17</v>
      </c>
      <c r="AD620">
        <v>17671.650000000001</v>
      </c>
      <c r="AE620" s="5">
        <f>VLOOKUP(A620,[7]越南VN30指数历史数据!$A:$B,2,)</f>
        <v>1532.35</v>
      </c>
      <c r="AF620">
        <v>60807.87</v>
      </c>
      <c r="AG620" s="9">
        <v>13695.15</v>
      </c>
      <c r="AH620">
        <v>13555.45</v>
      </c>
      <c r="AI620">
        <v>1747.12</v>
      </c>
      <c r="AJ620">
        <v>1894.44</v>
      </c>
    </row>
    <row r="621" spans="1:36" x14ac:dyDescent="0.3">
      <c r="A621" s="2">
        <v>44500</v>
      </c>
      <c r="B621" s="3">
        <v>92895.89</v>
      </c>
      <c r="C621" s="4">
        <v>104824</v>
      </c>
      <c r="D621" s="3">
        <v>7456.9</v>
      </c>
      <c r="E621" s="3">
        <v>36327.949999999997</v>
      </c>
      <c r="F621" s="3">
        <v>21455.82</v>
      </c>
      <c r="G621" s="3">
        <v>2437.08</v>
      </c>
      <c r="H621" s="3">
        <v>4697.53</v>
      </c>
      <c r="I621" s="3">
        <v>15971.59</v>
      </c>
      <c r="J621" s="3">
        <v>51977.96</v>
      </c>
      <c r="K621" s="3">
        <v>22039.39</v>
      </c>
      <c r="L621" s="3">
        <v>2439.16</v>
      </c>
      <c r="M621" s="3">
        <v>16054.36</v>
      </c>
      <c r="N621" s="6">
        <f>VLOOKUP(A621,'[1]俄罗斯交易系统市值加权指数历史数据 (1)'!$A:$B,2,)</f>
        <v>1848.1</v>
      </c>
      <c r="O621" s="3">
        <v>7040.79</v>
      </c>
      <c r="P621" s="1">
        <v>819.72</v>
      </c>
      <c r="Q621" s="3">
        <v>12321.85</v>
      </c>
      <c r="R621" s="3">
        <v>1583.59</v>
      </c>
      <c r="S621" s="3">
        <v>9130.6</v>
      </c>
      <c r="T621" s="3">
        <v>7303.96</v>
      </c>
      <c r="U621" s="3">
        <v>4363.04</v>
      </c>
      <c r="V621" s="6">
        <f>VLOOKUP(A621,[2]韩国KOSPI指数历史数据!$A:$B,2,)</f>
        <v>2969.27</v>
      </c>
      <c r="W621" s="6">
        <f>VLOOKUP(A621,[3]日经225指数历史数据!$A:$B,2,)</f>
        <v>29611.57</v>
      </c>
      <c r="X621" s="3">
        <v>1887.24</v>
      </c>
      <c r="Y621" s="6">
        <f>VLOOKUP(A621,[4]上证指数历史数据!$A:$B,2,)</f>
        <v>3491.57</v>
      </c>
      <c r="Z621" s="6">
        <f>VLOOKUP(A621,[5]深证成份指数历史数据!$A:$B,2,)</f>
        <v>14462.62</v>
      </c>
      <c r="AA621" s="6">
        <f>VLOOKUP(A621,[6]台湾加权指数历史数据!$A:$B,2,)</f>
        <v>17296.900000000001</v>
      </c>
      <c r="AB621" s="3">
        <v>24870.51</v>
      </c>
      <c r="AC621" s="3">
        <v>3242.34</v>
      </c>
      <c r="AD621">
        <v>17916.8</v>
      </c>
      <c r="AE621" s="5">
        <f>VLOOKUP(A621,[7]越南VN30指数历史数据!$A:$B,2,)</f>
        <v>1531.76</v>
      </c>
      <c r="AF621">
        <v>61115.79</v>
      </c>
      <c r="AG621" s="9">
        <v>13619.56</v>
      </c>
      <c r="AH621">
        <v>13413.8</v>
      </c>
      <c r="AI621">
        <v>1746.84</v>
      </c>
      <c r="AJ621">
        <v>1868.15</v>
      </c>
    </row>
    <row r="622" spans="1:36" x14ac:dyDescent="0.3">
      <c r="A622" s="2">
        <v>44507</v>
      </c>
      <c r="B622" s="3">
        <v>94963.42</v>
      </c>
      <c r="C622" s="4">
        <v>106335</v>
      </c>
      <c r="D622" s="3">
        <v>7443</v>
      </c>
      <c r="E622" s="3">
        <v>36100.31</v>
      </c>
      <c r="F622" s="3">
        <v>21768.53</v>
      </c>
      <c r="G622" s="3">
        <v>2411.7800000000002</v>
      </c>
      <c r="H622" s="3">
        <v>4682.8500000000004</v>
      </c>
      <c r="I622" s="3">
        <v>15860.96</v>
      </c>
      <c r="J622" s="3">
        <v>51432.54</v>
      </c>
      <c r="K622" s="3">
        <v>22486.09</v>
      </c>
      <c r="L622" s="3">
        <v>2358.23</v>
      </c>
      <c r="M622" s="3">
        <v>16094.07</v>
      </c>
      <c r="N622" s="6">
        <f>VLOOKUP(A622,'[1]俄罗斯交易系统市值加权指数历史数据 (1)'!$A:$B,2,)</f>
        <v>1784.28</v>
      </c>
      <c r="O622" s="3">
        <v>7091.4</v>
      </c>
      <c r="P622" s="1">
        <v>820.3</v>
      </c>
      <c r="Q622" s="3">
        <v>12516.05</v>
      </c>
      <c r="R622" s="3">
        <v>1638.5</v>
      </c>
      <c r="S622" s="3">
        <v>9080.7999999999993</v>
      </c>
      <c r="T622" s="3">
        <v>7347.91</v>
      </c>
      <c r="U622" s="3">
        <v>4370.33</v>
      </c>
      <c r="V622" s="6">
        <f>VLOOKUP(A622,[2]韩国KOSPI指数历史数据!$A:$B,2,)</f>
        <v>2968.8</v>
      </c>
      <c r="W622" s="6">
        <f>VLOOKUP(A622,[3]日经225指数历史数据!$A:$B,2,)</f>
        <v>29609.97</v>
      </c>
      <c r="X622" s="3">
        <v>1889.38</v>
      </c>
      <c r="Y622" s="6">
        <f>VLOOKUP(A622,[4]上证指数历史数据!$A:$B,2,)</f>
        <v>3539.1</v>
      </c>
      <c r="Z622" s="6">
        <f>VLOOKUP(A622,[5]深证成份指数历史数据!$A:$B,2,)</f>
        <v>14705.37</v>
      </c>
      <c r="AA622" s="6">
        <f>VLOOKUP(A622,[6]台湾加权指数历史数据!$A:$B,2,)</f>
        <v>17518.13</v>
      </c>
      <c r="AB622" s="3">
        <v>25327.97</v>
      </c>
      <c r="AC622" s="3">
        <v>3228.45</v>
      </c>
      <c r="AD622">
        <v>18102.75</v>
      </c>
      <c r="AE622" s="5">
        <f>VLOOKUP(A622,[7]越南VN30指数历史数据!$A:$B,2,)</f>
        <v>1527.94</v>
      </c>
      <c r="AF622">
        <v>63263.4</v>
      </c>
      <c r="AG622" s="9">
        <v>13618.44</v>
      </c>
      <c r="AH622">
        <v>13295.73</v>
      </c>
      <c r="AI622">
        <v>1775.51</v>
      </c>
      <c r="AJ622">
        <v>1873.25</v>
      </c>
    </row>
    <row r="623" spans="1:36" x14ac:dyDescent="0.3">
      <c r="A623" s="2">
        <v>44514</v>
      </c>
      <c r="B623" s="3">
        <v>85695.15</v>
      </c>
      <c r="C623" s="4">
        <v>103035</v>
      </c>
      <c r="D623" s="3">
        <v>7396.5</v>
      </c>
      <c r="E623" s="3">
        <v>35601.980000000003</v>
      </c>
      <c r="F623" s="3">
        <v>21555.03</v>
      </c>
      <c r="G623" s="3">
        <v>2343.16</v>
      </c>
      <c r="H623" s="3">
        <v>4697.96</v>
      </c>
      <c r="I623" s="3">
        <v>16057.44</v>
      </c>
      <c r="J623" s="3">
        <v>50811.3</v>
      </c>
      <c r="K623" s="3">
        <v>21846.47</v>
      </c>
      <c r="L623" s="3">
        <v>2248.1799999999998</v>
      </c>
      <c r="M623" s="3">
        <v>16159.97</v>
      </c>
      <c r="N623" s="6">
        <f>VLOOKUP(A623,'[1]俄罗斯交易系统市值加权指数历史数据 (1)'!$A:$B,2,)</f>
        <v>1723.74</v>
      </c>
      <c r="O623" s="3">
        <v>7112.29</v>
      </c>
      <c r="P623" s="1">
        <v>821.8</v>
      </c>
      <c r="Q623" s="3">
        <v>12545.01</v>
      </c>
      <c r="R623" s="3">
        <v>1737.33</v>
      </c>
      <c r="S623" s="3">
        <v>8753.2000000000007</v>
      </c>
      <c r="T623" s="3">
        <v>7223.57</v>
      </c>
      <c r="U623" s="3">
        <v>4356.47</v>
      </c>
      <c r="V623" s="6">
        <f>VLOOKUP(A623,[2]韩国KOSPI指数历史数据!$A:$B,2,)</f>
        <v>2971.02</v>
      </c>
      <c r="W623" s="6">
        <f>VLOOKUP(A623,[3]日经225指数历史数据!$A:$B,2,)</f>
        <v>29745.87</v>
      </c>
      <c r="X623" s="3">
        <v>1901.32</v>
      </c>
      <c r="Y623" s="6">
        <f>VLOOKUP(A623,[4]上证指数历史数据!$A:$B,2,)</f>
        <v>3560.37</v>
      </c>
      <c r="Z623" s="6">
        <f>VLOOKUP(A623,[5]深证成份指数历史数据!$A:$B,2,)</f>
        <v>14752.49</v>
      </c>
      <c r="AA623" s="6">
        <f>VLOOKUP(A623,[6]台湾加权指数历史数据!$A:$B,2,)</f>
        <v>17818.310000000001</v>
      </c>
      <c r="AB623" s="3">
        <v>25049.97</v>
      </c>
      <c r="AC623" s="3">
        <v>3232.34</v>
      </c>
      <c r="AD623">
        <v>17764.8</v>
      </c>
      <c r="AE623" s="5">
        <f>VLOOKUP(A623,[7]越南VN30指数历史数据!$A:$B,2,)</f>
        <v>1500.05</v>
      </c>
      <c r="AF623">
        <v>63870.65</v>
      </c>
      <c r="AG623" s="9">
        <v>13323.6</v>
      </c>
      <c r="AH623">
        <v>13340.45</v>
      </c>
      <c r="AI623">
        <v>1756.01</v>
      </c>
      <c r="AJ623">
        <v>1873.44</v>
      </c>
    </row>
    <row r="624" spans="1:36" x14ac:dyDescent="0.3">
      <c r="A624" s="2">
        <v>44521</v>
      </c>
      <c r="B624" s="3">
        <v>80369.009999999995</v>
      </c>
      <c r="C624" s="4">
        <v>102224</v>
      </c>
      <c r="D624" s="3">
        <v>7279.3</v>
      </c>
      <c r="E624" s="3">
        <v>34899.339999999997</v>
      </c>
      <c r="F624" s="3">
        <v>21125.9</v>
      </c>
      <c r="G624" s="3">
        <v>2245.94</v>
      </c>
      <c r="H624" s="3">
        <v>4594.62</v>
      </c>
      <c r="I624" s="3">
        <v>15491.66</v>
      </c>
      <c r="J624" s="3">
        <v>49492.52</v>
      </c>
      <c r="K624" s="3">
        <v>22925.38</v>
      </c>
      <c r="L624" s="3">
        <v>2143.13</v>
      </c>
      <c r="M624" s="3">
        <v>15257.04</v>
      </c>
      <c r="N624" s="6">
        <f>VLOOKUP(A624,'[1]俄罗斯交易系统市值加权指数历史数据 (1)'!$A:$B,2,)</f>
        <v>1589.38</v>
      </c>
      <c r="O624" s="3">
        <v>6739.73</v>
      </c>
      <c r="P624" s="1">
        <v>781.63</v>
      </c>
      <c r="Q624" s="3">
        <v>12199.21</v>
      </c>
      <c r="R624" s="3">
        <v>1776.41</v>
      </c>
      <c r="S624" s="3">
        <v>8402.7000000000007</v>
      </c>
      <c r="T624" s="3">
        <v>7044.03</v>
      </c>
      <c r="U624" s="3">
        <v>4089.58</v>
      </c>
      <c r="V624" s="6">
        <f>VLOOKUP(A624,[2]韩国KOSPI指数历史数据!$A:$B,2,)</f>
        <v>2936.44</v>
      </c>
      <c r="W624" s="6">
        <f>VLOOKUP(A624,[3]日经225指数历史数据!$A:$B,2,)</f>
        <v>28751.62</v>
      </c>
      <c r="X624" s="3">
        <v>1896.57</v>
      </c>
      <c r="Y624" s="6">
        <f>VLOOKUP(A624,[4]上证指数历史数据!$A:$B,2,)</f>
        <v>3564.09</v>
      </c>
      <c r="Z624" s="6">
        <f>VLOOKUP(A624,[5]深证成份指数历史数据!$A:$B,2,)</f>
        <v>14777.17</v>
      </c>
      <c r="AA624" s="6">
        <f>VLOOKUP(A624,[6]台湾加权指数历史数据!$A:$B,2,)</f>
        <v>17369.39</v>
      </c>
      <c r="AB624" s="3">
        <v>24080.52</v>
      </c>
      <c r="AC624" s="3">
        <v>3166.27</v>
      </c>
      <c r="AD624">
        <v>17026.45</v>
      </c>
      <c r="AE624" s="5">
        <f>VLOOKUP(A624,[7]越南VN30指数历史数据!$A:$B,2,)</f>
        <v>1566.55</v>
      </c>
      <c r="AF624">
        <v>62410.83</v>
      </c>
      <c r="AG624" s="9">
        <v>13526.48</v>
      </c>
      <c r="AH624">
        <v>13221.08</v>
      </c>
      <c r="AI624">
        <v>1748.42</v>
      </c>
      <c r="AJ624">
        <v>1857.26</v>
      </c>
    </row>
    <row r="625" spans="1:36" x14ac:dyDescent="0.3">
      <c r="A625" s="2">
        <v>44528</v>
      </c>
      <c r="B625" s="3">
        <v>86359.78</v>
      </c>
      <c r="C625" s="4">
        <v>105070</v>
      </c>
      <c r="D625" s="3">
        <v>7241.2</v>
      </c>
      <c r="E625" s="3">
        <v>34580.080000000002</v>
      </c>
      <c r="F625" s="3">
        <v>20633.27</v>
      </c>
      <c r="G625" s="3">
        <v>2159.31</v>
      </c>
      <c r="H625" s="3">
        <v>4538.43</v>
      </c>
      <c r="I625" s="3">
        <v>15085.47</v>
      </c>
      <c r="J625" s="3">
        <v>50597.29</v>
      </c>
      <c r="K625" s="3">
        <v>21875.96</v>
      </c>
      <c r="L625" s="3">
        <v>2179.71</v>
      </c>
      <c r="M625" s="3">
        <v>15169.98</v>
      </c>
      <c r="N625" s="6">
        <f>VLOOKUP(A625,'[1]俄罗斯交易系统市值加权指数历史数据 (1)'!$A:$B,2,)</f>
        <v>1668.26</v>
      </c>
      <c r="O625" s="3">
        <v>6765.52</v>
      </c>
      <c r="P625" s="1">
        <v>772.22</v>
      </c>
      <c r="Q625" s="3">
        <v>12175.77</v>
      </c>
      <c r="R625" s="3">
        <v>1910.41</v>
      </c>
      <c r="S625" s="3">
        <v>8241.7000000000007</v>
      </c>
      <c r="T625" s="3">
        <v>7122.32</v>
      </c>
      <c r="U625" s="3">
        <v>4080.15</v>
      </c>
      <c r="V625" s="6">
        <f>VLOOKUP(A625,[2]韩国KOSPI指数历史数据!$A:$B,2,)</f>
        <v>2968.33</v>
      </c>
      <c r="W625" s="6">
        <f>VLOOKUP(A625,[3]日经225指数历史数据!$A:$B,2,)</f>
        <v>28029.57</v>
      </c>
      <c r="X625" s="3">
        <v>1869.86</v>
      </c>
      <c r="Y625" s="6">
        <f>VLOOKUP(A625,[4]上证指数历史数据!$A:$B,2,)</f>
        <v>3607.43</v>
      </c>
      <c r="Z625" s="6">
        <f>VLOOKUP(A625,[5]深证成份指数历史数据!$A:$B,2,)</f>
        <v>14892.05</v>
      </c>
      <c r="AA625" s="6">
        <f>VLOOKUP(A625,[6]台湾加权指数历史数据!$A:$B,2,)</f>
        <v>17697.14</v>
      </c>
      <c r="AB625" s="3">
        <v>23766.69</v>
      </c>
      <c r="AC625" s="3">
        <v>3101.93</v>
      </c>
      <c r="AD625">
        <v>17196.7</v>
      </c>
      <c r="AE625" s="5">
        <f>VLOOKUP(A625,[7]越南VN30指数历史数据!$A:$B,2,)</f>
        <v>1503.98</v>
      </c>
      <c r="AF625">
        <v>64306.68</v>
      </c>
      <c r="AG625" s="9">
        <v>13399.28</v>
      </c>
      <c r="AH625">
        <v>13226</v>
      </c>
      <c r="AI625">
        <v>1691.51</v>
      </c>
      <c r="AJ625">
        <v>1846.88</v>
      </c>
    </row>
    <row r="626" spans="1:36" x14ac:dyDescent="0.3">
      <c r="A626" s="2">
        <v>44535</v>
      </c>
      <c r="B626" s="3">
        <v>85441.38</v>
      </c>
      <c r="C626" s="4">
        <v>107758</v>
      </c>
      <c r="D626" s="3">
        <v>7353.5</v>
      </c>
      <c r="E626" s="3">
        <v>35970.99</v>
      </c>
      <c r="F626" s="3">
        <v>20890.62</v>
      </c>
      <c r="G626" s="3">
        <v>2211.81</v>
      </c>
      <c r="H626" s="3">
        <v>4712.0200000000004</v>
      </c>
      <c r="I626" s="3">
        <v>15630.6</v>
      </c>
      <c r="J626" s="3">
        <v>51213.48</v>
      </c>
      <c r="K626" s="3">
        <v>22020.63</v>
      </c>
      <c r="L626" s="3">
        <v>2213.7800000000002</v>
      </c>
      <c r="M626" s="3">
        <v>15623.31</v>
      </c>
      <c r="N626" s="6">
        <f>VLOOKUP(A626,'[1]俄罗斯交易系统市值加权指数历史数据 (1)'!$A:$B,2,)</f>
        <v>1612.25</v>
      </c>
      <c r="O626" s="3">
        <v>6991.68</v>
      </c>
      <c r="P626" s="1">
        <v>788.01</v>
      </c>
      <c r="Q626" s="3">
        <v>12607.73</v>
      </c>
      <c r="R626" s="3">
        <v>2035.48</v>
      </c>
      <c r="S626" s="3">
        <v>8360.2000000000007</v>
      </c>
      <c r="T626" s="3">
        <v>7291.78</v>
      </c>
      <c r="U626" s="3">
        <v>4199.16</v>
      </c>
      <c r="V626" s="6">
        <f>VLOOKUP(A626,[2]韩国KOSPI指数历史数据!$A:$B,2,)</f>
        <v>3010.23</v>
      </c>
      <c r="W626" s="6">
        <f>VLOOKUP(A626,[3]日经225指数历史数据!$A:$B,2,)</f>
        <v>28437.77</v>
      </c>
      <c r="X626" s="3">
        <v>1906.21</v>
      </c>
      <c r="Y626" s="6">
        <f>VLOOKUP(A626,[4]上证指数历史数据!$A:$B,2,)</f>
        <v>3666.35</v>
      </c>
      <c r="Z626" s="6">
        <f>VLOOKUP(A626,[5]深证成份指数历史数据!$A:$B,2,)</f>
        <v>15111.56</v>
      </c>
      <c r="AA626" s="6">
        <f>VLOOKUP(A626,[6]台湾加权指数历史数据!$A:$B,2,)</f>
        <v>17826.259999999998</v>
      </c>
      <c r="AB626" s="3">
        <v>23995.72</v>
      </c>
      <c r="AC626" s="3">
        <v>3135.61</v>
      </c>
      <c r="AD626">
        <v>17511.3</v>
      </c>
      <c r="AE626" s="5">
        <f>VLOOKUP(A626,[7]越南VN30指数历史数据!$A:$B,2,)</f>
        <v>1519.46</v>
      </c>
      <c r="AF626">
        <v>65390.32</v>
      </c>
      <c r="AG626" s="9">
        <v>13699.34</v>
      </c>
      <c r="AH626">
        <v>13339.81</v>
      </c>
      <c r="AI626">
        <v>1682.33</v>
      </c>
      <c r="AJ626">
        <v>1841.34</v>
      </c>
    </row>
    <row r="627" spans="1:36" x14ac:dyDescent="0.3">
      <c r="A627" s="2">
        <v>44542</v>
      </c>
      <c r="B627" s="3">
        <v>83234.039999999994</v>
      </c>
      <c r="C627" s="4">
        <v>107201</v>
      </c>
      <c r="D627" s="3">
        <v>7304</v>
      </c>
      <c r="E627" s="3">
        <v>35365.440000000002</v>
      </c>
      <c r="F627" s="3">
        <v>20739.189999999999</v>
      </c>
      <c r="G627" s="3">
        <v>2173.9299999999998</v>
      </c>
      <c r="H627" s="3">
        <v>4620.6400000000003</v>
      </c>
      <c r="I627" s="3">
        <v>15169.68</v>
      </c>
      <c r="J627" s="3">
        <v>52379.37</v>
      </c>
      <c r="K627" s="3">
        <v>21748.95</v>
      </c>
      <c r="L627" s="3">
        <v>2194.56</v>
      </c>
      <c r="M627" s="3">
        <v>15531.69</v>
      </c>
      <c r="N627" s="6">
        <f>VLOOKUP(A627,'[1]俄罗斯交易系统市值加权指数历史数据 (1)'!$A:$B,2,)</f>
        <v>1583.05</v>
      </c>
      <c r="O627" s="3">
        <v>6926.63</v>
      </c>
      <c r="P627" s="1">
        <v>771.7</v>
      </c>
      <c r="Q627" s="3">
        <v>12715.48</v>
      </c>
      <c r="R627" s="3">
        <v>2084.4699999999998</v>
      </c>
      <c r="S627" s="3">
        <v>8311.6</v>
      </c>
      <c r="T627" s="3">
        <v>7269.92</v>
      </c>
      <c r="U627" s="3">
        <v>4161.3500000000004</v>
      </c>
      <c r="V627" s="6">
        <f>VLOOKUP(A627,[2]韩国KOSPI指数历史数据!$A:$B,2,)</f>
        <v>3017.73</v>
      </c>
      <c r="W627" s="6">
        <f>VLOOKUP(A627,[3]日经225指数历史数据!$A:$B,2,)</f>
        <v>28545.68</v>
      </c>
      <c r="X627" s="3">
        <v>1911.14</v>
      </c>
      <c r="Y627" s="6">
        <f>VLOOKUP(A627,[4]上证指数历史数据!$A:$B,2,)</f>
        <v>3632.36</v>
      </c>
      <c r="Z627" s="6">
        <f>VLOOKUP(A627,[5]深证成份指数历史数据!$A:$B,2,)</f>
        <v>14867.55</v>
      </c>
      <c r="AA627" s="6">
        <f>VLOOKUP(A627,[6]台湾加权指数历史数据!$A:$B,2,)</f>
        <v>17812.59</v>
      </c>
      <c r="AB627" s="3">
        <v>23192.63</v>
      </c>
      <c r="AC627" s="3">
        <v>3111.63</v>
      </c>
      <c r="AD627">
        <v>16985.2</v>
      </c>
      <c r="AE627" s="5">
        <f>VLOOKUP(A627,[7]越南VN30指数历史数据!$A:$B,2,)</f>
        <v>1513.56</v>
      </c>
      <c r="AF627">
        <v>64680.34</v>
      </c>
      <c r="AG627" s="9">
        <v>13949.34</v>
      </c>
      <c r="AH627">
        <v>13303.73</v>
      </c>
      <c r="AI627">
        <v>1705.47</v>
      </c>
      <c r="AJ627">
        <v>1866.99</v>
      </c>
    </row>
    <row r="628" spans="1:36" x14ac:dyDescent="0.3">
      <c r="A628" s="2">
        <v>44549</v>
      </c>
      <c r="B628" s="3">
        <v>84850.31</v>
      </c>
      <c r="C628" s="4">
        <v>104891</v>
      </c>
      <c r="D628" s="3">
        <v>7420.3</v>
      </c>
      <c r="E628" s="3">
        <v>35950.559999999998</v>
      </c>
      <c r="F628" s="3">
        <v>21229.68</v>
      </c>
      <c r="G628" s="3">
        <v>2241.58</v>
      </c>
      <c r="H628" s="3">
        <v>4725.78</v>
      </c>
      <c r="I628" s="3">
        <v>15653.37</v>
      </c>
      <c r="J628" s="3">
        <v>52853.38</v>
      </c>
      <c r="K628" s="3">
        <v>21470.39</v>
      </c>
      <c r="L628" s="3">
        <v>2225.8000000000002</v>
      </c>
      <c r="M628" s="3">
        <v>15756.31</v>
      </c>
      <c r="N628" s="6">
        <f>VLOOKUP(A628,'[1]俄罗斯交易系统市值加权指数历史数据 (1)'!$A:$B,2,)</f>
        <v>1584.15</v>
      </c>
      <c r="O628" s="3">
        <v>7086.58</v>
      </c>
      <c r="P628" s="1">
        <v>790.48</v>
      </c>
      <c r="Q628" s="3">
        <v>12785.32</v>
      </c>
      <c r="R628" s="3">
        <v>1891.28</v>
      </c>
      <c r="S628" s="3">
        <v>8563.7000000000007</v>
      </c>
      <c r="T628" s="3">
        <v>7372.1</v>
      </c>
      <c r="U628" s="3">
        <v>4255.01</v>
      </c>
      <c r="V628" s="6">
        <f>VLOOKUP(A628,[2]韩国KOSPI指数历史数据!$A:$B,2,)</f>
        <v>3012.43</v>
      </c>
      <c r="W628" s="6">
        <f>VLOOKUP(A628,[3]日经225指数历史数据!$A:$B,2,)</f>
        <v>28782.59</v>
      </c>
      <c r="X628" s="3">
        <v>1949.34</v>
      </c>
      <c r="Y628" s="6">
        <f>VLOOKUP(A628,[4]上证指数历史数据!$A:$B,2,)</f>
        <v>3618.05</v>
      </c>
      <c r="Z628" s="6">
        <f>VLOOKUP(A628,[5]深证成份指数历史数据!$A:$B,2,)</f>
        <v>14710.33</v>
      </c>
      <c r="AA628" s="6">
        <f>VLOOKUP(A628,[6]台湾加权指数历史数据!$A:$B,2,)</f>
        <v>17961.64</v>
      </c>
      <c r="AB628" s="3">
        <v>23223.759999999998</v>
      </c>
      <c r="AC628" s="3">
        <v>3108.28</v>
      </c>
      <c r="AD628">
        <v>17003.75</v>
      </c>
      <c r="AE628" s="5">
        <f>VLOOKUP(A628,[7]越南VN30指数历史数据!$A:$B,2,)</f>
        <v>1506.67</v>
      </c>
      <c r="AF628">
        <v>65023.34</v>
      </c>
      <c r="AG628" s="9">
        <v>14052.66</v>
      </c>
      <c r="AH628">
        <v>13242.43</v>
      </c>
      <c r="AI628">
        <v>1700.61</v>
      </c>
      <c r="AJ628">
        <v>1903.39</v>
      </c>
    </row>
    <row r="629" spans="1:36" x14ac:dyDescent="0.3">
      <c r="A629" s="2">
        <v>44556</v>
      </c>
      <c r="B629" s="3">
        <v>83500.11</v>
      </c>
      <c r="C629" s="4">
        <v>104822</v>
      </c>
      <c r="D629" s="3">
        <v>7444.6</v>
      </c>
      <c r="E629" s="3">
        <v>36338.300000000003</v>
      </c>
      <c r="F629" s="3">
        <v>21222.84</v>
      </c>
      <c r="G629" s="3">
        <v>2245.31</v>
      </c>
      <c r="H629" s="3">
        <v>4766.18</v>
      </c>
      <c r="I629" s="3">
        <v>15644.97</v>
      </c>
      <c r="J629" s="3">
        <v>53272.44</v>
      </c>
      <c r="K629" s="3">
        <v>21537.62</v>
      </c>
      <c r="L629" s="3">
        <v>2266.92</v>
      </c>
      <c r="M629" s="3">
        <v>15884.86</v>
      </c>
      <c r="N629" s="6">
        <f>VLOOKUP(A629,'[1]俄罗斯交易系统市值加权指数历史数据 (1)'!$A:$B,2,)</f>
        <v>1595.76</v>
      </c>
      <c r="O629" s="3">
        <v>7153.03</v>
      </c>
      <c r="P629" s="1">
        <v>797.93</v>
      </c>
      <c r="Q629" s="3">
        <v>12875.66</v>
      </c>
      <c r="R629" s="3">
        <v>1857.65</v>
      </c>
      <c r="S629" s="3">
        <v>8713.7999999999993</v>
      </c>
      <c r="T629" s="3">
        <v>7384.54</v>
      </c>
      <c r="U629" s="3">
        <v>4298.41</v>
      </c>
      <c r="V629" s="6">
        <f>VLOOKUP(A629,[2]韩国KOSPI指数历史数据!$A:$B,2,)</f>
        <v>2977.65</v>
      </c>
      <c r="W629" s="6">
        <f>VLOOKUP(A629,[3]日经225指数历史数据!$A:$B,2,)</f>
        <v>28791.71</v>
      </c>
      <c r="X629" s="3">
        <v>1978.06</v>
      </c>
      <c r="Y629" s="6">
        <f>VLOOKUP(A629,[4]上证指数历史数据!$A:$B,2,)</f>
        <v>3639.78</v>
      </c>
      <c r="Z629" s="6">
        <f>VLOOKUP(A629,[5]深证成份指数历史数据!$A:$B,2,)</f>
        <v>14857.35</v>
      </c>
      <c r="AA629" s="6">
        <f>VLOOKUP(A629,[6]台湾加权指数历史数据!$A:$B,2,)</f>
        <v>18218.84</v>
      </c>
      <c r="AB629" s="3">
        <v>23397.67</v>
      </c>
      <c r="AC629" s="3">
        <v>3123.68</v>
      </c>
      <c r="AD629">
        <v>17354.05</v>
      </c>
      <c r="AE629" s="5">
        <f>VLOOKUP(A629,[7]越南VN30指数历史数据!$A:$B,2,)</f>
        <v>1535.71</v>
      </c>
      <c r="AF629">
        <v>67052.399999999994</v>
      </c>
      <c r="AG629" s="9">
        <v>14228.13</v>
      </c>
      <c r="AH629">
        <v>13358.32</v>
      </c>
      <c r="AI629">
        <v>1722.3</v>
      </c>
      <c r="AJ629">
        <v>1896.71</v>
      </c>
    </row>
    <row r="630" spans="1:36" x14ac:dyDescent="0.3">
      <c r="A630" s="2">
        <v>44563</v>
      </c>
      <c r="B630" s="3">
        <v>84402.07</v>
      </c>
      <c r="C630" s="4">
        <v>102719</v>
      </c>
      <c r="D630" s="3">
        <v>7453.3</v>
      </c>
      <c r="E630" s="3">
        <v>36231.660000000003</v>
      </c>
      <c r="F630" s="3">
        <v>21084.45</v>
      </c>
      <c r="G630" s="3">
        <v>2179.81</v>
      </c>
      <c r="H630" s="3">
        <v>4677.0200000000004</v>
      </c>
      <c r="I630" s="3">
        <v>14935.9</v>
      </c>
      <c r="J630" s="3">
        <v>53202.11</v>
      </c>
      <c r="K630" s="3">
        <v>21474.63</v>
      </c>
      <c r="L630" s="3">
        <v>2311.9299999999998</v>
      </c>
      <c r="M630" s="3">
        <v>15947.74</v>
      </c>
      <c r="N630" s="6">
        <f>VLOOKUP(A630,'[1]俄罗斯交易系统市值加权指数历史数据 (1)'!$A:$B,2,)</f>
        <v>1545.24</v>
      </c>
      <c r="O630" s="3">
        <v>7219.48</v>
      </c>
      <c r="P630" s="1">
        <v>788.43</v>
      </c>
      <c r="Q630" s="3">
        <v>12797.94</v>
      </c>
      <c r="R630" s="3">
        <v>2033.32</v>
      </c>
      <c r="S630" s="3">
        <v>8751.7999999999993</v>
      </c>
      <c r="T630" s="3">
        <v>7485.28</v>
      </c>
      <c r="U630" s="3">
        <v>4305.83</v>
      </c>
      <c r="V630" s="6">
        <f>VLOOKUP(A630,[2]韩国KOSPI指数历史数据!$A:$B,2,)</f>
        <v>2954.89</v>
      </c>
      <c r="W630" s="6">
        <f>VLOOKUP(A630,[3]日经225指数历史数据!$A:$B,2,)</f>
        <v>28478.560000000001</v>
      </c>
      <c r="X630" s="3">
        <v>2003.52</v>
      </c>
      <c r="Y630" s="6">
        <f>VLOOKUP(A630,[4]上证指数历史数据!$A:$B,2,)</f>
        <v>3579.54</v>
      </c>
      <c r="Z630" s="6">
        <f>VLOOKUP(A630,[5]深证成份指数历史数据!$A:$B,2,)</f>
        <v>14343.65</v>
      </c>
      <c r="AA630" s="6">
        <f>VLOOKUP(A630,[6]台湾加权指数历史数据!$A:$B,2,)</f>
        <v>18169.759999999998</v>
      </c>
      <c r="AB630" s="3">
        <v>23493.38</v>
      </c>
      <c r="AC630" s="3">
        <v>3205.26</v>
      </c>
      <c r="AD630">
        <v>17812.7</v>
      </c>
      <c r="AE630" s="5">
        <f>VLOOKUP(A630,[7]越南VN30指数历史数据!$A:$B,2,)</f>
        <v>1532.24</v>
      </c>
      <c r="AF630">
        <v>67251.03</v>
      </c>
      <c r="AG630" s="9">
        <v>14398.35</v>
      </c>
      <c r="AH630">
        <v>13477.25</v>
      </c>
      <c r="AI630">
        <v>1727.06</v>
      </c>
      <c r="AJ630">
        <v>1912.39</v>
      </c>
    </row>
    <row r="631" spans="1:36" x14ac:dyDescent="0.3">
      <c r="A631" s="2">
        <v>44570</v>
      </c>
      <c r="B631" s="3">
        <v>85481.07</v>
      </c>
      <c r="C631" s="4">
        <v>106928</v>
      </c>
      <c r="D631" s="3">
        <v>7393.9</v>
      </c>
      <c r="E631" s="3">
        <v>35911.81</v>
      </c>
      <c r="F631" s="3">
        <v>21357.56</v>
      </c>
      <c r="G631" s="3">
        <v>2162.46</v>
      </c>
      <c r="H631" s="3">
        <v>4662.8500000000004</v>
      </c>
      <c r="I631" s="3">
        <v>14893.75</v>
      </c>
      <c r="J631" s="3">
        <v>53744.92</v>
      </c>
      <c r="K631" s="3">
        <v>22458.23</v>
      </c>
      <c r="L631" s="3">
        <v>2383.16</v>
      </c>
      <c r="M631" s="3">
        <v>15883.24</v>
      </c>
      <c r="N631" s="6">
        <f>VLOOKUP(A631,'[1]俄罗斯交易系统市值加权指数历史数据 (1)'!$A:$B,2,)</f>
        <v>1485.86</v>
      </c>
      <c r="O631" s="3">
        <v>7143</v>
      </c>
      <c r="P631" s="1">
        <v>783.53</v>
      </c>
      <c r="Q631" s="3">
        <v>12525.63</v>
      </c>
      <c r="R631" s="3">
        <v>2072.9299999999998</v>
      </c>
      <c r="S631" s="3">
        <v>8806.6</v>
      </c>
      <c r="T631" s="3">
        <v>7542.95</v>
      </c>
      <c r="U631" s="3">
        <v>4272.1899999999996</v>
      </c>
      <c r="V631" s="6">
        <f>VLOOKUP(A631,[2]韩国KOSPI指数历史数据!$A:$B,2,)</f>
        <v>2921.92</v>
      </c>
      <c r="W631" s="6">
        <f>VLOOKUP(A631,[3]日经225指数历史数据!$A:$B,2,)</f>
        <v>28124.28</v>
      </c>
      <c r="X631" s="3">
        <v>2071.1</v>
      </c>
      <c r="Y631" s="6">
        <f>VLOOKUP(A631,[4]上证指数历史数据!$A:$B,2,)</f>
        <v>3521.26</v>
      </c>
      <c r="Z631" s="6">
        <f>VLOOKUP(A631,[5]深证成份指数历史数据!$A:$B,2,)</f>
        <v>14150.57</v>
      </c>
      <c r="AA631" s="6">
        <f>VLOOKUP(A631,[6]台湾加权指数历史数据!$A:$B,2,)</f>
        <v>18403.330000000002</v>
      </c>
      <c r="AB631" s="3">
        <v>24383.32</v>
      </c>
      <c r="AC631" s="3">
        <v>3281.97</v>
      </c>
      <c r="AD631">
        <v>18255.75</v>
      </c>
      <c r="AE631" s="5">
        <f>VLOOKUP(A631,[7]越南VN30指数历史数据!$A:$B,2,)</f>
        <v>1523.57</v>
      </c>
      <c r="AF631">
        <v>68448.149999999994</v>
      </c>
      <c r="AG631" s="9">
        <v>14258.6</v>
      </c>
      <c r="AH631">
        <v>13784.31</v>
      </c>
      <c r="AI631">
        <v>1735.17</v>
      </c>
      <c r="AJ631">
        <v>1886.49</v>
      </c>
    </row>
    <row r="632" spans="1:36" x14ac:dyDescent="0.3">
      <c r="A632" s="2">
        <v>44577</v>
      </c>
      <c r="B632" s="3">
        <v>83622.48</v>
      </c>
      <c r="C632" s="4">
        <v>108942</v>
      </c>
      <c r="D632" s="3">
        <v>7175.8</v>
      </c>
      <c r="E632" s="3">
        <v>34265.370000000003</v>
      </c>
      <c r="F632" s="3">
        <v>20621.39</v>
      </c>
      <c r="G632" s="3">
        <v>1987.92</v>
      </c>
      <c r="H632" s="3">
        <v>4397.93</v>
      </c>
      <c r="I632" s="3">
        <v>13768.92</v>
      </c>
      <c r="J632" s="3">
        <v>51599.38</v>
      </c>
      <c r="K632" s="3">
        <v>23167.78</v>
      </c>
      <c r="L632" s="3">
        <v>2273.81</v>
      </c>
      <c r="M632" s="3">
        <v>15603.88</v>
      </c>
      <c r="N632" s="6">
        <f>VLOOKUP(A632,'[1]俄罗斯交易系统市值加权指数历史数据 (1)'!$A:$B,2,)</f>
        <v>1401.88</v>
      </c>
      <c r="O632" s="3">
        <v>7068.59</v>
      </c>
      <c r="P632" s="1">
        <v>763.7</v>
      </c>
      <c r="Q632" s="3">
        <v>12355.54</v>
      </c>
      <c r="R632" s="3">
        <v>2011.16</v>
      </c>
      <c r="S632" s="3">
        <v>8694.7000000000007</v>
      </c>
      <c r="T632" s="3">
        <v>7494.13</v>
      </c>
      <c r="U632" s="3">
        <v>4229.5600000000004</v>
      </c>
      <c r="V632" s="6">
        <f>VLOOKUP(A632,[2]韩国KOSPI指数历史数据!$A:$B,2,)</f>
        <v>2834.29</v>
      </c>
      <c r="W632" s="6">
        <f>VLOOKUP(A632,[3]日经225指数历史数据!$A:$B,2,)</f>
        <v>27522.26</v>
      </c>
      <c r="X632" s="3">
        <v>2019.39</v>
      </c>
      <c r="Y632" s="6">
        <f>VLOOKUP(A632,[4]上证指数历史数据!$A:$B,2,)</f>
        <v>3522.57</v>
      </c>
      <c r="Z632" s="6">
        <f>VLOOKUP(A632,[5]深证成份指数历史数据!$A:$B,2,)</f>
        <v>14029.55</v>
      </c>
      <c r="AA632" s="6">
        <f>VLOOKUP(A632,[6]台湾加权指数历史数据!$A:$B,2,)</f>
        <v>17899.3</v>
      </c>
      <c r="AB632" s="3">
        <v>24965.55</v>
      </c>
      <c r="AC632" s="3">
        <v>3294.86</v>
      </c>
      <c r="AD632">
        <v>17617.150000000001</v>
      </c>
      <c r="AE632" s="5">
        <f>VLOOKUP(A632,[7]越南VN30指数历史数据!$A:$B,2,)</f>
        <v>1502.16</v>
      </c>
      <c r="AF632">
        <v>68186.16</v>
      </c>
      <c r="AG632" s="9">
        <v>13919.86</v>
      </c>
      <c r="AH632">
        <v>13783.81</v>
      </c>
      <c r="AI632">
        <v>1772.92</v>
      </c>
      <c r="AJ632">
        <v>1899.33</v>
      </c>
    </row>
    <row r="633" spans="1:36" x14ac:dyDescent="0.3">
      <c r="A633" s="2">
        <v>44584</v>
      </c>
      <c r="B633" s="3">
        <v>88269.83</v>
      </c>
      <c r="C633" s="4">
        <v>111910</v>
      </c>
      <c r="D633" s="3">
        <v>6988.1</v>
      </c>
      <c r="E633" s="3">
        <v>34725.47</v>
      </c>
      <c r="F633" s="3">
        <v>20741.75</v>
      </c>
      <c r="G633" s="3">
        <v>1968.51</v>
      </c>
      <c r="H633" s="3">
        <v>4431.8500000000004</v>
      </c>
      <c r="I633" s="3">
        <v>13770.57</v>
      </c>
      <c r="J633" s="3">
        <v>50661.86</v>
      </c>
      <c r="K633" s="3">
        <v>22652.07</v>
      </c>
      <c r="L633" s="3">
        <v>2183.6999999999998</v>
      </c>
      <c r="M633" s="3">
        <v>15318.95</v>
      </c>
      <c r="N633" s="6">
        <f>VLOOKUP(A633,'[1]俄罗斯交易系统市值加权指数历史数据 (1)'!$A:$B,2,)</f>
        <v>1407.04</v>
      </c>
      <c r="O633" s="3">
        <v>6965.88</v>
      </c>
      <c r="P633" s="1">
        <v>744.26</v>
      </c>
      <c r="Q633" s="3">
        <v>12104.44</v>
      </c>
      <c r="R633" s="3">
        <v>1983.18</v>
      </c>
      <c r="S633" s="3">
        <v>8609.7999999999993</v>
      </c>
      <c r="T633" s="3">
        <v>7466.07</v>
      </c>
      <c r="U633" s="3">
        <v>4136.91</v>
      </c>
      <c r="V633" s="6">
        <f>VLOOKUP(A633,[2]韩国KOSPI指数历史数据!$A:$B,2,)</f>
        <v>2663.34</v>
      </c>
      <c r="W633" s="6">
        <f>VLOOKUP(A633,[3]日经225指数历史数据!$A:$B,2,)</f>
        <v>26717.34</v>
      </c>
      <c r="X633" s="3">
        <v>1917.22</v>
      </c>
      <c r="Y633" s="6">
        <f>VLOOKUP(A633,[4]上证指数历史数据!$A:$B,2,)</f>
        <v>3361.44</v>
      </c>
      <c r="Z633" s="6">
        <f>VLOOKUP(A633,[5]深证成份指数历史数据!$A:$B,2,)</f>
        <v>13328.06</v>
      </c>
      <c r="AA633" s="6">
        <f>VLOOKUP(A633,[6]台湾加权指数历史数据!$A:$B,2,)</f>
        <v>17674.400000000001</v>
      </c>
      <c r="AB633" s="3">
        <v>23550.080000000002</v>
      </c>
      <c r="AC633" s="3">
        <v>3246.33</v>
      </c>
      <c r="AD633">
        <v>17101.95</v>
      </c>
      <c r="AE633" s="5">
        <f>VLOOKUP(A633,[7]越南VN30指数历史数据!$A:$B,2,)</f>
        <v>1532.24</v>
      </c>
      <c r="AF633">
        <v>67021.38</v>
      </c>
      <c r="AG633" s="9">
        <v>13604.46</v>
      </c>
      <c r="AH633">
        <v>13793.21</v>
      </c>
      <c r="AI633">
        <v>1752.92</v>
      </c>
      <c r="AJ633">
        <v>1922.69</v>
      </c>
    </row>
    <row r="634" spans="1:36" x14ac:dyDescent="0.3">
      <c r="A634" s="2">
        <v>44591</v>
      </c>
      <c r="B634" s="3">
        <v>87934.02</v>
      </c>
      <c r="C634" s="4">
        <v>112245</v>
      </c>
      <c r="D634" s="3">
        <v>7120.2</v>
      </c>
      <c r="E634" s="3">
        <v>35089.74</v>
      </c>
      <c r="F634" s="3">
        <v>21271.85</v>
      </c>
      <c r="G634" s="3">
        <v>2002.36</v>
      </c>
      <c r="H634" s="3">
        <v>4500.54</v>
      </c>
      <c r="I634" s="3">
        <v>14098.01</v>
      </c>
      <c r="J634" s="3">
        <v>51255.31</v>
      </c>
      <c r="K634" s="3">
        <v>22234.59</v>
      </c>
      <c r="L634" s="3">
        <v>2174.5700000000002</v>
      </c>
      <c r="M634" s="3">
        <v>15099.56</v>
      </c>
      <c r="N634" s="6">
        <f>VLOOKUP(A634,'[1]俄罗斯交易系统市值加权指数历史数据 (1)'!$A:$B,2,)</f>
        <v>1436</v>
      </c>
      <c r="O634" s="3">
        <v>6951.38</v>
      </c>
      <c r="P634" s="1">
        <v>747.17</v>
      </c>
      <c r="Q634" s="3">
        <v>12140.25</v>
      </c>
      <c r="R634" s="3">
        <v>1943.81</v>
      </c>
      <c r="S634" s="3">
        <v>8589.2999999999993</v>
      </c>
      <c r="T634" s="3">
        <v>7516.4</v>
      </c>
      <c r="U634" s="3">
        <v>4086.58</v>
      </c>
      <c r="V634" s="6">
        <f>VLOOKUP(A634,[2]韩国KOSPI指数历史数据!$A:$B,2,)</f>
        <v>2750.26</v>
      </c>
      <c r="W634" s="6">
        <f>VLOOKUP(A634,[3]日经225指数历史数据!$A:$B,2,)</f>
        <v>27439.99</v>
      </c>
      <c r="X634" s="3">
        <v>1930.53</v>
      </c>
      <c r="Y634" s="6" t="e">
        <f>VLOOKUP(A634,[4]上证指数历史数据!$A:$B,2,)</f>
        <v>#N/A</v>
      </c>
      <c r="Z634" s="6">
        <f>VLOOKUP(A634,[5]深证成份指数历史数据!$A:$B,2,)</f>
        <v>13328.06</v>
      </c>
      <c r="AA634" s="6" t="e">
        <f>VLOOKUP(A634,[6]台湾加权指数历史数据!$A:$B,2,)</f>
        <v>#N/A</v>
      </c>
      <c r="AB634" s="3">
        <v>24573.29</v>
      </c>
      <c r="AC634" s="3">
        <v>3331.41</v>
      </c>
      <c r="AD634">
        <v>17516.3</v>
      </c>
      <c r="AE634" s="5">
        <f>VLOOKUP(A634,[7]越南VN30指数历史数据!$A:$B,2,)</f>
        <v>1532.24</v>
      </c>
      <c r="AF634">
        <v>68678.91</v>
      </c>
      <c r="AG634" s="9">
        <v>13853.78</v>
      </c>
      <c r="AH634">
        <v>13949.34</v>
      </c>
      <c r="AI634">
        <v>1804.19</v>
      </c>
      <c r="AJ634">
        <v>1935.29</v>
      </c>
    </row>
    <row r="635" spans="1:36" x14ac:dyDescent="0.3">
      <c r="A635" s="2">
        <v>44598</v>
      </c>
      <c r="B635" s="3">
        <v>88184.99</v>
      </c>
      <c r="C635" s="4">
        <v>113572</v>
      </c>
      <c r="D635" s="3">
        <v>7217.3</v>
      </c>
      <c r="E635" s="3">
        <v>34738.06</v>
      </c>
      <c r="F635" s="3">
        <v>21548.84</v>
      </c>
      <c r="G635" s="3">
        <v>2030.15</v>
      </c>
      <c r="H635" s="3">
        <v>4418.6400000000003</v>
      </c>
      <c r="I635" s="3">
        <v>13791.15</v>
      </c>
      <c r="J635" s="3">
        <v>53229.26</v>
      </c>
      <c r="K635" s="3">
        <v>23410.23</v>
      </c>
      <c r="L635" s="3">
        <v>2203.13</v>
      </c>
      <c r="M635" s="3">
        <v>15425.12</v>
      </c>
      <c r="N635" s="6">
        <f>VLOOKUP(A635,'[1]俄罗斯交易系统市值加权指数历史数据 (1)'!$A:$B,2,)</f>
        <v>1470.1</v>
      </c>
      <c r="O635" s="3">
        <v>7011.6</v>
      </c>
      <c r="P635" s="1">
        <v>761.5</v>
      </c>
      <c r="Q635" s="3">
        <v>12231.97</v>
      </c>
      <c r="R635" s="3">
        <v>2051.0500000000002</v>
      </c>
      <c r="S635" s="3">
        <v>8798.1</v>
      </c>
      <c r="T635" s="3">
        <v>7661.02</v>
      </c>
      <c r="U635" s="3">
        <v>4155.2299999999996</v>
      </c>
      <c r="V635" s="6">
        <f>VLOOKUP(A635,[2]韩国KOSPI指数历史数据!$A:$B,2,)</f>
        <v>2747.71</v>
      </c>
      <c r="W635" s="6">
        <f>VLOOKUP(A635,[3]日经225指数历史数据!$A:$B,2,)</f>
        <v>27696.080000000002</v>
      </c>
      <c r="X635" s="3">
        <v>1986.66</v>
      </c>
      <c r="Y635" s="6">
        <f>VLOOKUP(A635,[4]上证指数历史数据!$A:$B,2,)</f>
        <v>3462.95</v>
      </c>
      <c r="Z635" s="6">
        <f>VLOOKUP(A635,[5]深证成份指数历史数据!$A:$B,2,)</f>
        <v>13224.38</v>
      </c>
      <c r="AA635" s="6">
        <f>VLOOKUP(A635,[6]台湾加权指数历史数据!$A:$B,2,)</f>
        <v>18310.939999999999</v>
      </c>
      <c r="AB635" s="3">
        <v>24906.66</v>
      </c>
      <c r="AC635" s="3">
        <v>3428.95</v>
      </c>
      <c r="AD635">
        <v>17374.75</v>
      </c>
      <c r="AE635" s="5">
        <f>VLOOKUP(A635,[7]越南VN30指数历史数据!$A:$B,2,)</f>
        <v>1545.92</v>
      </c>
      <c r="AF635">
        <v>69681.320000000007</v>
      </c>
      <c r="AG635" s="9">
        <v>13816.44</v>
      </c>
      <c r="AH635">
        <v>13950.06</v>
      </c>
      <c r="AI635">
        <v>1805.4</v>
      </c>
      <c r="AJ635">
        <v>1933.46</v>
      </c>
    </row>
    <row r="636" spans="1:36" x14ac:dyDescent="0.3">
      <c r="A636" s="2">
        <v>44605</v>
      </c>
      <c r="B636" s="3">
        <v>89443.19</v>
      </c>
      <c r="C636" s="4">
        <v>112880</v>
      </c>
      <c r="D636" s="3">
        <v>7221.7</v>
      </c>
      <c r="E636" s="3">
        <v>34079.18</v>
      </c>
      <c r="F636" s="3">
        <v>21008.2</v>
      </c>
      <c r="G636" s="3">
        <v>2009.33</v>
      </c>
      <c r="H636" s="3">
        <v>4348.87</v>
      </c>
      <c r="I636" s="3">
        <v>13548.07</v>
      </c>
      <c r="J636" s="3">
        <v>52281.53</v>
      </c>
      <c r="K636" s="3">
        <v>22827.4</v>
      </c>
      <c r="L636" s="3">
        <v>2143.2800000000002</v>
      </c>
      <c r="M636" s="3">
        <v>15042.51</v>
      </c>
      <c r="N636" s="6">
        <f>VLOOKUP(A636,'[1]俄罗斯交易系统市值加权指数历史数据 (1)'!$A:$B,2,)</f>
        <v>1391.31</v>
      </c>
      <c r="O636" s="3">
        <v>6929.63</v>
      </c>
      <c r="P636" s="1">
        <v>744.89</v>
      </c>
      <c r="Q636" s="3">
        <v>12010.09</v>
      </c>
      <c r="R636" s="3">
        <v>2032.44</v>
      </c>
      <c r="S636" s="3">
        <v>8590</v>
      </c>
      <c r="T636" s="3">
        <v>7513.62</v>
      </c>
      <c r="U636" s="3">
        <v>4074.28</v>
      </c>
      <c r="V636" s="6">
        <f>VLOOKUP(A636,[2]韩国KOSPI指数历史数据!$A:$B,2,)</f>
        <v>2744.52</v>
      </c>
      <c r="W636" s="6">
        <f>VLOOKUP(A636,[3]日经225指数历史数据!$A:$B,2,)</f>
        <v>27122.07</v>
      </c>
      <c r="X636" s="3">
        <v>1979.84</v>
      </c>
      <c r="Y636" s="6">
        <f>VLOOKUP(A636,[4]上证指数历史数据!$A:$B,2,)</f>
        <v>3490.76</v>
      </c>
      <c r="Z636" s="6">
        <f>VLOOKUP(A636,[5]深证成份指数历史数据!$A:$B,2,)</f>
        <v>13459.68</v>
      </c>
      <c r="AA636" s="6">
        <f>VLOOKUP(A636,[6]台湾加权指数历史数据!$A:$B,2,)</f>
        <v>18232.349999999999</v>
      </c>
      <c r="AB636" s="3">
        <v>24327.71</v>
      </c>
      <c r="AC636" s="3">
        <v>3428.9</v>
      </c>
      <c r="AD636">
        <v>17276.3</v>
      </c>
      <c r="AE636" s="5">
        <f>VLOOKUP(A636,[7]越南VN30指数历史数据!$A:$B,2,)</f>
        <v>1531.47</v>
      </c>
      <c r="AF636">
        <v>69650.100000000006</v>
      </c>
      <c r="AG636" s="9">
        <v>13744.26</v>
      </c>
      <c r="AH636">
        <v>13716.73</v>
      </c>
      <c r="AI636">
        <v>1806.29</v>
      </c>
      <c r="AJ636">
        <v>1961.09</v>
      </c>
    </row>
    <row r="637" spans="1:36" x14ac:dyDescent="0.3">
      <c r="A637" s="2">
        <v>44612</v>
      </c>
      <c r="B637" s="3">
        <v>87969.87</v>
      </c>
      <c r="C637" s="4">
        <v>113142</v>
      </c>
      <c r="D637" s="3">
        <v>6997.8</v>
      </c>
      <c r="E637" s="3">
        <v>34058.75</v>
      </c>
      <c r="F637" s="3">
        <v>21106</v>
      </c>
      <c r="G637" s="3">
        <v>2040.93</v>
      </c>
      <c r="H637" s="3">
        <v>4384.62</v>
      </c>
      <c r="I637" s="3">
        <v>13694.62</v>
      </c>
      <c r="J637" s="3">
        <v>52555.6</v>
      </c>
      <c r="K637" s="3">
        <v>22467.13</v>
      </c>
      <c r="L637" s="3">
        <v>1970.78</v>
      </c>
      <c r="M637" s="3">
        <v>14567.23</v>
      </c>
      <c r="N637" s="6">
        <f>VLOOKUP(A637,'[1]俄罗斯交易系统市值加权指数历史数据 (1)'!$A:$B,2,)</f>
        <v>936.94</v>
      </c>
      <c r="O637" s="3">
        <v>6752.43</v>
      </c>
      <c r="P637" s="1">
        <v>727.85</v>
      </c>
      <c r="Q637" s="3">
        <v>11987.31</v>
      </c>
      <c r="R637" s="3">
        <v>1952.4</v>
      </c>
      <c r="S637" s="3">
        <v>8486.6</v>
      </c>
      <c r="T637" s="3">
        <v>7489.46</v>
      </c>
      <c r="U637" s="3">
        <v>3970.69</v>
      </c>
      <c r="V637" s="6">
        <f>VLOOKUP(A637,[2]韩国KOSPI指数历史数据!$A:$B,2,)</f>
        <v>2676.76</v>
      </c>
      <c r="W637" s="6">
        <f>VLOOKUP(A637,[3]日经225指数历史数据!$A:$B,2,)</f>
        <v>26476.5</v>
      </c>
      <c r="X637" s="3">
        <v>1927.41</v>
      </c>
      <c r="Y637" s="6">
        <f>VLOOKUP(A637,[4]上证指数历史数据!$A:$B,2,)</f>
        <v>3451.41</v>
      </c>
      <c r="Z637" s="6">
        <f>VLOOKUP(A637,[5]深证成份指数历史数据!$A:$B,2,)</f>
        <v>13412.92</v>
      </c>
      <c r="AA637" s="6">
        <f>VLOOKUP(A637,[6]台湾加权指数历史数据!$A:$B,2,)</f>
        <v>17652.18</v>
      </c>
      <c r="AB637" s="3">
        <v>22767.18</v>
      </c>
      <c r="AC637" s="3">
        <v>3294.47</v>
      </c>
      <c r="AD637">
        <v>16658.400000000001</v>
      </c>
      <c r="AE637" s="5">
        <f>VLOOKUP(A637,[7]越南VN30指数历史数据!$A:$B,2,)</f>
        <v>1526.5</v>
      </c>
      <c r="AF637">
        <v>67719.42</v>
      </c>
      <c r="AG637" s="9">
        <v>13082.07</v>
      </c>
      <c r="AH637">
        <v>13175.3</v>
      </c>
      <c r="AI637">
        <v>1817.12</v>
      </c>
      <c r="AJ637">
        <v>1949.22</v>
      </c>
    </row>
    <row r="638" spans="1:36" x14ac:dyDescent="0.3">
      <c r="A638" s="2">
        <v>44619</v>
      </c>
      <c r="B638" s="3">
        <v>89515.44</v>
      </c>
      <c r="C638" s="4">
        <v>114474</v>
      </c>
      <c r="D638" s="3">
        <v>7110.8</v>
      </c>
      <c r="E638" s="3">
        <v>33614.800000000003</v>
      </c>
      <c r="F638" s="3">
        <v>21402.43</v>
      </c>
      <c r="G638" s="3">
        <v>2000.9</v>
      </c>
      <c r="H638" s="3">
        <v>4328.87</v>
      </c>
      <c r="I638" s="3">
        <v>13313.44</v>
      </c>
      <c r="J638" s="3">
        <v>53322.05</v>
      </c>
      <c r="K638" s="3">
        <v>23577.94</v>
      </c>
      <c r="L638" s="3">
        <v>1918.75</v>
      </c>
      <c r="M638" s="3">
        <v>13094.54</v>
      </c>
      <c r="N638" s="6" t="e">
        <f>VLOOKUP(A638,'[1]俄罗斯交易系统市值加权指数历史数据 (1)'!$A:$B,2,)</f>
        <v>#N/A</v>
      </c>
      <c r="O638" s="3">
        <v>6061.66</v>
      </c>
      <c r="P638" s="1">
        <v>671.73</v>
      </c>
      <c r="Q638" s="3">
        <v>11300.13</v>
      </c>
      <c r="R638" s="3">
        <v>1990.75</v>
      </c>
      <c r="S638" s="3">
        <v>7720.9</v>
      </c>
      <c r="T638" s="3">
        <v>6987.14</v>
      </c>
      <c r="U638" s="3">
        <v>3556.01</v>
      </c>
      <c r="V638" s="6">
        <f>VLOOKUP(A638,[2]韩国KOSPI指数历史数据!$A:$B,2,)</f>
        <v>2713.43</v>
      </c>
      <c r="W638" s="6">
        <f>VLOOKUP(A638,[3]日经225指数历史数据!$A:$B,2,)</f>
        <v>25985.47</v>
      </c>
      <c r="X638" s="3">
        <v>1943.51</v>
      </c>
      <c r="Y638" s="6">
        <f>VLOOKUP(A638,[4]上证指数历史数据!$A:$B,2,)</f>
        <v>3447.65</v>
      </c>
      <c r="Z638" s="6">
        <f>VLOOKUP(A638,[5]深证成份指数历史数据!$A:$B,2,)</f>
        <v>13020.46</v>
      </c>
      <c r="AA638" s="6">
        <f>VLOOKUP(A638,[6]台湾加权指数历史数据!$A:$B,2,)</f>
        <v>17736.52</v>
      </c>
      <c r="AB638" s="3">
        <v>21905.29</v>
      </c>
      <c r="AC638" s="3">
        <v>3226.78</v>
      </c>
      <c r="AD638">
        <v>16245.35</v>
      </c>
      <c r="AE638" s="5">
        <f>VLOOKUP(A638,[7]越南VN30指数历史数据!$A:$B,2,)</f>
        <v>1525.34</v>
      </c>
      <c r="AF638">
        <v>68357.850000000006</v>
      </c>
      <c r="AG638" s="9">
        <v>13698.07</v>
      </c>
      <c r="AH638">
        <v>12785.57</v>
      </c>
      <c r="AI638">
        <v>1810.4</v>
      </c>
      <c r="AJ638">
        <v>1947.28</v>
      </c>
    </row>
    <row r="639" spans="1:36" x14ac:dyDescent="0.3">
      <c r="A639" s="2">
        <v>44626</v>
      </c>
      <c r="B639" s="3">
        <v>88999.06</v>
      </c>
      <c r="C639" s="4">
        <v>111713</v>
      </c>
      <c r="D639" s="3">
        <v>7063.6</v>
      </c>
      <c r="E639" s="3">
        <v>32944.19</v>
      </c>
      <c r="F639" s="3">
        <v>21461.83</v>
      </c>
      <c r="G639" s="3">
        <v>1979.67</v>
      </c>
      <c r="H639" s="3">
        <v>4204.3100000000004</v>
      </c>
      <c r="I639" s="3">
        <v>12843.81</v>
      </c>
      <c r="J639" s="3">
        <v>53300.7</v>
      </c>
      <c r="K639" s="3">
        <v>23583.45</v>
      </c>
      <c r="L639" s="3">
        <v>2033.49</v>
      </c>
      <c r="M639" s="3">
        <v>13628.11</v>
      </c>
      <c r="N639" s="6" t="e">
        <f>VLOOKUP(A639,'[1]俄罗斯交易系统市值加权指数历史数据 (1)'!$A:$B,2,)</f>
        <v>#N/A</v>
      </c>
      <c r="O639" s="3">
        <v>6260.25</v>
      </c>
      <c r="P639" s="1">
        <v>674.8</v>
      </c>
      <c r="Q639" s="3">
        <v>11495.69</v>
      </c>
      <c r="R639" s="3">
        <v>2053.85</v>
      </c>
      <c r="S639" s="3">
        <v>8142.1</v>
      </c>
      <c r="T639" s="3">
        <v>7155.64</v>
      </c>
      <c r="U639" s="3">
        <v>3686.78</v>
      </c>
      <c r="V639" s="6">
        <f>VLOOKUP(A639,[2]韩国KOSPI指数历史数据!$A:$B,2,)</f>
        <v>2661.28</v>
      </c>
      <c r="W639" s="6">
        <f>VLOOKUP(A639,[3]日经225指数历史数据!$A:$B,2,)</f>
        <v>25162.78</v>
      </c>
      <c r="X639" s="3">
        <v>1930.4</v>
      </c>
      <c r="Y639" s="6">
        <f>VLOOKUP(A639,[4]上证指数历史数据!$A:$B,2,)</f>
        <v>3309.75</v>
      </c>
      <c r="Z639" s="6">
        <f>VLOOKUP(A639,[5]深证成份指数历史数据!$A:$B,2,)</f>
        <v>12447.37</v>
      </c>
      <c r="AA639" s="6">
        <f>VLOOKUP(A639,[6]台湾加权指数历史数据!$A:$B,2,)</f>
        <v>17264.740000000002</v>
      </c>
      <c r="AB639" s="3">
        <v>20553.79</v>
      </c>
      <c r="AC639" s="3">
        <v>3249.66</v>
      </c>
      <c r="AD639">
        <v>16630.45</v>
      </c>
      <c r="AE639" s="5">
        <f>VLOOKUP(A639,[7]越南VN30指数历史数据!$A:$B,2,)</f>
        <v>1477.14</v>
      </c>
      <c r="AF639">
        <v>67331.100000000006</v>
      </c>
      <c r="AG639" s="9">
        <v>12932.83</v>
      </c>
      <c r="AH639">
        <v>12623.94</v>
      </c>
      <c r="AI639">
        <v>1820.23</v>
      </c>
      <c r="AJ639">
        <v>1940.91</v>
      </c>
    </row>
    <row r="640" spans="1:36" x14ac:dyDescent="0.3">
      <c r="A640" s="2">
        <v>44633</v>
      </c>
      <c r="B640" s="3">
        <v>89057.57</v>
      </c>
      <c r="C640" s="4">
        <v>115311</v>
      </c>
      <c r="D640" s="3">
        <v>7294.4</v>
      </c>
      <c r="E640" s="3">
        <v>34754.93</v>
      </c>
      <c r="F640" s="3">
        <v>21818.47</v>
      </c>
      <c r="G640" s="3">
        <v>2086.14</v>
      </c>
      <c r="H640" s="3">
        <v>4463.09</v>
      </c>
      <c r="I640" s="3">
        <v>13893.84</v>
      </c>
      <c r="J640" s="3">
        <v>55467.06</v>
      </c>
      <c r="K640" s="3">
        <v>24595.11</v>
      </c>
      <c r="L640" s="3">
        <v>2099.2600000000002</v>
      </c>
      <c r="M640" s="3">
        <v>14413.09</v>
      </c>
      <c r="N640" s="6" t="e">
        <f>VLOOKUP(A640,'[1]俄罗斯交易系统市值加权指数历史数据 (1)'!$A:$B,2,)</f>
        <v>#N/A</v>
      </c>
      <c r="O640" s="3">
        <v>6620.24</v>
      </c>
      <c r="P640" s="1">
        <v>716.36</v>
      </c>
      <c r="Q640" s="3">
        <v>12184.99</v>
      </c>
      <c r="R640" s="3">
        <v>2144.2600000000002</v>
      </c>
      <c r="S640" s="3">
        <v>8417.6</v>
      </c>
      <c r="T640" s="3">
        <v>7404.73</v>
      </c>
      <c r="U640" s="3">
        <v>3902.44</v>
      </c>
      <c r="V640" s="6">
        <f>VLOOKUP(A640,[2]韩国KOSPI指数历史数据!$A:$B,2,)</f>
        <v>2707.02</v>
      </c>
      <c r="W640" s="6">
        <f>VLOOKUP(A640,[3]日经225指数历史数据!$A:$B,2,)</f>
        <v>26827.43</v>
      </c>
      <c r="X640" s="3">
        <v>1961.07</v>
      </c>
      <c r="Y640" s="6">
        <f>VLOOKUP(A640,[4]上证指数历史数据!$A:$B,2,)</f>
        <v>3251.07</v>
      </c>
      <c r="Z640" s="6">
        <f>VLOOKUP(A640,[5]深证成份指数历史数据!$A:$B,2,)</f>
        <v>12328.65</v>
      </c>
      <c r="AA640" s="6">
        <f>VLOOKUP(A640,[6]台湾加权指数历史数据!$A:$B,2,)</f>
        <v>17456.52</v>
      </c>
      <c r="AB640" s="3">
        <v>21412.400000000001</v>
      </c>
      <c r="AC640" s="3">
        <v>3330.63</v>
      </c>
      <c r="AD640">
        <v>17287.05</v>
      </c>
      <c r="AE640" s="5">
        <f>VLOOKUP(A640,[7]越南VN30指数历史数据!$A:$B,2,)</f>
        <v>1476.94</v>
      </c>
      <c r="AF640">
        <v>68275.27</v>
      </c>
      <c r="AG640" s="9">
        <v>13167.08</v>
      </c>
      <c r="AH640">
        <v>12877.8</v>
      </c>
      <c r="AI640">
        <v>1816.79</v>
      </c>
      <c r="AJ640">
        <v>1934.67</v>
      </c>
    </row>
    <row r="641" spans="1:36" x14ac:dyDescent="0.3">
      <c r="A641" s="2">
        <v>44640</v>
      </c>
      <c r="B641" s="3">
        <v>93010.43</v>
      </c>
      <c r="C641" s="4">
        <v>119081</v>
      </c>
      <c r="D641" s="3">
        <v>7406.2</v>
      </c>
      <c r="E641" s="3">
        <v>34861.24</v>
      </c>
      <c r="F641" s="3">
        <v>22005.94</v>
      </c>
      <c r="G641" s="3">
        <v>2077.98</v>
      </c>
      <c r="H641" s="3">
        <v>4543.04</v>
      </c>
      <c r="I641" s="3">
        <v>14169.3</v>
      </c>
      <c r="J641" s="3">
        <v>55436.05</v>
      </c>
      <c r="K641" s="3">
        <v>25248.34</v>
      </c>
      <c r="L641" s="3">
        <v>2115.58</v>
      </c>
      <c r="M641" s="3">
        <v>14305.76</v>
      </c>
      <c r="N641" s="6">
        <f>VLOOKUP(A641,'[1]俄罗斯交易系统市值加权指数历史数据 (1)'!$A:$B,2,)</f>
        <v>829.62</v>
      </c>
      <c r="O641" s="3">
        <v>6553.68</v>
      </c>
      <c r="P641" s="1">
        <v>723.9</v>
      </c>
      <c r="Q641" s="3">
        <v>12121.67</v>
      </c>
      <c r="R641" s="3">
        <v>2175.5100000000002</v>
      </c>
      <c r="S641" s="3">
        <v>8330.6</v>
      </c>
      <c r="T641" s="3">
        <v>7483.35</v>
      </c>
      <c r="U641" s="3">
        <v>3867.73</v>
      </c>
      <c r="V641" s="6">
        <f>VLOOKUP(A641,[2]韩国KOSPI指数历史数据!$A:$B,2,)</f>
        <v>2729.98</v>
      </c>
      <c r="W641" s="6">
        <f>VLOOKUP(A641,[3]日经225指数历史数据!$A:$B,2,)</f>
        <v>28149.84</v>
      </c>
      <c r="X641" s="3">
        <v>2036.49</v>
      </c>
      <c r="Y641" s="6">
        <f>VLOOKUP(A641,[4]上证指数历史数据!$A:$B,2,)</f>
        <v>3212.24</v>
      </c>
      <c r="Z641" s="6">
        <f>VLOOKUP(A641,[5]深证成份指数历史数据!$A:$B,2,)</f>
        <v>12072.73</v>
      </c>
      <c r="AA641" s="6">
        <f>VLOOKUP(A641,[6]台湾加权指数历史数据!$A:$B,2,)</f>
        <v>17676.95</v>
      </c>
      <c r="AB641" s="3">
        <v>21404.880000000001</v>
      </c>
      <c r="AC641" s="3">
        <v>3413.69</v>
      </c>
      <c r="AD641">
        <v>17153</v>
      </c>
      <c r="AE641" s="5">
        <f>VLOOKUP(A641,[7]越南VN30指数历史数据!$A:$B,2,)</f>
        <v>1498.36</v>
      </c>
      <c r="AF641">
        <v>67578.28</v>
      </c>
      <c r="AG641" s="9">
        <v>14198.45</v>
      </c>
      <c r="AH641">
        <v>12602.92</v>
      </c>
      <c r="AI641">
        <v>1797.64</v>
      </c>
      <c r="AJ641">
        <v>1930.82</v>
      </c>
    </row>
    <row r="642" spans="1:36" x14ac:dyDescent="0.3">
      <c r="A642" s="2">
        <v>44647</v>
      </c>
      <c r="B642" s="3">
        <v>92390.98</v>
      </c>
      <c r="C642" s="4">
        <v>121570</v>
      </c>
      <c r="D642" s="3">
        <v>7493.8</v>
      </c>
      <c r="E642" s="3">
        <v>34818.269999999997</v>
      </c>
      <c r="F642" s="3">
        <v>21952.95</v>
      </c>
      <c r="G642" s="3">
        <v>2091.11</v>
      </c>
      <c r="H642" s="3">
        <v>4545.8599999999997</v>
      </c>
      <c r="I642" s="3">
        <v>14261.5</v>
      </c>
      <c r="J642" s="3">
        <v>56609.54</v>
      </c>
      <c r="K642" s="3">
        <v>25417.79</v>
      </c>
      <c r="L642" s="3">
        <v>2164.81</v>
      </c>
      <c r="M642" s="3">
        <v>14446.48</v>
      </c>
      <c r="N642" s="6">
        <f>VLOOKUP(A642,'[1]俄罗斯交易系统市值加权指数历史数据 (1)'!$A:$B,2,)</f>
        <v>1033.58</v>
      </c>
      <c r="O642" s="3">
        <v>6684.31</v>
      </c>
      <c r="P642" s="1">
        <v>728</v>
      </c>
      <c r="Q642" s="3">
        <v>12179.08</v>
      </c>
      <c r="R642" s="3">
        <v>2251.6799999999998</v>
      </c>
      <c r="S642" s="3">
        <v>8503.7000000000007</v>
      </c>
      <c r="T642" s="3">
        <v>7537.9</v>
      </c>
      <c r="U642" s="3">
        <v>3918.68</v>
      </c>
      <c r="V642" s="6">
        <f>VLOOKUP(A642,[2]韩国KOSPI指数历史数据!$A:$B,2,)</f>
        <v>2739.85</v>
      </c>
      <c r="W642" s="6">
        <f>VLOOKUP(A642,[3]日经225指数历史数据!$A:$B,2,)</f>
        <v>27665.98</v>
      </c>
      <c r="X642" s="3">
        <v>2021.28</v>
      </c>
      <c r="Y642" s="6">
        <f>VLOOKUP(A642,[4]上证指数历史数据!$A:$B,2,)</f>
        <v>3282.72</v>
      </c>
      <c r="Z642" s="6">
        <f>VLOOKUP(A642,[5]深证成份指数历史数据!$A:$B,2,)</f>
        <v>12227.93</v>
      </c>
      <c r="AA642" s="6">
        <f>VLOOKUP(A642,[6]台湾加权指数历史数据!$A:$B,2,)</f>
        <v>17625.59</v>
      </c>
      <c r="AB642" s="3">
        <v>22039.55</v>
      </c>
      <c r="AC642" s="3">
        <v>3419.11</v>
      </c>
      <c r="AD642">
        <v>17670.45</v>
      </c>
      <c r="AE642" s="5">
        <f>VLOOKUP(A642,[7]越南VN30指数历史数据!$A:$B,2,)</f>
        <v>1542.47</v>
      </c>
      <c r="AF642">
        <v>68934.929999999993</v>
      </c>
      <c r="AG642" s="9">
        <v>13711.12</v>
      </c>
      <c r="AH642">
        <v>12843.52</v>
      </c>
      <c r="AI642">
        <v>1784.11</v>
      </c>
      <c r="AJ642">
        <v>1947.85</v>
      </c>
    </row>
    <row r="643" spans="1:36" x14ac:dyDescent="0.3">
      <c r="A643" s="2">
        <v>44654</v>
      </c>
      <c r="B643" s="3">
        <v>92091.47</v>
      </c>
      <c r="C643" s="4">
        <v>118322</v>
      </c>
      <c r="D643" s="3">
        <v>7478</v>
      </c>
      <c r="E643" s="3">
        <v>34721.120000000003</v>
      </c>
      <c r="F643" s="3">
        <v>21874.35</v>
      </c>
      <c r="G643" s="3">
        <v>1994.56</v>
      </c>
      <c r="H643" s="3">
        <v>4488.28</v>
      </c>
      <c r="I643" s="3">
        <v>13711</v>
      </c>
      <c r="J643" s="3">
        <v>54687.25</v>
      </c>
      <c r="K643" s="3">
        <v>25465.41</v>
      </c>
      <c r="L643" s="3">
        <v>2085.0700000000002</v>
      </c>
      <c r="M643" s="3">
        <v>14283.67</v>
      </c>
      <c r="N643" s="6">
        <f>VLOOKUP(A643,'[1]俄罗斯交易系统市值加权指数历史数据 (1)'!$A:$B,2,)</f>
        <v>1079.99</v>
      </c>
      <c r="O643" s="3">
        <v>6548.22</v>
      </c>
      <c r="P643" s="1">
        <v>724.75</v>
      </c>
      <c r="Q643" s="3">
        <v>12507.69</v>
      </c>
      <c r="R643" s="3">
        <v>2393.39</v>
      </c>
      <c r="S643" s="3">
        <v>8606.4</v>
      </c>
      <c r="T643" s="3">
        <v>7669.56</v>
      </c>
      <c r="U643" s="3">
        <v>3858.37</v>
      </c>
      <c r="V643" s="6">
        <f>VLOOKUP(A643,[2]韩国KOSPI指数历史数据!$A:$B,2,)</f>
        <v>2700.39</v>
      </c>
      <c r="W643" s="6">
        <f>VLOOKUP(A643,[3]日经225指数历史数据!$A:$B,2,)</f>
        <v>26985.8</v>
      </c>
      <c r="X643" s="3">
        <v>2034.51</v>
      </c>
      <c r="Y643" s="6">
        <f>VLOOKUP(A643,[4]上证指数历史数据!$A:$B,2,)</f>
        <v>3251.85</v>
      </c>
      <c r="Z643" s="6">
        <f>VLOOKUP(A643,[5]深证成份指数历史数据!$A:$B,2,)</f>
        <v>11959.27</v>
      </c>
      <c r="AA643" s="6">
        <f>VLOOKUP(A643,[6]台湾加权指数历史数据!$A:$B,2,)</f>
        <v>17284.54</v>
      </c>
      <c r="AB643" s="3">
        <v>21872.01</v>
      </c>
      <c r="AC643" s="3">
        <v>3383.28</v>
      </c>
      <c r="AD643">
        <v>17784.349999999999</v>
      </c>
      <c r="AE643" s="5">
        <f>VLOOKUP(A643,[7]越南VN30指数历史数据!$A:$B,2,)</f>
        <v>1524.31</v>
      </c>
      <c r="AF643">
        <v>67747.070000000007</v>
      </c>
      <c r="AG643" s="9">
        <v>13588.21</v>
      </c>
      <c r="AH643">
        <v>12946.49</v>
      </c>
      <c r="AI643">
        <v>1776.45</v>
      </c>
      <c r="AJ643">
        <v>1933.32</v>
      </c>
    </row>
    <row r="644" spans="1:36" x14ac:dyDescent="0.3">
      <c r="A644" s="2">
        <v>44661</v>
      </c>
      <c r="B644" s="3">
        <v>91041.37</v>
      </c>
      <c r="C644" s="4">
        <v>116182</v>
      </c>
      <c r="D644" s="3">
        <v>7523.4</v>
      </c>
      <c r="E644" s="3">
        <v>34451.230000000003</v>
      </c>
      <c r="F644" s="3">
        <v>21855.7</v>
      </c>
      <c r="G644" s="3">
        <v>2004.98</v>
      </c>
      <c r="H644" s="3">
        <v>4392.59</v>
      </c>
      <c r="I644" s="3">
        <v>13351.08</v>
      </c>
      <c r="J644" s="3">
        <v>54172.62</v>
      </c>
      <c r="K644" s="3">
        <v>25160.93</v>
      </c>
      <c r="L644" s="3">
        <v>2093.17</v>
      </c>
      <c r="M644" s="3">
        <v>14163.85</v>
      </c>
      <c r="N644" s="6">
        <f>VLOOKUP(A644,'[1]俄罗斯交易系统市值加权指数历史数据 (1)'!$A:$B,2,)</f>
        <v>955.46</v>
      </c>
      <c r="O644" s="3">
        <v>6589.35</v>
      </c>
      <c r="P644" s="1">
        <v>719.7</v>
      </c>
      <c r="Q644" s="3">
        <v>12475.08</v>
      </c>
      <c r="R644" s="3">
        <v>2494.37</v>
      </c>
      <c r="S644" s="3">
        <v>8699</v>
      </c>
      <c r="T644" s="3">
        <v>7616.38</v>
      </c>
      <c r="U644" s="3">
        <v>3848.68</v>
      </c>
      <c r="V644" s="6">
        <f>VLOOKUP(A644,[2]韩国KOSPI指数历史数据!$A:$B,2,)</f>
        <v>2696.06</v>
      </c>
      <c r="W644" s="6">
        <f>VLOOKUP(A644,[3]日经225指数历史数据!$A:$B,2,)</f>
        <v>27093.19</v>
      </c>
      <c r="X644" s="3">
        <v>2039.69</v>
      </c>
      <c r="Y644" s="6">
        <f>VLOOKUP(A644,[4]上证指数历史数据!$A:$B,2,)</f>
        <v>3211.24</v>
      </c>
      <c r="Z644" s="6">
        <f>VLOOKUP(A644,[5]深证成份指数历史数据!$A:$B,2,)</f>
        <v>11648.57</v>
      </c>
      <c r="AA644" s="6">
        <f>VLOOKUP(A644,[6]台湾加权指数历史数据!$A:$B,2,)</f>
        <v>17004.18</v>
      </c>
      <c r="AB644" s="3">
        <v>21518.080000000002</v>
      </c>
      <c r="AC644" s="3">
        <v>3335.85</v>
      </c>
      <c r="AD644">
        <v>17475.650000000001</v>
      </c>
      <c r="AE644" s="5">
        <f>VLOOKUP(A644,[7]越南VN30指数历史数据!$A:$B,2,)</f>
        <v>1493.74</v>
      </c>
      <c r="AF644">
        <v>66481.94</v>
      </c>
      <c r="AG644" s="9">
        <v>13037.55</v>
      </c>
      <c r="AH644">
        <v>12999.31</v>
      </c>
      <c r="AI644">
        <v>1822.59</v>
      </c>
      <c r="AJ644">
        <v>1924.29</v>
      </c>
    </row>
    <row r="645" spans="1:36" x14ac:dyDescent="0.3">
      <c r="A645" s="2">
        <v>44668</v>
      </c>
      <c r="B645" s="3">
        <v>91717.07</v>
      </c>
      <c r="C645" s="4">
        <v>111078</v>
      </c>
      <c r="D645" s="3">
        <v>7473.3</v>
      </c>
      <c r="E645" s="3">
        <v>33811.4</v>
      </c>
      <c r="F645" s="3">
        <v>21186.38</v>
      </c>
      <c r="G645" s="3">
        <v>1940.66</v>
      </c>
      <c r="H645" s="3">
        <v>4271.78</v>
      </c>
      <c r="I645" s="3">
        <v>12839.29</v>
      </c>
      <c r="J645" s="3">
        <v>53191.78</v>
      </c>
      <c r="K645" s="3">
        <v>24868.880000000001</v>
      </c>
      <c r="L645" s="3">
        <v>1973.31</v>
      </c>
      <c r="M645" s="3">
        <v>14142.09</v>
      </c>
      <c r="N645" s="6">
        <f>VLOOKUP(A645,'[1]俄罗斯交易系统市值加权指数历史数据 (1)'!$A:$B,2,)</f>
        <v>928.3</v>
      </c>
      <c r="O645" s="3">
        <v>6581.42</v>
      </c>
      <c r="P645" s="1">
        <v>717.26</v>
      </c>
      <c r="Q645" s="3">
        <v>12258.33</v>
      </c>
      <c r="R645" s="3">
        <v>2472.5</v>
      </c>
      <c r="S645" s="3">
        <v>8652.2999999999993</v>
      </c>
      <c r="T645" s="3">
        <v>7521.68</v>
      </c>
      <c r="U645" s="3">
        <v>3840.01</v>
      </c>
      <c r="V645" s="6">
        <f>VLOOKUP(A645,[2]韩国KOSPI指数历史数据!$A:$B,2,)</f>
        <v>2704.71</v>
      </c>
      <c r="W645" s="6">
        <f>VLOOKUP(A645,[3]日经225指数历史数据!$A:$B,2,)</f>
        <v>27105.26</v>
      </c>
      <c r="X645" s="3">
        <v>2055.66</v>
      </c>
      <c r="Y645" s="6">
        <f>VLOOKUP(A645,[4]上证指数历史数据!$A:$B,2,)</f>
        <v>3086.92</v>
      </c>
      <c r="Z645" s="6">
        <f>VLOOKUP(A645,[5]深证成份指数历史数据!$A:$B,2,)</f>
        <v>11051.7</v>
      </c>
      <c r="AA645" s="6">
        <f>VLOOKUP(A645,[6]台湾加权指数历史数据!$A:$B,2,)</f>
        <v>17025.09</v>
      </c>
      <c r="AB645" s="3">
        <v>20638.52</v>
      </c>
      <c r="AC645" s="3">
        <v>3361.11</v>
      </c>
      <c r="AD645">
        <v>17171.95</v>
      </c>
      <c r="AE645" s="5">
        <f>VLOOKUP(A645,[7]越南VN30指数历史数据!$A:$B,2,)</f>
        <v>1444.32</v>
      </c>
      <c r="AF645">
        <v>65385.48</v>
      </c>
      <c r="AG645" s="9">
        <v>12992.61</v>
      </c>
      <c r="AH645">
        <v>13169.67</v>
      </c>
      <c r="AI645">
        <v>1847.2</v>
      </c>
      <c r="AJ645">
        <v>1913.51</v>
      </c>
    </row>
    <row r="646" spans="1:36" x14ac:dyDescent="0.3">
      <c r="A646" s="2">
        <v>44675</v>
      </c>
      <c r="B646" s="3">
        <v>88250.97</v>
      </c>
      <c r="C646" s="4">
        <v>107876</v>
      </c>
      <c r="D646" s="3">
        <v>7435</v>
      </c>
      <c r="E646" s="3">
        <v>32977.21</v>
      </c>
      <c r="F646" s="3">
        <v>20762</v>
      </c>
      <c r="G646" s="3">
        <v>1864.1</v>
      </c>
      <c r="H646" s="3">
        <v>4131.93</v>
      </c>
      <c r="I646" s="3">
        <v>12334.64</v>
      </c>
      <c r="J646" s="3">
        <v>51417.97</v>
      </c>
      <c r="K646" s="3">
        <v>24399.63</v>
      </c>
      <c r="L646" s="3">
        <v>1858.12</v>
      </c>
      <c r="M646" s="3">
        <v>14097.88</v>
      </c>
      <c r="N646" s="6">
        <f>VLOOKUP(A646,'[1]俄罗斯交易系统市值加权指数历史数据 (1)'!$A:$B,2,)</f>
        <v>1081.52</v>
      </c>
      <c r="O646" s="3">
        <v>6533.77</v>
      </c>
      <c r="P646" s="1">
        <v>710.98</v>
      </c>
      <c r="Q646" s="3">
        <v>12128.76</v>
      </c>
      <c r="R646" s="3">
        <v>2430.5500000000002</v>
      </c>
      <c r="S646" s="3">
        <v>8584.2000000000007</v>
      </c>
      <c r="T646" s="3">
        <v>7544.55</v>
      </c>
      <c r="U646" s="3">
        <v>3802.86</v>
      </c>
      <c r="V646" s="6">
        <f>VLOOKUP(A646,[2]韩国KOSPI指数历史数据!$A:$B,2,)</f>
        <v>2695.05</v>
      </c>
      <c r="W646" s="6">
        <f>VLOOKUP(A646,[3]日经225指数历史数据!$A:$B,2,)</f>
        <v>26847.9</v>
      </c>
      <c r="X646" s="3">
        <v>2016.87</v>
      </c>
      <c r="Y646" s="6">
        <f>VLOOKUP(A646,[4]上证指数历史数据!$A:$B,2,)</f>
        <v>3047.06</v>
      </c>
      <c r="Z646" s="6">
        <f>VLOOKUP(A646,[5]深证成份指数历史数据!$A:$B,2,)</f>
        <v>11021.44</v>
      </c>
      <c r="AA646" s="6">
        <f>VLOOKUP(A646,[6]台湾加权指数历史数据!$A:$B,2,)</f>
        <v>16592.18</v>
      </c>
      <c r="AB646" s="3">
        <v>21089.39</v>
      </c>
      <c r="AC646" s="3">
        <v>3356.9</v>
      </c>
      <c r="AD646">
        <v>17102.55</v>
      </c>
      <c r="AE646" s="5">
        <f>VLOOKUP(A646,[7]越南VN30指数历史数据!$A:$B,2,)</f>
        <v>1417.31</v>
      </c>
      <c r="AF646">
        <v>65475.55</v>
      </c>
      <c r="AG646" s="9">
        <v>13533.68</v>
      </c>
      <c r="AH646">
        <v>13136.65</v>
      </c>
      <c r="AI646">
        <v>1886.26</v>
      </c>
      <c r="AJ646">
        <v>1865.98</v>
      </c>
    </row>
    <row r="647" spans="1:36" x14ac:dyDescent="0.3">
      <c r="A647" s="2">
        <v>44682</v>
      </c>
      <c r="B647" s="3">
        <v>86507.22</v>
      </c>
      <c r="C647" s="4">
        <v>105135</v>
      </c>
      <c r="D647" s="3">
        <v>7205.6</v>
      </c>
      <c r="E647" s="3">
        <v>32899.370000000003</v>
      </c>
      <c r="F647" s="3">
        <v>20633.28</v>
      </c>
      <c r="G647" s="3">
        <v>1839.56</v>
      </c>
      <c r="H647" s="3">
        <v>4123.34</v>
      </c>
      <c r="I647" s="3">
        <v>12144.66</v>
      </c>
      <c r="J647" s="3">
        <v>49541.81</v>
      </c>
      <c r="K647" s="3">
        <v>24883.89</v>
      </c>
      <c r="L647" s="3">
        <v>1765.14</v>
      </c>
      <c r="M647" s="3">
        <v>13674.29</v>
      </c>
      <c r="N647" s="6">
        <f>VLOOKUP(A647,'[1]俄罗斯交易系统市值加权指数历史数据 (1)'!$A:$B,2,)</f>
        <v>1088.02</v>
      </c>
      <c r="O647" s="3">
        <v>6258.36</v>
      </c>
      <c r="P647" s="1">
        <v>682.19</v>
      </c>
      <c r="Q647" s="3">
        <v>11730.42</v>
      </c>
      <c r="R647" s="3">
        <v>2458.7199999999998</v>
      </c>
      <c r="S647" s="3">
        <v>8322</v>
      </c>
      <c r="T647" s="3">
        <v>7387.94</v>
      </c>
      <c r="U647" s="3">
        <v>3629.17</v>
      </c>
      <c r="V647" s="6">
        <f>VLOOKUP(A647,[2]韩国KOSPI指数历史数据!$A:$B,2,)</f>
        <v>2644.51</v>
      </c>
      <c r="W647" s="6">
        <f>VLOOKUP(A647,[3]日经225指数历史数据!$A:$B,2,)</f>
        <v>27003.56</v>
      </c>
      <c r="X647" s="3">
        <v>1936.56</v>
      </c>
      <c r="Y647" s="6">
        <f>VLOOKUP(A647,[4]上证指数历史数据!$A:$B,2,)</f>
        <v>3001.56</v>
      </c>
      <c r="Z647" s="6">
        <f>VLOOKUP(A647,[5]深证成份指数历史数据!$A:$B,2,)</f>
        <v>10809.88</v>
      </c>
      <c r="AA647" s="6">
        <f>VLOOKUP(A647,[6]台湾加权指数历史数据!$A:$B,2,)</f>
        <v>16408.2</v>
      </c>
      <c r="AB647" s="3">
        <v>20001.96</v>
      </c>
      <c r="AC647" s="3">
        <v>3291.89</v>
      </c>
      <c r="AD647">
        <v>16411.25</v>
      </c>
      <c r="AE647" s="5">
        <f>VLOOKUP(A647,[7]越南VN30指数历史数据!$A:$B,2,)</f>
        <v>1373.21</v>
      </c>
      <c r="AF647">
        <v>61290.1</v>
      </c>
      <c r="AG647" s="9">
        <v>13533.68</v>
      </c>
      <c r="AH647">
        <v>13051.01</v>
      </c>
      <c r="AI647">
        <v>1949.17</v>
      </c>
      <c r="AJ647">
        <v>1850.44</v>
      </c>
    </row>
    <row r="648" spans="1:36" x14ac:dyDescent="0.3">
      <c r="A648" s="2">
        <v>44689</v>
      </c>
      <c r="B648" s="3">
        <v>88795.76</v>
      </c>
      <c r="C648" s="4">
        <v>106924</v>
      </c>
      <c r="D648" s="3">
        <v>7075.1</v>
      </c>
      <c r="E648" s="3">
        <v>32195.94</v>
      </c>
      <c r="F648" s="3">
        <v>20099.810000000001</v>
      </c>
      <c r="G648" s="3">
        <v>1792.67</v>
      </c>
      <c r="H648" s="3">
        <v>4023.89</v>
      </c>
      <c r="I648" s="3">
        <v>11805</v>
      </c>
      <c r="J648" s="3">
        <v>49579.9</v>
      </c>
      <c r="K648" s="3">
        <v>25174.76</v>
      </c>
      <c r="L648" s="3">
        <v>1765.63</v>
      </c>
      <c r="M648" s="3">
        <v>14027.93</v>
      </c>
      <c r="N648" s="6">
        <f>VLOOKUP(A648,'[1]俄罗斯交易系统市值加权指数历史数据 (1)'!$A:$B,2,)</f>
        <v>1132.23</v>
      </c>
      <c r="O648" s="3">
        <v>6362.68</v>
      </c>
      <c r="P648" s="1">
        <v>694.13</v>
      </c>
      <c r="Q648" s="3">
        <v>11650.42</v>
      </c>
      <c r="R648" s="3">
        <v>2419.23</v>
      </c>
      <c r="S648" s="3">
        <v>8338.1</v>
      </c>
      <c r="T648" s="3">
        <v>7418.15</v>
      </c>
      <c r="U648" s="3">
        <v>3703.42</v>
      </c>
      <c r="V648" s="6">
        <f>VLOOKUP(A648,[2]韩国KOSPI指数历史数据!$A:$B,2,)</f>
        <v>2604.2399999999998</v>
      </c>
      <c r="W648" s="6">
        <f>VLOOKUP(A648,[3]日经225指数历史数据!$A:$B,2,)</f>
        <v>26427.65</v>
      </c>
      <c r="X648" s="3">
        <v>1874.25</v>
      </c>
      <c r="Y648" s="6">
        <f>VLOOKUP(A648,[4]上证指数历史数据!$A:$B,2,)</f>
        <v>3084.28</v>
      </c>
      <c r="Z648" s="6">
        <f>VLOOKUP(A648,[5]深证成份指数历史数据!$A:$B,2,)</f>
        <v>11159.79</v>
      </c>
      <c r="AA648" s="6">
        <f>VLOOKUP(A648,[6]台湾加权指数历史数据!$A:$B,2,)</f>
        <v>15832.54</v>
      </c>
      <c r="AB648" s="3">
        <v>19898.77</v>
      </c>
      <c r="AC648" s="3">
        <v>3191.16</v>
      </c>
      <c r="AD648">
        <v>15782.15</v>
      </c>
      <c r="AE648" s="5">
        <f>VLOOKUP(A648,[7]越南VN30指数历史数据!$A:$B,2,)</f>
        <v>1223.76</v>
      </c>
      <c r="AF648">
        <v>61991.97</v>
      </c>
      <c r="AG648" s="9">
        <v>13182.57</v>
      </c>
      <c r="AH648">
        <v>12682.21</v>
      </c>
      <c r="AI648">
        <v>2060.6999999999998</v>
      </c>
      <c r="AJ648">
        <v>1866.7</v>
      </c>
    </row>
    <row r="649" spans="1:36" x14ac:dyDescent="0.3">
      <c r="A649" s="2">
        <v>44696</v>
      </c>
      <c r="B649" s="3">
        <v>88118.96</v>
      </c>
      <c r="C649" s="4">
        <v>108488</v>
      </c>
      <c r="D649" s="3">
        <v>7145.6</v>
      </c>
      <c r="E649" s="3">
        <v>31260.58</v>
      </c>
      <c r="F649" s="3">
        <v>20197.61</v>
      </c>
      <c r="G649" s="3">
        <v>1773.27</v>
      </c>
      <c r="H649" s="3">
        <v>3901.36</v>
      </c>
      <c r="I649" s="3">
        <v>11354.62</v>
      </c>
      <c r="J649" s="3">
        <v>51518.3</v>
      </c>
      <c r="K649" s="3">
        <v>26181.040000000001</v>
      </c>
      <c r="L649" s="3">
        <v>1782.66</v>
      </c>
      <c r="M649" s="3">
        <v>13981.91</v>
      </c>
      <c r="N649" s="6">
        <f>VLOOKUP(A649,'[1]俄罗斯交易系统市值加权指数历史数据 (1)'!$A:$B,2,)</f>
        <v>1239.83</v>
      </c>
      <c r="O649" s="3">
        <v>6285.24</v>
      </c>
      <c r="P649" s="1">
        <v>682.96</v>
      </c>
      <c r="Q649" s="3">
        <v>11308.98</v>
      </c>
      <c r="R649" s="3">
        <v>2372.35</v>
      </c>
      <c r="S649" s="3">
        <v>8484.5</v>
      </c>
      <c r="T649" s="3">
        <v>7389.98</v>
      </c>
      <c r="U649" s="3">
        <v>3657.03</v>
      </c>
      <c r="V649" s="6">
        <f>VLOOKUP(A649,[2]韩国KOSPI指数历史数据!$A:$B,2,)</f>
        <v>2639.29</v>
      </c>
      <c r="W649" s="6">
        <f>VLOOKUP(A649,[3]日经225指数历史数据!$A:$B,2,)</f>
        <v>26739.03</v>
      </c>
      <c r="X649" s="3">
        <v>1875.88</v>
      </c>
      <c r="Y649" s="6">
        <f>VLOOKUP(A649,[4]上证指数历史数据!$A:$B,2,)</f>
        <v>3146.57</v>
      </c>
      <c r="Z649" s="6">
        <f>VLOOKUP(A649,[5]深证成份指数历史数据!$A:$B,2,)</f>
        <v>11454.53</v>
      </c>
      <c r="AA649" s="6">
        <f>VLOOKUP(A649,[6]台湾加权指数历史数据!$A:$B,2,)</f>
        <v>16144.85</v>
      </c>
      <c r="AB649" s="3">
        <v>20717.240000000002</v>
      </c>
      <c r="AC649" s="3">
        <v>3240.58</v>
      </c>
      <c r="AD649">
        <v>16266.15</v>
      </c>
      <c r="AE649" s="5">
        <f>VLOOKUP(A649,[7]越南VN30指数历史数据!$A:$B,2,)</f>
        <v>1282.51</v>
      </c>
      <c r="AF649">
        <v>60999.46</v>
      </c>
      <c r="AG649" s="9">
        <v>12980.89</v>
      </c>
      <c r="AH649">
        <v>12626.59</v>
      </c>
      <c r="AI649">
        <v>2030.37</v>
      </c>
      <c r="AJ649">
        <v>1874.58</v>
      </c>
    </row>
    <row r="650" spans="1:36" x14ac:dyDescent="0.3">
      <c r="A650" s="2">
        <v>44703</v>
      </c>
      <c r="B650" s="3">
        <v>93683.29</v>
      </c>
      <c r="C650" s="4">
        <v>111942</v>
      </c>
      <c r="D650" s="3">
        <v>7182.7</v>
      </c>
      <c r="E650" s="3">
        <v>33213.550000000003</v>
      </c>
      <c r="F650" s="3">
        <v>20748.580000000002</v>
      </c>
      <c r="G650" s="3">
        <v>1887.9</v>
      </c>
      <c r="H650" s="3">
        <v>4158.24</v>
      </c>
      <c r="I650" s="3">
        <v>12131.13</v>
      </c>
      <c r="J650" s="3">
        <v>52463.55</v>
      </c>
      <c r="K650" s="3">
        <v>28595.47</v>
      </c>
      <c r="L650" s="3">
        <v>1810.68</v>
      </c>
      <c r="M650" s="3">
        <v>14462.19</v>
      </c>
      <c r="N650" s="6">
        <f>VLOOKUP(A650,'[1]俄罗斯交易系统市值加权指数历史数据 (1)'!$A:$B,2,)</f>
        <v>1133.94</v>
      </c>
      <c r="O650" s="3">
        <v>6515.75</v>
      </c>
      <c r="P650" s="1">
        <v>702.28</v>
      </c>
      <c r="Q650" s="3">
        <v>11647.17</v>
      </c>
      <c r="R650" s="3">
        <v>2438.84</v>
      </c>
      <c r="S650" s="3">
        <v>8933.6</v>
      </c>
      <c r="T650" s="3">
        <v>7585.46</v>
      </c>
      <c r="U650" s="3">
        <v>3808.86</v>
      </c>
      <c r="V650" s="6">
        <f>VLOOKUP(A650,[2]韩国KOSPI指数历史数据!$A:$B,2,)</f>
        <v>2638.05</v>
      </c>
      <c r="W650" s="6">
        <f>VLOOKUP(A650,[3]日经225指数历史数据!$A:$B,2,)</f>
        <v>26781.68</v>
      </c>
      <c r="X650" s="3">
        <v>1880.28</v>
      </c>
      <c r="Y650" s="6">
        <f>VLOOKUP(A650,[4]上证指数历史数据!$A:$B,2,)</f>
        <v>3130.24</v>
      </c>
      <c r="Z650" s="6">
        <f>VLOOKUP(A650,[5]深证成份指数历史数据!$A:$B,2,)</f>
        <v>11193.59</v>
      </c>
      <c r="AA650" s="6">
        <f>VLOOKUP(A650,[6]台湾加权指数历史数据!$A:$B,2,)</f>
        <v>16266.22</v>
      </c>
      <c r="AB650" s="3">
        <v>20697.36</v>
      </c>
      <c r="AC650" s="3">
        <v>3230.55</v>
      </c>
      <c r="AD650">
        <v>16352.45</v>
      </c>
      <c r="AE650" s="5">
        <f>VLOOKUP(A650,[7]越南VN30指数历史数据!$A:$B,2,)</f>
        <v>1335.68</v>
      </c>
      <c r="AF650">
        <v>63882.81</v>
      </c>
      <c r="AG650" s="9">
        <v>12474.71</v>
      </c>
      <c r="AH650">
        <v>12334.93</v>
      </c>
      <c r="AI650">
        <v>1984</v>
      </c>
      <c r="AJ650">
        <v>1898.37</v>
      </c>
    </row>
    <row r="651" spans="1:36" x14ac:dyDescent="0.3">
      <c r="A651" s="2">
        <v>44710</v>
      </c>
      <c r="B651" s="3">
        <v>91775.17</v>
      </c>
      <c r="C651" s="4">
        <v>111102</v>
      </c>
      <c r="D651" s="3">
        <v>7238.8</v>
      </c>
      <c r="E651" s="3">
        <v>32898.910000000003</v>
      </c>
      <c r="F651" s="3">
        <v>20790.73</v>
      </c>
      <c r="G651" s="3">
        <v>1883.05</v>
      </c>
      <c r="H651" s="3">
        <v>4108.54</v>
      </c>
      <c r="I651" s="3">
        <v>12012.73</v>
      </c>
      <c r="J651" s="3">
        <v>50689.05</v>
      </c>
      <c r="K651" s="3">
        <v>28124.94</v>
      </c>
      <c r="L651" s="3">
        <v>1819.99</v>
      </c>
      <c r="M651" s="3">
        <v>14460.09</v>
      </c>
      <c r="N651" s="6">
        <f>VLOOKUP(A651,'[1]俄罗斯交易系统市值加权指数历史数据 (1)'!$A:$B,2,)</f>
        <v>1199.55</v>
      </c>
      <c r="O651" s="3">
        <v>6485.3</v>
      </c>
      <c r="P651" s="1">
        <v>700.69</v>
      </c>
      <c r="Q651" s="3">
        <v>11529.16</v>
      </c>
      <c r="R651" s="3">
        <v>2601.25</v>
      </c>
      <c r="S651" s="3">
        <v>8724.7999999999993</v>
      </c>
      <c r="T651" s="3">
        <v>7532.95</v>
      </c>
      <c r="U651" s="3">
        <v>3783.66</v>
      </c>
      <c r="V651" s="6">
        <f>VLOOKUP(A651,[2]韩国KOSPI指数历史数据!$A:$B,2,)</f>
        <v>2670.65</v>
      </c>
      <c r="W651" s="6">
        <f>VLOOKUP(A651,[3]日经225指数历史数据!$A:$B,2,)</f>
        <v>27761.57</v>
      </c>
      <c r="X651" s="3">
        <v>1902.51</v>
      </c>
      <c r="Y651" s="6">
        <f>VLOOKUP(A651,[4]上证指数历史数据!$A:$B,2,)</f>
        <v>3195.46</v>
      </c>
      <c r="Z651" s="6">
        <f>VLOOKUP(A651,[5]深证成份指数历史数据!$A:$B,2,)</f>
        <v>11628.31</v>
      </c>
      <c r="AA651" s="6">
        <f>VLOOKUP(A651,[6]台湾加权指数历史数据!$A:$B,2,)</f>
        <v>16552.57</v>
      </c>
      <c r="AB651" s="3">
        <v>21082.13</v>
      </c>
      <c r="AC651" s="3">
        <v>3231.97</v>
      </c>
      <c r="AD651">
        <v>16584.3</v>
      </c>
      <c r="AE651" s="5">
        <f>VLOOKUP(A651,[7]越南VN30指数历史数据!$A:$B,2,)</f>
        <v>1327.4</v>
      </c>
      <c r="AF651">
        <v>64318.95</v>
      </c>
      <c r="AG651" s="9">
        <v>12308.05</v>
      </c>
      <c r="AH651">
        <v>12609.89</v>
      </c>
      <c r="AI651">
        <v>1922.43</v>
      </c>
      <c r="AJ651">
        <v>1890.84</v>
      </c>
    </row>
    <row r="652" spans="1:36" x14ac:dyDescent="0.3">
      <c r="A652" s="2">
        <v>44717</v>
      </c>
      <c r="B652" s="3">
        <v>89141.39</v>
      </c>
      <c r="C652" s="4">
        <v>105481</v>
      </c>
      <c r="D652" s="3">
        <v>6932</v>
      </c>
      <c r="E652" s="3">
        <v>31392.36</v>
      </c>
      <c r="F652" s="3">
        <v>20274.82</v>
      </c>
      <c r="G652" s="3">
        <v>1800.28</v>
      </c>
      <c r="H652" s="3">
        <v>3900.86</v>
      </c>
      <c r="I652" s="3">
        <v>11340.02</v>
      </c>
      <c r="J652" s="3">
        <v>48471.519999999997</v>
      </c>
      <c r="K652" s="3">
        <v>27547.95</v>
      </c>
      <c r="L652" s="3">
        <v>1725.18</v>
      </c>
      <c r="M652" s="3">
        <v>13761.83</v>
      </c>
      <c r="N652" s="6">
        <f>VLOOKUP(A652,'[1]俄罗斯交易系统市值加权指数历史数据 (1)'!$A:$B,2,)</f>
        <v>1268.83</v>
      </c>
      <c r="O652" s="3">
        <v>6187.23</v>
      </c>
      <c r="P652" s="1">
        <v>681.97</v>
      </c>
      <c r="Q652" s="3">
        <v>11084.62</v>
      </c>
      <c r="R652" s="3">
        <v>2543.1</v>
      </c>
      <c r="S652" s="3">
        <v>8390.6</v>
      </c>
      <c r="T652" s="3">
        <v>7317.52</v>
      </c>
      <c r="U652" s="3">
        <v>3599.2</v>
      </c>
      <c r="V652" s="6">
        <f>VLOOKUP(A652,[2]韩国KOSPI指数历史数据!$A:$B,2,)</f>
        <v>2595.87</v>
      </c>
      <c r="W652" s="6">
        <f>VLOOKUP(A652,[3]日经225指数历史数据!$A:$B,2,)</f>
        <v>27824.29</v>
      </c>
      <c r="X652" s="3">
        <v>1886.88</v>
      </c>
      <c r="Y652" s="6">
        <f>VLOOKUP(A652,[4]上证指数历史数据!$A:$B,2,)</f>
        <v>3284.83</v>
      </c>
      <c r="Z652" s="6">
        <f>VLOOKUP(A652,[5]深证成份指数历史数据!$A:$B,2,)</f>
        <v>12035.15</v>
      </c>
      <c r="AA652" s="6">
        <f>VLOOKUP(A652,[6]台湾加权指数历史数据!$A:$B,2,)</f>
        <v>16460.12</v>
      </c>
      <c r="AB652" s="3">
        <v>21806.18</v>
      </c>
      <c r="AC652" s="3">
        <v>3181.73</v>
      </c>
      <c r="AD652">
        <v>16201.8</v>
      </c>
      <c r="AE652" s="5">
        <f>VLOOKUP(A652,[7]越南VN30指数历史数据!$A:$B,2,)</f>
        <v>1325.69</v>
      </c>
      <c r="AF652">
        <v>61348.19</v>
      </c>
      <c r="AG652" s="9">
        <v>12606.8</v>
      </c>
      <c r="AH652">
        <v>12564.76</v>
      </c>
      <c r="AI652">
        <v>1938.49</v>
      </c>
      <c r="AJ652">
        <v>1869.53</v>
      </c>
    </row>
    <row r="653" spans="1:36" x14ac:dyDescent="0.3">
      <c r="A653" s="2">
        <v>44724</v>
      </c>
      <c r="B653" s="3">
        <v>87060.9</v>
      </c>
      <c r="C653" s="4">
        <v>99825</v>
      </c>
      <c r="D653" s="3">
        <v>6474.8</v>
      </c>
      <c r="E653" s="3">
        <v>29885.08</v>
      </c>
      <c r="F653" s="3">
        <v>18930.48</v>
      </c>
      <c r="G653" s="3">
        <v>1665.69</v>
      </c>
      <c r="H653" s="3">
        <v>3674.84</v>
      </c>
      <c r="I653" s="3">
        <v>10798.35</v>
      </c>
      <c r="J653" s="3">
        <v>48016.23</v>
      </c>
      <c r="K653" s="3">
        <v>26588.97</v>
      </c>
      <c r="L653" s="3">
        <v>1676.67</v>
      </c>
      <c r="M653" s="3">
        <v>13126.26</v>
      </c>
      <c r="N653" s="6">
        <f>VLOOKUP(A653,'[1]俄罗斯交易系统市值加权指数历史数据 (1)'!$A:$B,2,)</f>
        <v>1315.43</v>
      </c>
      <c r="O653" s="3">
        <v>5882.65</v>
      </c>
      <c r="P653" s="1">
        <v>635.75</v>
      </c>
      <c r="Q653" s="3">
        <v>10451.31</v>
      </c>
      <c r="R653" s="3">
        <v>2533.33</v>
      </c>
      <c r="S653" s="3">
        <v>8145.9</v>
      </c>
      <c r="T653" s="3">
        <v>7016.25</v>
      </c>
      <c r="U653" s="3">
        <v>3438.46</v>
      </c>
      <c r="V653" s="6">
        <f>VLOOKUP(A653,[2]韩国KOSPI指数历史数据!$A:$B,2,)</f>
        <v>2440.9299999999998</v>
      </c>
      <c r="W653" s="6">
        <f>VLOOKUP(A653,[3]日经225指数历史数据!$A:$B,2,)</f>
        <v>25963</v>
      </c>
      <c r="X653" s="3">
        <v>1775.89</v>
      </c>
      <c r="Y653" s="6">
        <f>VLOOKUP(A653,[4]上证指数历史数据!$A:$B,2,)</f>
        <v>3316.79</v>
      </c>
      <c r="Z653" s="6">
        <f>VLOOKUP(A653,[5]深证成份指数历史数据!$A:$B,2,)</f>
        <v>12331.14</v>
      </c>
      <c r="AA653" s="6">
        <f>VLOOKUP(A653,[6]台湾加权指数历史数据!$A:$B,2,)</f>
        <v>15641.26</v>
      </c>
      <c r="AB653" s="3">
        <v>21075</v>
      </c>
      <c r="AC653" s="3">
        <v>3098.09</v>
      </c>
      <c r="AD653">
        <v>15293.5</v>
      </c>
      <c r="AE653" s="5">
        <f>VLOOKUP(A653,[7]越南VN30指数历史数据!$A:$B,2,)</f>
        <v>1258.03</v>
      </c>
      <c r="AF653">
        <v>59082.87</v>
      </c>
      <c r="AG653" s="9">
        <v>12171.41</v>
      </c>
      <c r="AH653">
        <v>12083.57</v>
      </c>
      <c r="AI653">
        <v>1880.41</v>
      </c>
      <c r="AJ653">
        <v>1833.97</v>
      </c>
    </row>
    <row r="654" spans="1:36" x14ac:dyDescent="0.3">
      <c r="A654" s="2">
        <v>44731</v>
      </c>
      <c r="B654" s="3">
        <v>82605.64</v>
      </c>
      <c r="C654" s="4">
        <v>98672</v>
      </c>
      <c r="D654" s="3">
        <v>6578.7</v>
      </c>
      <c r="E654" s="3">
        <v>31503.71</v>
      </c>
      <c r="F654" s="3">
        <v>19062.91</v>
      </c>
      <c r="G654" s="3">
        <v>1765.74</v>
      </c>
      <c r="H654" s="3">
        <v>3911.74</v>
      </c>
      <c r="I654" s="3">
        <v>11607.62</v>
      </c>
      <c r="J654" s="3">
        <v>47741.5</v>
      </c>
      <c r="K654" s="3">
        <v>26439.15</v>
      </c>
      <c r="L654" s="3">
        <v>1682.33</v>
      </c>
      <c r="M654" s="3">
        <v>13118.13</v>
      </c>
      <c r="N654" s="6">
        <f>VLOOKUP(A654,'[1]俄罗斯交易系统市值加权指数历史数据 (1)'!$A:$B,2,)</f>
        <v>1414.96</v>
      </c>
      <c r="O654" s="3">
        <v>6073.35</v>
      </c>
      <c r="P654" s="1">
        <v>660.32</v>
      </c>
      <c r="Q654" s="3">
        <v>10823.12</v>
      </c>
      <c r="R654" s="3">
        <v>2554.08</v>
      </c>
      <c r="S654" s="3">
        <v>8244.1</v>
      </c>
      <c r="T654" s="3">
        <v>7208.81</v>
      </c>
      <c r="U654" s="3">
        <v>3533.17</v>
      </c>
      <c r="V654" s="6">
        <f>VLOOKUP(A654,[2]韩国KOSPI指数历史数据!$A:$B,2,)</f>
        <v>2366.6</v>
      </c>
      <c r="W654" s="6">
        <f>VLOOKUP(A654,[3]日经225指数历史数据!$A:$B,2,)</f>
        <v>26491.97</v>
      </c>
      <c r="X654" s="3">
        <v>1820.79</v>
      </c>
      <c r="Y654" s="6">
        <f>VLOOKUP(A654,[4]上证指数历史数据!$A:$B,2,)</f>
        <v>3349.75</v>
      </c>
      <c r="Z654" s="6">
        <f>VLOOKUP(A654,[5]深证成份指数历史数据!$A:$B,2,)</f>
        <v>12686.03</v>
      </c>
      <c r="AA654" s="6">
        <f>VLOOKUP(A654,[6]台湾加权指数历史数据!$A:$B,2,)</f>
        <v>15303.32</v>
      </c>
      <c r="AB654" s="3">
        <v>21719.06</v>
      </c>
      <c r="AC654" s="3">
        <v>3111.65</v>
      </c>
      <c r="AD654">
        <v>15699.25</v>
      </c>
      <c r="AE654" s="5">
        <f>VLOOKUP(A654,[7]越南VN30指数历史数据!$A:$B,2,)</f>
        <v>1235.47</v>
      </c>
      <c r="AF654">
        <v>59992.87</v>
      </c>
      <c r="AG654" s="9">
        <v>11649.17</v>
      </c>
      <c r="AH654">
        <v>12014.91</v>
      </c>
      <c r="AI654">
        <v>1879.05</v>
      </c>
      <c r="AJ654">
        <v>1800.3</v>
      </c>
    </row>
    <row r="655" spans="1:36" x14ac:dyDescent="0.3">
      <c r="A655" s="2">
        <v>44738</v>
      </c>
      <c r="B655" s="3">
        <v>90050.78</v>
      </c>
      <c r="C655" s="4">
        <v>98954</v>
      </c>
      <c r="D655" s="3">
        <v>6539.9</v>
      </c>
      <c r="E655" s="3">
        <v>31097.46</v>
      </c>
      <c r="F655" s="3">
        <v>18861.36</v>
      </c>
      <c r="G655" s="3">
        <v>1727.76</v>
      </c>
      <c r="H655" s="3">
        <v>3825.33</v>
      </c>
      <c r="I655" s="3">
        <v>11127.84</v>
      </c>
      <c r="J655" s="3">
        <v>47743.15</v>
      </c>
      <c r="K655" s="3">
        <v>26290.66</v>
      </c>
      <c r="L655" s="3">
        <v>1688.85</v>
      </c>
      <c r="M655" s="3">
        <v>12813.03</v>
      </c>
      <c r="N655" s="6">
        <f>VLOOKUP(A655,'[1]俄罗斯交易系统市值加权指数历史数据 (1)'!$A:$B,2,)</f>
        <v>1276.55</v>
      </c>
      <c r="O655" s="3">
        <v>5931.06</v>
      </c>
      <c r="P655" s="1">
        <v>655.68</v>
      </c>
      <c r="Q655" s="3">
        <v>10770.4</v>
      </c>
      <c r="R655" s="3">
        <v>2443.77</v>
      </c>
      <c r="S655" s="3">
        <v>8176.1</v>
      </c>
      <c r="T655" s="3">
        <v>7168.65</v>
      </c>
      <c r="U655" s="3">
        <v>3448.31</v>
      </c>
      <c r="V655" s="6">
        <f>VLOOKUP(A655,[2]韩国KOSPI指数历史数据!$A:$B,2,)</f>
        <v>2305.42</v>
      </c>
      <c r="W655" s="6">
        <f>VLOOKUP(A655,[3]日经225指数历史数据!$A:$B,2,)</f>
        <v>25935.62</v>
      </c>
      <c r="X655" s="3">
        <v>1828.73</v>
      </c>
      <c r="Y655" s="6">
        <f>VLOOKUP(A655,[4]上证指数历史数据!$A:$B,2,)</f>
        <v>3387.64</v>
      </c>
      <c r="Z655" s="6">
        <f>VLOOKUP(A655,[5]深证成份指数历史数据!$A:$B,2,)</f>
        <v>12860.36</v>
      </c>
      <c r="AA655" s="6">
        <f>VLOOKUP(A655,[6]台湾加权指数历史数据!$A:$B,2,)</f>
        <v>14343.08</v>
      </c>
      <c r="AB655" s="3">
        <v>21859.79</v>
      </c>
      <c r="AC655" s="3">
        <v>3095.59</v>
      </c>
      <c r="AD655">
        <v>15752.05</v>
      </c>
      <c r="AE655" s="5">
        <f>VLOOKUP(A655,[7]越南VN30指数历史数据!$A:$B,2,)</f>
        <v>1252.24</v>
      </c>
      <c r="AF655">
        <v>59640.36</v>
      </c>
      <c r="AG655" s="9">
        <v>11312.86</v>
      </c>
      <c r="AH655">
        <v>11744.22</v>
      </c>
      <c r="AI655">
        <v>1888.5</v>
      </c>
      <c r="AJ655">
        <v>1888.67</v>
      </c>
    </row>
    <row r="656" spans="1:36" x14ac:dyDescent="0.3">
      <c r="A656" s="2">
        <v>44745</v>
      </c>
      <c r="B656" s="3">
        <v>105850.01</v>
      </c>
      <c r="C656" s="4">
        <v>100289</v>
      </c>
      <c r="D656" s="3">
        <v>6678</v>
      </c>
      <c r="E656" s="3">
        <v>31339.200000000001</v>
      </c>
      <c r="F656" s="3">
        <v>19022.86</v>
      </c>
      <c r="G656" s="3">
        <v>1769.36</v>
      </c>
      <c r="H656" s="3">
        <v>3899.38</v>
      </c>
      <c r="I656" s="3">
        <v>11635.31</v>
      </c>
      <c r="J656" s="3">
        <v>47582.11</v>
      </c>
      <c r="K656" s="3">
        <v>27068.43</v>
      </c>
      <c r="L656" s="3">
        <v>1740.46</v>
      </c>
      <c r="M656" s="3">
        <v>13015.23</v>
      </c>
      <c r="N656" s="6">
        <f>VLOOKUP(A656,'[1]俄罗斯交易系统市值加权指数历史数据 (1)'!$A:$B,2,)</f>
        <v>1144.79</v>
      </c>
      <c r="O656" s="3">
        <v>6033.13</v>
      </c>
      <c r="P656" s="1">
        <v>674.22</v>
      </c>
      <c r="Q656" s="3">
        <v>11015.03</v>
      </c>
      <c r="R656" s="3">
        <v>2434.02</v>
      </c>
      <c r="S656" s="3">
        <v>8100.3</v>
      </c>
      <c r="T656" s="3">
        <v>7196.24</v>
      </c>
      <c r="U656" s="3">
        <v>3506.55</v>
      </c>
      <c r="V656" s="6">
        <f>VLOOKUP(A656,[2]韩国KOSPI指数历史数据!$A:$B,2,)</f>
        <v>2350.61</v>
      </c>
      <c r="W656" s="6">
        <f>VLOOKUP(A656,[3]日经225指数历史数据!$A:$B,2,)</f>
        <v>26517.19</v>
      </c>
      <c r="X656" s="3">
        <v>1851.45</v>
      </c>
      <c r="Y656" s="6">
        <f>VLOOKUP(A656,[4]上证指数历史数据!$A:$B,2,)</f>
        <v>3356.08</v>
      </c>
      <c r="Z656" s="6">
        <f>VLOOKUP(A656,[5]深证成份指数历史数据!$A:$B,2,)</f>
        <v>12857.13</v>
      </c>
      <c r="AA656" s="6">
        <f>VLOOKUP(A656,[6]台湾加权指数历史数据!$A:$B,2,)</f>
        <v>14464.53</v>
      </c>
      <c r="AB656" s="3">
        <v>21725.78</v>
      </c>
      <c r="AC656" s="3">
        <v>3131.26</v>
      </c>
      <c r="AD656">
        <v>16220.6</v>
      </c>
      <c r="AE656" s="5">
        <f>VLOOKUP(A656,[7]越南VN30指数历史数据!$A:$B,2,)</f>
        <v>1231.54</v>
      </c>
      <c r="AF656">
        <v>62107.37</v>
      </c>
      <c r="AG656" s="9">
        <v>10731.8</v>
      </c>
      <c r="AH656">
        <v>11711.37</v>
      </c>
      <c r="AI656">
        <v>1878.56</v>
      </c>
      <c r="AJ656">
        <v>1890.46</v>
      </c>
    </row>
    <row r="657" spans="1:36" x14ac:dyDescent="0.3">
      <c r="A657" s="2">
        <v>44752</v>
      </c>
      <c r="B657" s="3">
        <v>104222.92</v>
      </c>
      <c r="C657" s="4">
        <v>96551</v>
      </c>
      <c r="D657" s="3">
        <v>6605.6</v>
      </c>
      <c r="E657" s="3">
        <v>31286.02</v>
      </c>
      <c r="F657" s="3">
        <v>18394.45</v>
      </c>
      <c r="G657" s="3">
        <v>1744.37</v>
      </c>
      <c r="H657" s="3">
        <v>3863.16</v>
      </c>
      <c r="I657" s="3">
        <v>11452.42</v>
      </c>
      <c r="J657" s="3">
        <v>47075.87</v>
      </c>
      <c r="K657" s="3">
        <v>26953.31</v>
      </c>
      <c r="L657" s="3">
        <v>1620.13</v>
      </c>
      <c r="M657" s="3">
        <v>12864.72</v>
      </c>
      <c r="N657" s="6">
        <f>VLOOKUP(A657,'[1]俄罗斯交易系统市值加权指数历史数据 (1)'!$A:$B,2,)</f>
        <v>1161.53</v>
      </c>
      <c r="O657" s="3">
        <v>6036</v>
      </c>
      <c r="P657" s="1">
        <v>671.92</v>
      </c>
      <c r="Q657" s="3">
        <v>10982.09</v>
      </c>
      <c r="R657" s="3">
        <v>2382.44</v>
      </c>
      <c r="S657" s="3">
        <v>7945.9</v>
      </c>
      <c r="T657" s="3">
        <v>7159.01</v>
      </c>
      <c r="U657" s="3">
        <v>3477.2</v>
      </c>
      <c r="V657" s="6">
        <f>VLOOKUP(A657,[2]韩国KOSPI指数历史数据!$A:$B,2,)</f>
        <v>2330.98</v>
      </c>
      <c r="W657" s="6">
        <f>VLOOKUP(A657,[3]日经225指数历史数据!$A:$B,2,)</f>
        <v>26788.47</v>
      </c>
      <c r="X657" s="3">
        <v>1842.53</v>
      </c>
      <c r="Y657" s="6">
        <f>VLOOKUP(A657,[4]上证指数历史数据!$A:$B,2,)</f>
        <v>3228.06</v>
      </c>
      <c r="Z657" s="6">
        <f>VLOOKUP(A657,[5]深证成份指数历史数据!$A:$B,2,)</f>
        <v>12411.01</v>
      </c>
      <c r="AA657" s="6">
        <f>VLOOKUP(A657,[6]台湾加权指数历史数据!$A:$B,2,)</f>
        <v>14550.62</v>
      </c>
      <c r="AB657" s="3">
        <v>20297.72</v>
      </c>
      <c r="AC657" s="3">
        <v>3099.15</v>
      </c>
      <c r="AD657">
        <v>16049.2</v>
      </c>
      <c r="AE657" s="5">
        <f>VLOOKUP(A657,[7]越南VN30指数历史数据!$A:$B,2,)</f>
        <v>1220.1400000000001</v>
      </c>
      <c r="AF657">
        <v>58905.46</v>
      </c>
      <c r="AG657" s="9">
        <v>10731.8</v>
      </c>
      <c r="AH657">
        <v>11831.42</v>
      </c>
      <c r="AI657">
        <v>1895.62</v>
      </c>
      <c r="AJ657">
        <v>1875.05</v>
      </c>
    </row>
    <row r="658" spans="1:36" x14ac:dyDescent="0.3">
      <c r="A658" s="2">
        <v>44759</v>
      </c>
      <c r="B658" s="3">
        <v>113851.41</v>
      </c>
      <c r="C658" s="4">
        <v>98925</v>
      </c>
      <c r="D658" s="3">
        <v>6791.5</v>
      </c>
      <c r="E658" s="3">
        <v>31900.61</v>
      </c>
      <c r="F658" s="3">
        <v>18982.919999999998</v>
      </c>
      <c r="G658" s="3">
        <v>1806.88</v>
      </c>
      <c r="H658" s="3">
        <v>3961.63</v>
      </c>
      <c r="I658" s="3">
        <v>11834.11</v>
      </c>
      <c r="J658" s="3">
        <v>47264.86</v>
      </c>
      <c r="K658" s="3">
        <v>27738.51</v>
      </c>
      <c r="L658" s="3">
        <v>1701.73</v>
      </c>
      <c r="M658" s="3">
        <v>13253.68</v>
      </c>
      <c r="N658" s="6">
        <f>VLOOKUP(A658,'[1]俄罗斯交易系统市值加权指数历史数据 (1)'!$A:$B,2,)</f>
        <v>1161.47</v>
      </c>
      <c r="O658" s="3">
        <v>6216.82</v>
      </c>
      <c r="P658" s="1">
        <v>705.04</v>
      </c>
      <c r="Q658" s="3">
        <v>11096.12</v>
      </c>
      <c r="R658" s="3">
        <v>2516.56</v>
      </c>
      <c r="S658" s="3">
        <v>8051.6</v>
      </c>
      <c r="T658" s="3">
        <v>7276.37</v>
      </c>
      <c r="U658" s="3">
        <v>3596.49</v>
      </c>
      <c r="V658" s="6">
        <f>VLOOKUP(A658,[2]韩国KOSPI指数历史数据!$A:$B,2,)</f>
        <v>2393.14</v>
      </c>
      <c r="W658" s="6">
        <f>VLOOKUP(A658,[3]日经225指数历史数据!$A:$B,2,)</f>
        <v>27914.66</v>
      </c>
      <c r="X658" s="3">
        <v>1920.2</v>
      </c>
      <c r="Y658" s="6">
        <f>VLOOKUP(A658,[4]上证指数历史数据!$A:$B,2,)</f>
        <v>3269.97</v>
      </c>
      <c r="Z658" s="6">
        <f>VLOOKUP(A658,[5]深证成份指数历史数据!$A:$B,2,)</f>
        <v>12394.02</v>
      </c>
      <c r="AA658" s="6">
        <f>VLOOKUP(A658,[6]台湾加权指数历史数据!$A:$B,2,)</f>
        <v>14949.36</v>
      </c>
      <c r="AB658" s="3">
        <v>20609.14</v>
      </c>
      <c r="AC658" s="3">
        <v>3181.34</v>
      </c>
      <c r="AD658">
        <v>16719.45</v>
      </c>
      <c r="AE658" s="5">
        <f>VLOOKUP(A658,[7]越南VN30指数历史数据!$A:$B,2,)</f>
        <v>1228.8399999999999</v>
      </c>
      <c r="AF658">
        <v>61766.74</v>
      </c>
      <c r="AG658" s="9">
        <v>11378.23</v>
      </c>
      <c r="AH658">
        <v>11923.99</v>
      </c>
      <c r="AI658">
        <v>1885.02</v>
      </c>
      <c r="AJ658">
        <v>1871.82</v>
      </c>
    </row>
    <row r="659" spans="1:36" x14ac:dyDescent="0.3">
      <c r="A659" s="2">
        <v>44766</v>
      </c>
      <c r="B659" s="3">
        <v>122528.27</v>
      </c>
      <c r="C659" s="4">
        <v>103165</v>
      </c>
      <c r="D659" s="3">
        <v>6945.2</v>
      </c>
      <c r="E659" s="3">
        <v>32846.449999999997</v>
      </c>
      <c r="F659" s="3">
        <v>19692.919999999998</v>
      </c>
      <c r="G659" s="3">
        <v>1885.23</v>
      </c>
      <c r="H659" s="3">
        <v>4130.29</v>
      </c>
      <c r="I659" s="3">
        <v>12390.69</v>
      </c>
      <c r="J659" s="3">
        <v>48144.33</v>
      </c>
      <c r="K659" s="3">
        <v>28056.28</v>
      </c>
      <c r="L659" s="3">
        <v>1721.11</v>
      </c>
      <c r="M659" s="3">
        <v>13484.05</v>
      </c>
      <c r="N659" s="6">
        <f>VLOOKUP(A659,'[1]俄罗斯交易系统市值加权指数历史数据 (1)'!$A:$B,2,)</f>
        <v>1129.24</v>
      </c>
      <c r="O659" s="3">
        <v>6448.5</v>
      </c>
      <c r="P659" s="1">
        <v>729.44</v>
      </c>
      <c r="Q659" s="3">
        <v>11145.91</v>
      </c>
      <c r="R659" s="3">
        <v>2592.38</v>
      </c>
      <c r="S659" s="3">
        <v>8156.2</v>
      </c>
      <c r="T659" s="3">
        <v>7423.43</v>
      </c>
      <c r="U659" s="3">
        <v>3708.1</v>
      </c>
      <c r="V659" s="6">
        <f>VLOOKUP(A659,[2]韩国KOSPI指数历史数据!$A:$B,2,)</f>
        <v>2451.5</v>
      </c>
      <c r="W659" s="6">
        <f>VLOOKUP(A659,[3]日经225指数历史数据!$A:$B,2,)</f>
        <v>27801.64</v>
      </c>
      <c r="X659" s="3">
        <v>1925.35</v>
      </c>
      <c r="Y659" s="6">
        <f>VLOOKUP(A659,[4]上证指数历史数据!$A:$B,2,)</f>
        <v>3253.24</v>
      </c>
      <c r="Z659" s="6">
        <f>VLOOKUP(A659,[5]深证成份指数历史数据!$A:$B,2,)</f>
        <v>12266.92</v>
      </c>
      <c r="AA659" s="6">
        <f>VLOOKUP(A659,[6]台湾加权指数历史数据!$A:$B,2,)</f>
        <v>15000.07</v>
      </c>
      <c r="AB659" s="3">
        <v>20156.509999999998</v>
      </c>
      <c r="AC659" s="3">
        <v>3211.56</v>
      </c>
      <c r="AD659">
        <v>17158.25</v>
      </c>
      <c r="AE659" s="5">
        <f>VLOOKUP(A659,[7]越南VN30指数历史数据!$A:$B,2,)</f>
        <v>1232</v>
      </c>
      <c r="AF659">
        <v>62473.81</v>
      </c>
      <c r="AG659" s="9">
        <v>11485.83</v>
      </c>
      <c r="AH659">
        <v>11818.46</v>
      </c>
      <c r="AI659">
        <v>1820.25</v>
      </c>
      <c r="AJ659">
        <v>1901.82</v>
      </c>
    </row>
    <row r="660" spans="1:36" x14ac:dyDescent="0.3">
      <c r="A660" s="2">
        <v>44773</v>
      </c>
      <c r="B660" s="3">
        <v>121003.89</v>
      </c>
      <c r="C660" s="4">
        <v>106472</v>
      </c>
      <c r="D660" s="3">
        <v>7015.6</v>
      </c>
      <c r="E660" s="3">
        <v>32801.51</v>
      </c>
      <c r="F660" s="3">
        <v>19620.13</v>
      </c>
      <c r="G660" s="3">
        <v>1921.82</v>
      </c>
      <c r="H660" s="3">
        <v>4145.1899999999996</v>
      </c>
      <c r="I660" s="3">
        <v>12657.55</v>
      </c>
      <c r="J660" s="3">
        <v>46723.43</v>
      </c>
      <c r="K660" s="3">
        <v>27593.439999999999</v>
      </c>
      <c r="L660" s="3">
        <v>1652.14</v>
      </c>
      <c r="M660" s="3">
        <v>13573.93</v>
      </c>
      <c r="N660" s="6">
        <f>VLOOKUP(A660,'[1]俄罗斯交易系统市值加权指数历史数据 (1)'!$A:$B,2,)</f>
        <v>1072.31</v>
      </c>
      <c r="O660" s="3">
        <v>6472.35</v>
      </c>
      <c r="P660" s="1">
        <v>722.74</v>
      </c>
      <c r="Q660" s="3">
        <v>11123.07</v>
      </c>
      <c r="R660" s="3">
        <v>2750.49</v>
      </c>
      <c r="S660" s="3">
        <v>8168</v>
      </c>
      <c r="T660" s="3">
        <v>7439.74</v>
      </c>
      <c r="U660" s="3">
        <v>3725.39</v>
      </c>
      <c r="V660" s="6">
        <f>VLOOKUP(A660,[2]韩国KOSPI指数历史数据!$A:$B,2,)</f>
        <v>2490.8000000000002</v>
      </c>
      <c r="W660" s="6">
        <f>VLOOKUP(A660,[3]日经225指数历史数据!$A:$B,2,)</f>
        <v>28175.87</v>
      </c>
      <c r="X660" s="3">
        <v>1956.96</v>
      </c>
      <c r="Y660" s="6">
        <f>VLOOKUP(A660,[4]上证指数历史数据!$A:$B,2,)</f>
        <v>3227.03</v>
      </c>
      <c r="Z660" s="6">
        <f>VLOOKUP(A660,[5]深证成份指数历史数据!$A:$B,2,)</f>
        <v>12269.21</v>
      </c>
      <c r="AA660" s="6">
        <f>VLOOKUP(A660,[6]台湾加权指数历史数据!$A:$B,2,)</f>
        <v>15036.04</v>
      </c>
      <c r="AB660" s="3">
        <v>20201.939999999999</v>
      </c>
      <c r="AC660" s="3">
        <v>3282.88</v>
      </c>
      <c r="AD660">
        <v>17397.5</v>
      </c>
      <c r="AE660" s="5">
        <f>VLOOKUP(A660,[7]越南VN30指数历史数据!$A:$B,2,)</f>
        <v>1272.06</v>
      </c>
      <c r="AF660">
        <v>63114.01</v>
      </c>
      <c r="AG660" s="9">
        <v>12443</v>
      </c>
      <c r="AH660">
        <v>11947.29</v>
      </c>
      <c r="AI660">
        <v>1828.66</v>
      </c>
      <c r="AJ660">
        <v>1910.62</v>
      </c>
    </row>
    <row r="661" spans="1:36" x14ac:dyDescent="0.3">
      <c r="A661" s="2">
        <v>44780</v>
      </c>
      <c r="B661" s="3">
        <v>125979.57</v>
      </c>
      <c r="C661" s="4">
        <v>112764</v>
      </c>
      <c r="D661" s="3">
        <v>7032.5</v>
      </c>
      <c r="E661" s="3">
        <v>33761.11</v>
      </c>
      <c r="F661" s="3">
        <v>20179.810000000001</v>
      </c>
      <c r="G661" s="3">
        <v>2016.62</v>
      </c>
      <c r="H661" s="3">
        <v>4280.1499999999996</v>
      </c>
      <c r="I661" s="3">
        <v>13047.19</v>
      </c>
      <c r="J661" s="3">
        <v>48853.37</v>
      </c>
      <c r="K661" s="3">
        <v>28902.639999999999</v>
      </c>
      <c r="L661" s="3">
        <v>1735.07</v>
      </c>
      <c r="M661" s="3">
        <v>13795.85</v>
      </c>
      <c r="N661" s="6">
        <f>VLOOKUP(A661,'[1]俄罗斯交易系统市值加权指数历史数据 (1)'!$A:$B,2,)</f>
        <v>1116.32</v>
      </c>
      <c r="O661" s="3">
        <v>6553.86</v>
      </c>
      <c r="P661" s="1">
        <v>725.76</v>
      </c>
      <c r="Q661" s="3">
        <v>11128.24</v>
      </c>
      <c r="R661" s="3">
        <v>2864.25</v>
      </c>
      <c r="S661" s="3">
        <v>8400.4</v>
      </c>
      <c r="T661" s="3">
        <v>7500.89</v>
      </c>
      <c r="U661" s="3">
        <v>3776.81</v>
      </c>
      <c r="V661" s="6">
        <f>VLOOKUP(A661,[2]韩国KOSPI指数历史数据!$A:$B,2,)</f>
        <v>2527.94</v>
      </c>
      <c r="W661" s="6">
        <f>VLOOKUP(A661,[3]日经225指数历史数据!$A:$B,2,)</f>
        <v>28546.98</v>
      </c>
      <c r="X661" s="3">
        <v>2042.21</v>
      </c>
      <c r="Y661" s="6">
        <f>VLOOKUP(A661,[4]上证指数历史数据!$A:$B,2,)</f>
        <v>3276.89</v>
      </c>
      <c r="Z661" s="6">
        <f>VLOOKUP(A661,[5]深证成份指数历史数据!$A:$B,2,)</f>
        <v>12419.39</v>
      </c>
      <c r="AA661" s="6">
        <f>VLOOKUP(A661,[6]台湾加权指数历史数据!$A:$B,2,)</f>
        <v>15288.97</v>
      </c>
      <c r="AB661" s="3">
        <v>20175.62</v>
      </c>
      <c r="AC661" s="3">
        <v>3269.27</v>
      </c>
      <c r="AD661">
        <v>17698.150000000001</v>
      </c>
      <c r="AE661" s="5">
        <f>VLOOKUP(A661,[7]越南VN30指数历史数据!$A:$B,2,)</f>
        <v>1280.96</v>
      </c>
      <c r="AF661">
        <v>63996.11</v>
      </c>
      <c r="AG661" s="9">
        <v>12334.62</v>
      </c>
      <c r="AH661">
        <v>12162.75</v>
      </c>
      <c r="AI661">
        <v>1775.29</v>
      </c>
      <c r="AJ661">
        <v>1926.9</v>
      </c>
    </row>
    <row r="662" spans="1:36" x14ac:dyDescent="0.3">
      <c r="A662" s="2">
        <v>44787</v>
      </c>
      <c r="B662" s="3">
        <v>131009.08</v>
      </c>
      <c r="C662" s="4">
        <v>111496</v>
      </c>
      <c r="D662" s="3">
        <v>7114.5</v>
      </c>
      <c r="E662" s="3">
        <v>33706.15</v>
      </c>
      <c r="F662" s="3">
        <v>20111.38</v>
      </c>
      <c r="G662" s="3">
        <v>1957.35</v>
      </c>
      <c r="H662" s="3">
        <v>4228.4799999999996</v>
      </c>
      <c r="I662" s="3">
        <v>12705.21</v>
      </c>
      <c r="J662" s="3">
        <v>48463.26</v>
      </c>
      <c r="K662" s="3">
        <v>27974.57</v>
      </c>
      <c r="L662" s="3">
        <v>1673.4</v>
      </c>
      <c r="M662" s="3">
        <v>13544.52</v>
      </c>
      <c r="N662" s="6">
        <f>VLOOKUP(A662,'[1]俄罗斯交易系统市值加权指数历史数据 (1)'!$A:$B,2,)</f>
        <v>1170.57</v>
      </c>
      <c r="O662" s="3">
        <v>6495.83</v>
      </c>
      <c r="P662" s="1">
        <v>719.52</v>
      </c>
      <c r="Q662" s="3">
        <v>11156.72</v>
      </c>
      <c r="R662" s="3">
        <v>3020.2</v>
      </c>
      <c r="S662" s="3">
        <v>8338.1</v>
      </c>
      <c r="T662" s="3">
        <v>7550.37</v>
      </c>
      <c r="U662" s="3">
        <v>3730.32</v>
      </c>
      <c r="V662" s="6">
        <f>VLOOKUP(A662,[2]韩国KOSPI指数历史数据!$A:$B,2,)</f>
        <v>2492.69</v>
      </c>
      <c r="W662" s="6">
        <f>VLOOKUP(A662,[3]日经225指数历史数据!$A:$B,2,)</f>
        <v>28930.33</v>
      </c>
      <c r="X662" s="3">
        <v>2054.88</v>
      </c>
      <c r="Y662" s="6">
        <f>VLOOKUP(A662,[4]上证指数历史数据!$A:$B,2,)</f>
        <v>3258.08</v>
      </c>
      <c r="Z662" s="6">
        <f>VLOOKUP(A662,[5]深证成份指数历史数据!$A:$B,2,)</f>
        <v>12358.54</v>
      </c>
      <c r="AA662" s="6">
        <f>VLOOKUP(A662,[6]台湾加权指数历史数据!$A:$B,2,)</f>
        <v>15408.78</v>
      </c>
      <c r="AB662" s="3">
        <v>19773.03</v>
      </c>
      <c r="AC662" s="3">
        <v>3246.51</v>
      </c>
      <c r="AD662">
        <v>17758.45</v>
      </c>
      <c r="AE662" s="5">
        <f>VLOOKUP(A662,[7]越南VN30指数历史数据!$A:$B,2,)</f>
        <v>1294.93</v>
      </c>
      <c r="AF662">
        <v>62974.06</v>
      </c>
      <c r="AG662" s="9">
        <v>12474.7</v>
      </c>
      <c r="AH662">
        <v>12185.34</v>
      </c>
      <c r="AI662">
        <v>1763.87</v>
      </c>
      <c r="AJ662">
        <v>1924.97</v>
      </c>
    </row>
    <row r="663" spans="1:36" x14ac:dyDescent="0.3">
      <c r="A663" s="2">
        <v>44794</v>
      </c>
      <c r="B663" s="3">
        <v>141459.95000000001</v>
      </c>
      <c r="C663" s="4">
        <v>112299</v>
      </c>
      <c r="D663" s="3">
        <v>7104.1</v>
      </c>
      <c r="E663" s="3">
        <v>32282.799999999999</v>
      </c>
      <c r="F663" s="3">
        <v>19873.29</v>
      </c>
      <c r="G663" s="3">
        <v>1899.83</v>
      </c>
      <c r="H663" s="3">
        <v>4057.66</v>
      </c>
      <c r="I663" s="3">
        <v>12141.71</v>
      </c>
      <c r="J663" s="3">
        <v>47272.11</v>
      </c>
      <c r="K663" s="3">
        <v>29185.4</v>
      </c>
      <c r="L663" s="3">
        <v>1602.81</v>
      </c>
      <c r="M663" s="3">
        <v>12971.47</v>
      </c>
      <c r="N663" s="6">
        <f>VLOOKUP(A663,'[1]俄罗斯交易系统市值加权指数历史数据 (1)'!$A:$B,2,)</f>
        <v>1183.1199999999999</v>
      </c>
      <c r="O663" s="3">
        <v>6274.26</v>
      </c>
      <c r="P663" s="1">
        <v>705.08</v>
      </c>
      <c r="Q663" s="3">
        <v>10942.16</v>
      </c>
      <c r="R663" s="3">
        <v>3146.1</v>
      </c>
      <c r="S663" s="3">
        <v>8063.9</v>
      </c>
      <c r="T663" s="3">
        <v>7427.31</v>
      </c>
      <c r="U663" s="3">
        <v>3603.68</v>
      </c>
      <c r="V663" s="6">
        <f>VLOOKUP(A663,[2]韩国KOSPI指数历史数据!$A:$B,2,)</f>
        <v>2481.0300000000002</v>
      </c>
      <c r="W663" s="6">
        <f>VLOOKUP(A663,[3]日经225指数历史数据!$A:$B,2,)</f>
        <v>28641.38</v>
      </c>
      <c r="X663" s="3">
        <v>2060.4</v>
      </c>
      <c r="Y663" s="6">
        <f>VLOOKUP(A663,[4]上证指数历史数据!$A:$B,2,)</f>
        <v>3236.22</v>
      </c>
      <c r="Z663" s="6">
        <f>VLOOKUP(A663,[5]深证成份指数历史数据!$A:$B,2,)</f>
        <v>12059.71</v>
      </c>
      <c r="AA663" s="6">
        <f>VLOOKUP(A663,[6]台湾加权指数历史数据!$A:$B,2,)</f>
        <v>15278.44</v>
      </c>
      <c r="AB663" s="3">
        <v>20170.04</v>
      </c>
      <c r="AC663" s="3">
        <v>3249.53</v>
      </c>
      <c r="AD663">
        <v>17558.900000000001</v>
      </c>
      <c r="AE663" s="5">
        <f>VLOOKUP(A663,[7]越南VN30指数历史数据!$A:$B,2,)</f>
        <v>1306.81</v>
      </c>
      <c r="AF663">
        <v>63507.94</v>
      </c>
      <c r="AG663" s="9">
        <v>12675.34</v>
      </c>
      <c r="AH663">
        <v>12177.18</v>
      </c>
      <c r="AI663">
        <v>1772.42</v>
      </c>
      <c r="AJ663">
        <v>1894.89</v>
      </c>
    </row>
    <row r="664" spans="1:36" x14ac:dyDescent="0.3">
      <c r="A664" s="2">
        <v>44801</v>
      </c>
      <c r="B664" s="3">
        <v>136302.13</v>
      </c>
      <c r="C664" s="4">
        <v>110864</v>
      </c>
      <c r="D664" s="3">
        <v>6828.7</v>
      </c>
      <c r="E664" s="3">
        <v>31318.84</v>
      </c>
      <c r="F664" s="3">
        <v>19270.849999999999</v>
      </c>
      <c r="G664" s="3">
        <v>1809.75</v>
      </c>
      <c r="H664" s="3">
        <v>3924.26</v>
      </c>
      <c r="I664" s="3">
        <v>11630.86</v>
      </c>
      <c r="J664" s="3">
        <v>45888.63</v>
      </c>
      <c r="K664" s="3">
        <v>29790.74</v>
      </c>
      <c r="L664" s="3">
        <v>1505.75</v>
      </c>
      <c r="M664" s="3">
        <v>13050.27</v>
      </c>
      <c r="N664" s="6">
        <f>VLOOKUP(A664,'[1]俄罗斯交易系统市值加权指数历史数据 (1)'!$A:$B,2,)</f>
        <v>1284.53</v>
      </c>
      <c r="O664" s="3">
        <v>6167.51</v>
      </c>
      <c r="P664" s="1">
        <v>678.57</v>
      </c>
      <c r="Q664" s="3">
        <v>10891.71</v>
      </c>
      <c r="R664" s="3">
        <v>3222.74</v>
      </c>
      <c r="S664" s="3">
        <v>7932.2</v>
      </c>
      <c r="T664" s="3">
        <v>7281.19</v>
      </c>
      <c r="U664" s="3">
        <v>3544.38</v>
      </c>
      <c r="V664" s="6">
        <f>VLOOKUP(A664,[2]韩国KOSPI指数历史数据!$A:$B,2,)</f>
        <v>2409.41</v>
      </c>
      <c r="W664" s="6">
        <f>VLOOKUP(A664,[3]日经225指数历史数据!$A:$B,2,)</f>
        <v>27650.84</v>
      </c>
      <c r="X664" s="3">
        <v>2000.2</v>
      </c>
      <c r="Y664" s="6">
        <f>VLOOKUP(A664,[4]上证指数历史数据!$A:$B,2,)</f>
        <v>3186.48</v>
      </c>
      <c r="Z664" s="6">
        <f>VLOOKUP(A664,[5]深证成份指数历史数据!$A:$B,2,)</f>
        <v>11702.39</v>
      </c>
      <c r="AA664" s="6">
        <f>VLOOKUP(A664,[6]台湾加权指数历史数据!$A:$B,2,)</f>
        <v>14673.04</v>
      </c>
      <c r="AB664" s="3">
        <v>19452.09</v>
      </c>
      <c r="AC664" s="3">
        <v>3205.69</v>
      </c>
      <c r="AD664">
        <v>17539.45</v>
      </c>
      <c r="AE664" s="5">
        <f>VLOOKUP(A664,[7]越南VN30指数历史数据!$A:$B,2,)</f>
        <v>1301.44</v>
      </c>
      <c r="AF664">
        <v>60854.02</v>
      </c>
      <c r="AG664" s="9">
        <v>12283.12</v>
      </c>
      <c r="AH664">
        <v>12136.29</v>
      </c>
      <c r="AI664">
        <v>1784.67</v>
      </c>
      <c r="AJ664">
        <v>1904.91</v>
      </c>
    </row>
    <row r="665" spans="1:36" x14ac:dyDescent="0.3">
      <c r="A665" s="2">
        <v>44808</v>
      </c>
      <c r="B665" s="3">
        <v>144642.19</v>
      </c>
      <c r="C665" s="4">
        <v>112300</v>
      </c>
      <c r="D665" s="3">
        <v>6894.2</v>
      </c>
      <c r="E665" s="3">
        <v>32151.71</v>
      </c>
      <c r="F665" s="3">
        <v>19773.34</v>
      </c>
      <c r="G665" s="3">
        <v>1882.85</v>
      </c>
      <c r="H665" s="3">
        <v>4067.36</v>
      </c>
      <c r="I665" s="3">
        <v>12112.31</v>
      </c>
      <c r="J665" s="3">
        <v>47042.94</v>
      </c>
      <c r="K665" s="3">
        <v>30372.68</v>
      </c>
      <c r="L665" s="3">
        <v>1534.68</v>
      </c>
      <c r="M665" s="3">
        <v>13088.21</v>
      </c>
      <c r="N665" s="6">
        <f>VLOOKUP(A665,'[1]俄罗斯交易系统市值加权指数历史数据 (1)'!$A:$B,2,)</f>
        <v>1262.72</v>
      </c>
      <c r="O665" s="3">
        <v>6212.33</v>
      </c>
      <c r="P665" s="1">
        <v>685.97</v>
      </c>
      <c r="Q665" s="3">
        <v>10900.24</v>
      </c>
      <c r="R665" s="3">
        <v>3521.38</v>
      </c>
      <c r="S665" s="3">
        <v>8033.1</v>
      </c>
      <c r="T665" s="3">
        <v>7351.07</v>
      </c>
      <c r="U665" s="3">
        <v>3570.04</v>
      </c>
      <c r="V665" s="6">
        <f>VLOOKUP(A665,[2]韩国KOSPI指数历史数据!$A:$B,2,)</f>
        <v>2384.2800000000002</v>
      </c>
      <c r="W665" s="6">
        <f>VLOOKUP(A665,[3]日经225指数历史数据!$A:$B,2,)</f>
        <v>28214.75</v>
      </c>
      <c r="X665" s="3">
        <v>1987.29</v>
      </c>
      <c r="Y665" s="6">
        <f>VLOOKUP(A665,[4]上证指数历史数据!$A:$B,2,)</f>
        <v>3262.05</v>
      </c>
      <c r="Z665" s="6">
        <f>VLOOKUP(A665,[5]深证成份指数历史数据!$A:$B,2,)</f>
        <v>11877.79</v>
      </c>
      <c r="AA665" s="6">
        <f>VLOOKUP(A665,[6]台湾加权指数历史数据!$A:$B,2,)</f>
        <v>14583.42</v>
      </c>
      <c r="AB665" s="3">
        <v>19362.25</v>
      </c>
      <c r="AC665" s="3">
        <v>3262.95</v>
      </c>
      <c r="AD665">
        <v>17833.349999999999</v>
      </c>
      <c r="AE665" s="5">
        <f>VLOOKUP(A665,[7]越南VN30指数历史数据!$A:$B,2,)</f>
        <v>1275.6400000000001</v>
      </c>
      <c r="AF665">
        <v>62126.76</v>
      </c>
      <c r="AG665" s="9">
        <v>12728.87</v>
      </c>
      <c r="AH665">
        <v>12128.37</v>
      </c>
      <c r="AI665">
        <v>1772.48</v>
      </c>
      <c r="AJ665">
        <v>1915.84</v>
      </c>
    </row>
    <row r="666" spans="1:36" x14ac:dyDescent="0.3">
      <c r="A666" s="2">
        <v>44815</v>
      </c>
      <c r="B666" s="3">
        <v>145741.81</v>
      </c>
      <c r="C666" s="4">
        <v>109280</v>
      </c>
      <c r="D666" s="3">
        <v>6739.1</v>
      </c>
      <c r="E666" s="3">
        <v>30821.5</v>
      </c>
      <c r="F666" s="3">
        <v>19385.88</v>
      </c>
      <c r="G666" s="3">
        <v>1798.19</v>
      </c>
      <c r="H666" s="3">
        <v>3873.33</v>
      </c>
      <c r="I666" s="3">
        <v>11448.4</v>
      </c>
      <c r="J666" s="3">
        <v>46769.78</v>
      </c>
      <c r="K666" s="3">
        <v>29813.99</v>
      </c>
      <c r="L666" s="3">
        <v>1501.91</v>
      </c>
      <c r="M666" s="3">
        <v>12741.26</v>
      </c>
      <c r="N666" s="6">
        <f>VLOOKUP(A666,'[1]俄罗斯交易系统市值加权指数历史数据 (1)'!$A:$B,2,)</f>
        <v>1275.03</v>
      </c>
      <c r="O666" s="3">
        <v>6077.3</v>
      </c>
      <c r="P666" s="1">
        <v>664.83</v>
      </c>
      <c r="Q666" s="3">
        <v>10610.65</v>
      </c>
      <c r="R666" s="3">
        <v>3377.33</v>
      </c>
      <c r="S666" s="3">
        <v>7984.7</v>
      </c>
      <c r="T666" s="3">
        <v>7236.68</v>
      </c>
      <c r="U666" s="3">
        <v>3500.41</v>
      </c>
      <c r="V666" s="6">
        <f>VLOOKUP(A666,[2]韩国KOSPI指数历史数据!$A:$B,2,)</f>
        <v>2382.7800000000002</v>
      </c>
      <c r="W666" s="6">
        <f>VLOOKUP(A666,[3]日经225指数历史数据!$A:$B,2,)</f>
        <v>27567.65</v>
      </c>
      <c r="X666" s="3">
        <v>1950.56</v>
      </c>
      <c r="Y666" s="6">
        <f>VLOOKUP(A666,[4]上证指数历史数据!$A:$B,2,)</f>
        <v>3126.4</v>
      </c>
      <c r="Z666" s="6">
        <f>VLOOKUP(A666,[5]深证成份指数历史数据!$A:$B,2,)</f>
        <v>11261.5</v>
      </c>
      <c r="AA666" s="6">
        <f>VLOOKUP(A666,[6]台湾加权指数历史数据!$A:$B,2,)</f>
        <v>14561.76</v>
      </c>
      <c r="AB666" s="3">
        <v>18761.689999999999</v>
      </c>
      <c r="AC666" s="3">
        <v>3268.29</v>
      </c>
      <c r="AD666">
        <v>17530.849999999999</v>
      </c>
      <c r="AE666" s="5">
        <f>VLOOKUP(A666,[7]越南VN30指数历史数据!$A:$B,2,)</f>
        <v>1252.78</v>
      </c>
      <c r="AF666">
        <v>60013.72</v>
      </c>
      <c r="AG666" s="9">
        <v>12453.54</v>
      </c>
      <c r="AH666">
        <v>12198.68</v>
      </c>
      <c r="AI666">
        <v>1763.67</v>
      </c>
      <c r="AJ666">
        <v>1873.24</v>
      </c>
    </row>
    <row r="667" spans="1:36" x14ac:dyDescent="0.3">
      <c r="A667" s="2">
        <v>44822</v>
      </c>
      <c r="B667" s="3">
        <v>142931.73000000001</v>
      </c>
      <c r="C667" s="4">
        <v>111716</v>
      </c>
      <c r="D667" s="3">
        <v>6574.7</v>
      </c>
      <c r="E667" s="3">
        <v>29592.85</v>
      </c>
      <c r="F667" s="3">
        <v>18480.98</v>
      </c>
      <c r="G667" s="3">
        <v>1679.59</v>
      </c>
      <c r="H667" s="3">
        <v>3693.23</v>
      </c>
      <c r="I667" s="3">
        <v>10867.93</v>
      </c>
      <c r="J667" s="3">
        <v>45395.94</v>
      </c>
      <c r="K667" s="3">
        <v>28094.29</v>
      </c>
      <c r="L667" s="3">
        <v>1457.78</v>
      </c>
      <c r="M667" s="3">
        <v>12284.19</v>
      </c>
      <c r="N667" s="6">
        <f>VLOOKUP(A667,'[1]俄罗斯交易系统市值加权指数历史数据 (1)'!$A:$B,2,)</f>
        <v>1141.81</v>
      </c>
      <c r="O667" s="3">
        <v>5783.41</v>
      </c>
      <c r="P667" s="1">
        <v>639.28</v>
      </c>
      <c r="Q667" s="3">
        <v>10137.780000000001</v>
      </c>
      <c r="R667" s="3">
        <v>3281.61</v>
      </c>
      <c r="S667" s="3">
        <v>7583.5</v>
      </c>
      <c r="T667" s="3">
        <v>7018.6</v>
      </c>
      <c r="U667" s="3">
        <v>3348.6</v>
      </c>
      <c r="V667" s="6">
        <f>VLOOKUP(A667,[2]韩国KOSPI指数历史数据!$A:$B,2,)</f>
        <v>2290</v>
      </c>
      <c r="W667" s="6">
        <f>VLOOKUP(A667,[3]日经225指数历史数据!$A:$B,2,)</f>
        <v>27153.83</v>
      </c>
      <c r="X667" s="3">
        <v>1922.89</v>
      </c>
      <c r="Y667" s="6">
        <f>VLOOKUP(A667,[4]上证指数历史数据!$A:$B,2,)</f>
        <v>3088.37</v>
      </c>
      <c r="Z667" s="6">
        <f>VLOOKUP(A667,[5]深证成份指数历史数据!$A:$B,2,)</f>
        <v>11006.41</v>
      </c>
      <c r="AA667" s="6">
        <f>VLOOKUP(A667,[6]台湾加权指数历史数据!$A:$B,2,)</f>
        <v>14118.38</v>
      </c>
      <c r="AB667" s="3">
        <v>17933.27</v>
      </c>
      <c r="AC667" s="3">
        <v>3227.1</v>
      </c>
      <c r="AD667">
        <v>17327.349999999999</v>
      </c>
      <c r="AE667" s="5">
        <f>VLOOKUP(A667,[7]越南VN30指数历史数据!$A:$B,2,)</f>
        <v>1215.4100000000001</v>
      </c>
      <c r="AF667">
        <v>57109.52</v>
      </c>
      <c r="AG667" s="9">
        <v>12213.61</v>
      </c>
      <c r="AH667">
        <v>12259.05</v>
      </c>
      <c r="AI667">
        <v>1746.22</v>
      </c>
      <c r="AJ667">
        <v>1866.15</v>
      </c>
    </row>
    <row r="668" spans="1:36" x14ac:dyDescent="0.3">
      <c r="A668" s="2">
        <v>44829</v>
      </c>
      <c r="B668" s="3">
        <v>139115.09</v>
      </c>
      <c r="C668" s="4">
        <v>110037</v>
      </c>
      <c r="D668" s="3">
        <v>6474.2</v>
      </c>
      <c r="E668" s="3">
        <v>28730.12</v>
      </c>
      <c r="F668" s="3">
        <v>18444.22</v>
      </c>
      <c r="G668" s="3">
        <v>1664.72</v>
      </c>
      <c r="H668" s="3">
        <v>3585.62</v>
      </c>
      <c r="I668" s="3">
        <v>10575.62</v>
      </c>
      <c r="J668" s="3">
        <v>44626.8</v>
      </c>
      <c r="K668" s="3">
        <v>27680.69</v>
      </c>
      <c r="L668" s="3">
        <v>1377.91</v>
      </c>
      <c r="M668" s="3">
        <v>12114.36</v>
      </c>
      <c r="N668" s="6">
        <f>VLOOKUP(A668,'[1]俄罗斯交易系统市值加权指数历史数据 (1)'!$A:$B,2,)</f>
        <v>1055.72</v>
      </c>
      <c r="O668" s="3">
        <v>5762.34</v>
      </c>
      <c r="P668" s="1">
        <v>640.62</v>
      </c>
      <c r="Q668" s="3">
        <v>10267.549999999999</v>
      </c>
      <c r="R668" s="3">
        <v>3179.99</v>
      </c>
      <c r="S668" s="3">
        <v>7366.8</v>
      </c>
      <c r="T668" s="3">
        <v>6893.81</v>
      </c>
      <c r="U668" s="3">
        <v>3318.2</v>
      </c>
      <c r="V668" s="6">
        <f>VLOOKUP(A668,[2]韩国KOSPI指数历史数据!$A:$B,2,)</f>
        <v>2155.4899999999998</v>
      </c>
      <c r="W668" s="6">
        <f>VLOOKUP(A668,[3]日经225指数历史数据!$A:$B,2,)</f>
        <v>25937.21</v>
      </c>
      <c r="X668" s="3">
        <v>1837.23</v>
      </c>
      <c r="Y668" s="6">
        <f>VLOOKUP(A668,[4]上证指数历史数据!$A:$B,2,)</f>
        <v>3024.39</v>
      </c>
      <c r="Z668" s="6">
        <f>VLOOKUP(A668,[5]深证成份指数历史数据!$A:$B,2,)</f>
        <v>10778.61</v>
      </c>
      <c r="AA668" s="6">
        <f>VLOOKUP(A668,[6]台湾加权指数历史数据!$A:$B,2,)</f>
        <v>13424.58</v>
      </c>
      <c r="AB668" s="3">
        <v>17222.830000000002</v>
      </c>
      <c r="AC668" s="3">
        <v>3130.24</v>
      </c>
      <c r="AD668">
        <v>17094.349999999999</v>
      </c>
      <c r="AE668" s="5">
        <f>VLOOKUP(A668,[7]越南VN30指数历史数据!$A:$B,2,)</f>
        <v>1152.01</v>
      </c>
      <c r="AF668">
        <v>57389.7</v>
      </c>
      <c r="AG668" s="9">
        <v>12144.31</v>
      </c>
      <c r="AH668">
        <v>11613.11</v>
      </c>
      <c r="AI668">
        <v>1746.95</v>
      </c>
      <c r="AJ668">
        <v>1867.98</v>
      </c>
    </row>
    <row r="669" spans="1:36" x14ac:dyDescent="0.3">
      <c r="A669" s="2">
        <v>44836</v>
      </c>
      <c r="B669" s="3">
        <v>144645.32999999999</v>
      </c>
      <c r="C669" s="4">
        <v>116375</v>
      </c>
      <c r="D669" s="3">
        <v>6762.8</v>
      </c>
      <c r="E669" s="3">
        <v>29297.25</v>
      </c>
      <c r="F669" s="3">
        <v>18583.13</v>
      </c>
      <c r="G669" s="3">
        <v>1702.15</v>
      </c>
      <c r="H669" s="3">
        <v>3639.66</v>
      </c>
      <c r="I669" s="3">
        <v>10652.41</v>
      </c>
      <c r="J669" s="3">
        <v>45728.87</v>
      </c>
      <c r="K669" s="3">
        <v>27468.73</v>
      </c>
      <c r="L669" s="3">
        <v>1405.21</v>
      </c>
      <c r="M669" s="3">
        <v>12273</v>
      </c>
      <c r="N669" s="6">
        <f>VLOOKUP(A669,'[1]俄罗斯交易系统市值加权指数历史数据 (1)'!$A:$B,2,)</f>
        <v>1005.04</v>
      </c>
      <c r="O669" s="3">
        <v>5866.94</v>
      </c>
      <c r="P669" s="1">
        <v>647.11</v>
      </c>
      <c r="Q669" s="3">
        <v>10308.57</v>
      </c>
      <c r="R669" s="3">
        <v>3567.6</v>
      </c>
      <c r="S669" s="3">
        <v>7436.9</v>
      </c>
      <c r="T669" s="3">
        <v>6991.09</v>
      </c>
      <c r="U669" s="3">
        <v>3375.46</v>
      </c>
      <c r="V669" s="6">
        <f>VLOOKUP(A669,[2]韩国KOSPI指数历史数据!$A:$B,2,)</f>
        <v>2232.84</v>
      </c>
      <c r="W669" s="6">
        <f>VLOOKUP(A669,[3]日经225指数历史数据!$A:$B,2,)</f>
        <v>27116.11</v>
      </c>
      <c r="X669" s="3">
        <v>1867.62</v>
      </c>
      <c r="Y669" s="6" t="e">
        <f>VLOOKUP(A669,[4]上证指数历史数据!$A:$B,2,)</f>
        <v>#N/A</v>
      </c>
      <c r="Z669" s="6" t="e">
        <f>VLOOKUP(A669,[5]深证成份指数历史数据!$A:$B,2,)</f>
        <v>#N/A</v>
      </c>
      <c r="AA669" s="6">
        <f>VLOOKUP(A669,[6]台湾加权指数历史数据!$A:$B,2,)</f>
        <v>13702.28</v>
      </c>
      <c r="AB669" s="3">
        <v>17740.05</v>
      </c>
      <c r="AC669" s="3">
        <v>3145.81</v>
      </c>
      <c r="AD669">
        <v>17314.650000000001</v>
      </c>
      <c r="AE669" s="5">
        <f>VLOOKUP(A669,[7]越南VN30指数历史数据!$A:$B,2,)</f>
        <v>1039.54</v>
      </c>
      <c r="AF669">
        <v>59279.98</v>
      </c>
      <c r="AG669" s="9">
        <v>12330.22</v>
      </c>
      <c r="AH669">
        <v>11724.44</v>
      </c>
      <c r="AI669">
        <v>1686.69</v>
      </c>
      <c r="AJ669">
        <v>1846.89</v>
      </c>
    </row>
    <row r="670" spans="1:36" x14ac:dyDescent="0.3">
      <c r="A670" s="2">
        <v>44843</v>
      </c>
      <c r="B670" s="3">
        <v>137290.73000000001</v>
      </c>
      <c r="C670" s="4">
        <v>112072</v>
      </c>
      <c r="D670" s="3">
        <v>6758.8</v>
      </c>
      <c r="E670" s="3">
        <v>29643.67</v>
      </c>
      <c r="F670" s="3">
        <v>18326.349999999999</v>
      </c>
      <c r="G670" s="3">
        <v>1682.4</v>
      </c>
      <c r="H670" s="3">
        <v>3583.07</v>
      </c>
      <c r="I670" s="3">
        <v>10321.39</v>
      </c>
      <c r="J670" s="3">
        <v>45443.35</v>
      </c>
      <c r="K670" s="3">
        <v>26672.49</v>
      </c>
      <c r="L670" s="3">
        <v>1397.23</v>
      </c>
      <c r="M670" s="3">
        <v>12437.81</v>
      </c>
      <c r="N670" s="6">
        <f>VLOOKUP(A670,'[1]俄罗斯交易系统市值加权指数历史数据 (1)'!$A:$B,2,)</f>
        <v>990.66</v>
      </c>
      <c r="O670" s="3">
        <v>5931.92</v>
      </c>
      <c r="P670" s="1">
        <v>630.58000000000004</v>
      </c>
      <c r="Q670" s="3">
        <v>10329.34</v>
      </c>
      <c r="R670" s="3">
        <v>3626.96</v>
      </c>
      <c r="S670" s="3">
        <v>7382.5</v>
      </c>
      <c r="T670" s="3">
        <v>6858.79</v>
      </c>
      <c r="U670" s="3">
        <v>3381.73</v>
      </c>
      <c r="V670" s="6">
        <f>VLOOKUP(A670,[2]韩国KOSPI指数历史数据!$A:$B,2,)</f>
        <v>2212.5500000000002</v>
      </c>
      <c r="W670" s="6">
        <f>VLOOKUP(A670,[3]日经225指数历史数据!$A:$B,2,)</f>
        <v>27090.76</v>
      </c>
      <c r="X670" s="3">
        <v>1872.68</v>
      </c>
      <c r="Y670" s="6">
        <f>VLOOKUP(A670,[4]上证指数历史数据!$A:$B,2,)</f>
        <v>3071.99</v>
      </c>
      <c r="Z670" s="6">
        <f>VLOOKUP(A670,[5]深证成份指数历史数据!$A:$B,2,)</f>
        <v>11121.71</v>
      </c>
      <c r="AA670" s="6">
        <f>VLOOKUP(A670,[6]台湾加权指数历史数据!$A:$B,2,)</f>
        <v>13128.12</v>
      </c>
      <c r="AB670" s="3">
        <v>16587.689999999999</v>
      </c>
      <c r="AC670" s="3">
        <v>3039.61</v>
      </c>
      <c r="AD670">
        <v>17185.7</v>
      </c>
      <c r="AE670" s="5">
        <f>VLOOKUP(A670,[7]越南VN30指数历史数据!$A:$B,2,)</f>
        <v>1061.3900000000001</v>
      </c>
      <c r="AF670">
        <v>57844.49</v>
      </c>
      <c r="AG670" s="9">
        <v>12115.38</v>
      </c>
      <c r="AH670">
        <v>11442.19</v>
      </c>
      <c r="AI670">
        <v>1697.69</v>
      </c>
      <c r="AJ670">
        <v>1833.8</v>
      </c>
    </row>
    <row r="671" spans="1:36" x14ac:dyDescent="0.3">
      <c r="A671" s="2">
        <v>44850</v>
      </c>
      <c r="B671" s="3">
        <v>138944.79999999999</v>
      </c>
      <c r="C671" s="4">
        <v>119929</v>
      </c>
      <c r="D671" s="3">
        <v>6676.8</v>
      </c>
      <c r="E671" s="3">
        <v>31083.02</v>
      </c>
      <c r="F671" s="3">
        <v>18860.95</v>
      </c>
      <c r="G671" s="3">
        <v>1742.24</v>
      </c>
      <c r="H671" s="3">
        <v>3752.75</v>
      </c>
      <c r="I671" s="3">
        <v>10859.72</v>
      </c>
      <c r="J671" s="3">
        <v>47120.08</v>
      </c>
      <c r="K671" s="3">
        <v>27977.11</v>
      </c>
      <c r="L671" s="3">
        <v>1411.62</v>
      </c>
      <c r="M671" s="3">
        <v>12730.9</v>
      </c>
      <c r="N671" s="6">
        <f>VLOOKUP(A671,'[1]俄罗斯交易系统市值加权指数历史数据 (1)'!$A:$B,2,)</f>
        <v>1050.57</v>
      </c>
      <c r="O671" s="3">
        <v>6035.39</v>
      </c>
      <c r="P671" s="1">
        <v>652.46</v>
      </c>
      <c r="Q671" s="3">
        <v>10418.6</v>
      </c>
      <c r="R671" s="3">
        <v>3934.63</v>
      </c>
      <c r="S671" s="3">
        <v>7545.6</v>
      </c>
      <c r="T671" s="3">
        <v>6969.73</v>
      </c>
      <c r="U671" s="3">
        <v>3476.63</v>
      </c>
      <c r="V671" s="6">
        <f>VLOOKUP(A671,[2]韩国KOSPI指数历史数据!$A:$B,2,)</f>
        <v>2213.12</v>
      </c>
      <c r="W671" s="6">
        <f>VLOOKUP(A671,[3]日经225指数历史数据!$A:$B,2,)</f>
        <v>26890.58</v>
      </c>
      <c r="X671" s="3">
        <v>1887.95</v>
      </c>
      <c r="Y671" s="6">
        <f>VLOOKUP(A671,[4]上证指数历史数据!$A:$B,2,)</f>
        <v>3038.93</v>
      </c>
      <c r="Z671" s="6">
        <f>VLOOKUP(A671,[5]深证成份指数历史数据!$A:$B,2,)</f>
        <v>10918.97</v>
      </c>
      <c r="AA671" s="6">
        <f>VLOOKUP(A671,[6]台湾加权指数历史数据!$A:$B,2,)</f>
        <v>12819.2</v>
      </c>
      <c r="AB671" s="3">
        <v>16211.12</v>
      </c>
      <c r="AC671" s="3">
        <v>2969.95</v>
      </c>
      <c r="AD671">
        <v>17576.3</v>
      </c>
      <c r="AE671" s="5">
        <f>VLOOKUP(A671,[7]越南VN30指数历史数据!$A:$B,2,)</f>
        <v>1010.57</v>
      </c>
      <c r="AF671">
        <v>59091.06</v>
      </c>
      <c r="AG671" s="9">
        <v>12624.45</v>
      </c>
      <c r="AH671">
        <v>10954.52</v>
      </c>
      <c r="AI671">
        <v>1601.22</v>
      </c>
      <c r="AJ671">
        <v>1878.81</v>
      </c>
    </row>
    <row r="672" spans="1:36" x14ac:dyDescent="0.3">
      <c r="A672" s="2">
        <v>44857</v>
      </c>
      <c r="B672" s="3">
        <v>147845.41</v>
      </c>
      <c r="C672" s="4">
        <v>114539</v>
      </c>
      <c r="D672" s="3">
        <v>6785.7</v>
      </c>
      <c r="E672" s="3">
        <v>32861.339999999997</v>
      </c>
      <c r="F672" s="3">
        <v>19471.189999999999</v>
      </c>
      <c r="G672" s="3">
        <v>1846.92</v>
      </c>
      <c r="H672" s="3">
        <v>3901.06</v>
      </c>
      <c r="I672" s="3">
        <v>11102.45</v>
      </c>
      <c r="J672" s="3">
        <v>49086.3</v>
      </c>
      <c r="K672" s="3">
        <v>28101.97</v>
      </c>
      <c r="L672" s="3">
        <v>1508.7</v>
      </c>
      <c r="M672" s="3">
        <v>13243.33</v>
      </c>
      <c r="N672" s="6">
        <f>VLOOKUP(A672,'[1]俄罗斯交易系统市值加权指数历史数据 (1)'!$A:$B,2,)</f>
        <v>1113.75</v>
      </c>
      <c r="O672" s="3">
        <v>6273.05</v>
      </c>
      <c r="P672" s="1">
        <v>667.52</v>
      </c>
      <c r="Q672" s="3">
        <v>10772.37</v>
      </c>
      <c r="R672" s="3">
        <v>3878.98</v>
      </c>
      <c r="S672" s="3">
        <v>7916.5</v>
      </c>
      <c r="T672" s="3">
        <v>7047.67</v>
      </c>
      <c r="U672" s="3">
        <v>3613.02</v>
      </c>
      <c r="V672" s="6">
        <f>VLOOKUP(A672,[2]韩国KOSPI指数历史数据!$A:$B,2,)</f>
        <v>2268.4</v>
      </c>
      <c r="W672" s="6">
        <f>VLOOKUP(A672,[3]日经225指数历史数据!$A:$B,2,)</f>
        <v>27105.200000000001</v>
      </c>
      <c r="X672" s="3">
        <v>1933.82</v>
      </c>
      <c r="Y672" s="6">
        <f>VLOOKUP(A672,[4]上证指数历史数据!$A:$B,2,)</f>
        <v>2915.93</v>
      </c>
      <c r="Z672" s="6">
        <f>VLOOKUP(A672,[5]深证成份指数历史数据!$A:$B,2,)</f>
        <v>10401.84</v>
      </c>
      <c r="AA672" s="6">
        <f>VLOOKUP(A672,[6]台湾加权指数历史数据!$A:$B,2,)</f>
        <v>12788.42</v>
      </c>
      <c r="AB672" s="3">
        <v>14863.06</v>
      </c>
      <c r="AC672" s="3">
        <v>3059.19</v>
      </c>
      <c r="AD672">
        <v>17786.8</v>
      </c>
      <c r="AE672" s="5">
        <f>VLOOKUP(A672,[7]越南VN30指数历史数据!$A:$B,2,)</f>
        <v>1029.49</v>
      </c>
      <c r="AF672">
        <v>59687.06</v>
      </c>
      <c r="AG672" s="9">
        <v>13400.24</v>
      </c>
      <c r="AH672">
        <v>10850.63</v>
      </c>
      <c r="AI672">
        <v>1582.29</v>
      </c>
      <c r="AJ672">
        <v>1880.23</v>
      </c>
    </row>
    <row r="673" spans="1:36" x14ac:dyDescent="0.3">
      <c r="A673" s="2">
        <v>44864</v>
      </c>
      <c r="B673" s="3">
        <v>151263.25</v>
      </c>
      <c r="C673" s="4">
        <v>118155</v>
      </c>
      <c r="D673" s="3">
        <v>6892.5</v>
      </c>
      <c r="E673" s="3">
        <v>32404.799999999999</v>
      </c>
      <c r="F673" s="3">
        <v>19449.810000000001</v>
      </c>
      <c r="G673" s="3">
        <v>1799.87</v>
      </c>
      <c r="H673" s="3">
        <v>3770.55</v>
      </c>
      <c r="I673" s="3">
        <v>10475.25</v>
      </c>
      <c r="J673" s="3">
        <v>51173.75</v>
      </c>
      <c r="K673" s="3">
        <v>28195.64</v>
      </c>
      <c r="L673" s="3">
        <v>1601.27</v>
      </c>
      <c r="M673" s="3">
        <v>13459.85</v>
      </c>
      <c r="N673" s="6">
        <f>VLOOKUP(A673,'[1]俄罗斯交易系统市值加权指数历史数据 (1)'!$A:$B,2,)</f>
        <v>1094.3</v>
      </c>
      <c r="O673" s="3">
        <v>6416.44</v>
      </c>
      <c r="P673" s="1">
        <v>671.88</v>
      </c>
      <c r="Q673" s="3">
        <v>10787.77</v>
      </c>
      <c r="R673" s="3">
        <v>4216.9799999999996</v>
      </c>
      <c r="S673" s="3">
        <v>7942.7</v>
      </c>
      <c r="T673" s="3">
        <v>7334.84</v>
      </c>
      <c r="U673" s="3">
        <v>3688.33</v>
      </c>
      <c r="V673" s="6">
        <f>VLOOKUP(A673,[2]韩国KOSPI指数历史数据!$A:$B,2,)</f>
        <v>2348.4299999999998</v>
      </c>
      <c r="W673" s="6">
        <f>VLOOKUP(A673,[3]日经225指数历史数据!$A:$B,2,)</f>
        <v>27199.74</v>
      </c>
      <c r="X673" s="3">
        <v>1914.47</v>
      </c>
      <c r="Y673" s="6">
        <f>VLOOKUP(A673,[4]上证指数历史数据!$A:$B,2,)</f>
        <v>3070.8</v>
      </c>
      <c r="Z673" s="6">
        <f>VLOOKUP(A673,[5]深证成份指数历史数据!$A:$B,2,)</f>
        <v>11187.43</v>
      </c>
      <c r="AA673" s="6">
        <f>VLOOKUP(A673,[6]台湾加权指数历史数据!$A:$B,2,)</f>
        <v>13026.71</v>
      </c>
      <c r="AB673" s="3">
        <v>16161.14</v>
      </c>
      <c r="AC673" s="3">
        <v>3130.11</v>
      </c>
      <c r="AD673">
        <v>18117.150000000001</v>
      </c>
      <c r="AE673" s="5">
        <f>VLOOKUP(A673,[7]越南VN30指数历史数据!$A:$B,2,)</f>
        <v>997.92</v>
      </c>
      <c r="AF673">
        <v>62769.279999999999</v>
      </c>
      <c r="AG673" s="9">
        <v>13665.01</v>
      </c>
      <c r="AH673">
        <v>10740.88</v>
      </c>
      <c r="AI673">
        <v>1600.44</v>
      </c>
      <c r="AJ673">
        <v>1859.54</v>
      </c>
    </row>
    <row r="674" spans="1:36" x14ac:dyDescent="0.3">
      <c r="A674" s="2">
        <v>44871</v>
      </c>
      <c r="B674" s="3">
        <v>150413.34</v>
      </c>
      <c r="C674" s="4">
        <v>112253</v>
      </c>
      <c r="D674" s="3">
        <v>7158</v>
      </c>
      <c r="E674" s="3">
        <v>33749.18</v>
      </c>
      <c r="F674" s="3">
        <v>20111.509999999998</v>
      </c>
      <c r="G674" s="3">
        <v>1882.74</v>
      </c>
      <c r="H674" s="3">
        <v>3992.93</v>
      </c>
      <c r="I674" s="3">
        <v>11323.33</v>
      </c>
      <c r="J674" s="3">
        <v>51959.199999999997</v>
      </c>
      <c r="K674" s="3">
        <v>29273.19</v>
      </c>
      <c r="L674" s="3">
        <v>1690.38</v>
      </c>
      <c r="M674" s="3">
        <v>14224.86</v>
      </c>
      <c r="N674" s="6">
        <f>VLOOKUP(A674,'[1]俄罗斯交易系统市值加权指数历史数据 (1)'!$A:$B,2,)</f>
        <v>1158.24</v>
      </c>
      <c r="O674" s="3">
        <v>6594.62</v>
      </c>
      <c r="P674" s="1">
        <v>702.91</v>
      </c>
      <c r="Q674" s="3">
        <v>11127.15</v>
      </c>
      <c r="R674" s="3">
        <v>4455.53</v>
      </c>
      <c r="S674" s="3">
        <v>8098.1</v>
      </c>
      <c r="T674" s="3">
        <v>7318.04</v>
      </c>
      <c r="U674" s="3">
        <v>3868.5</v>
      </c>
      <c r="V674" s="6">
        <f>VLOOKUP(A674,[2]韩国KOSPI指数历史数据!$A:$B,2,)</f>
        <v>2483.16</v>
      </c>
      <c r="W674" s="6">
        <f>VLOOKUP(A674,[3]日经225指数历史数据!$A:$B,2,)</f>
        <v>28263.57</v>
      </c>
      <c r="X674" s="3">
        <v>1981.04</v>
      </c>
      <c r="Y674" s="6">
        <f>VLOOKUP(A674,[4]上证指数历史数据!$A:$B,2,)</f>
        <v>3087.29</v>
      </c>
      <c r="Z674" s="6">
        <f>VLOOKUP(A674,[5]深证成份指数历史数据!$A:$B,2,)</f>
        <v>11139.77</v>
      </c>
      <c r="AA674" s="6">
        <f>VLOOKUP(A674,[6]台湾加权指数历史数据!$A:$B,2,)</f>
        <v>14007.56</v>
      </c>
      <c r="AB674" s="3">
        <v>17325.66</v>
      </c>
      <c r="AC674" s="3">
        <v>3228.33</v>
      </c>
      <c r="AD674">
        <v>18349.7</v>
      </c>
      <c r="AE674" s="5">
        <f>VLOOKUP(A674,[7]越南VN30指数历史数据!$A:$B,2,)</f>
        <v>948.86</v>
      </c>
      <c r="AF674">
        <v>66453.08</v>
      </c>
      <c r="AG674" s="9">
        <v>14181.02</v>
      </c>
      <c r="AH674">
        <v>10355.27</v>
      </c>
      <c r="AI674">
        <v>1587.3</v>
      </c>
      <c r="AJ674">
        <v>1848.26</v>
      </c>
    </row>
    <row r="675" spans="1:36" x14ac:dyDescent="0.3">
      <c r="A675" s="2">
        <v>44878</v>
      </c>
      <c r="B675" s="3">
        <v>157253.59</v>
      </c>
      <c r="C675" s="4">
        <v>108870</v>
      </c>
      <c r="D675" s="3">
        <v>7151.8</v>
      </c>
      <c r="E675" s="3">
        <v>33747.14</v>
      </c>
      <c r="F675" s="3">
        <v>19980.91</v>
      </c>
      <c r="G675" s="3">
        <v>1849.73</v>
      </c>
      <c r="H675" s="3">
        <v>3965.34</v>
      </c>
      <c r="I675" s="3">
        <v>11146.06</v>
      </c>
      <c r="J675" s="3">
        <v>51569.72</v>
      </c>
      <c r="K675" s="3">
        <v>27866.02</v>
      </c>
      <c r="L675" s="3">
        <v>1707.23</v>
      </c>
      <c r="M675" s="3">
        <v>14431.86</v>
      </c>
      <c r="N675" s="6">
        <f>VLOOKUP(A675,'[1]俄罗斯交易系统市值加权指数历史数据 (1)'!$A:$B,2,)</f>
        <v>1147.03</v>
      </c>
      <c r="O675" s="3">
        <v>6644.46</v>
      </c>
      <c r="P675" s="1">
        <v>712.55</v>
      </c>
      <c r="Q675" s="3">
        <v>11045.49</v>
      </c>
      <c r="R675" s="3">
        <v>4526.7299999999996</v>
      </c>
      <c r="S675" s="3">
        <v>8127.8</v>
      </c>
      <c r="T675" s="3">
        <v>7385.52</v>
      </c>
      <c r="U675" s="3">
        <v>3924.84</v>
      </c>
      <c r="V675" s="6">
        <f>VLOOKUP(A675,[2]韩国KOSPI指数历史数据!$A:$B,2,)</f>
        <v>2444.48</v>
      </c>
      <c r="W675" s="6">
        <f>VLOOKUP(A675,[3]日经225指数历史数据!$A:$B,2,)</f>
        <v>27899.77</v>
      </c>
      <c r="X675" s="3">
        <v>1885.09</v>
      </c>
      <c r="Y675" s="6">
        <f>VLOOKUP(A675,[4]上证指数历史数据!$A:$B,2,)</f>
        <v>3097.24</v>
      </c>
      <c r="Z675" s="6">
        <f>VLOOKUP(A675,[5]深证成份指数历史数据!$A:$B,2,)</f>
        <v>11180.43</v>
      </c>
      <c r="AA675" s="6">
        <f>VLOOKUP(A675,[6]台湾加权指数历史数据!$A:$B,2,)</f>
        <v>14504.99</v>
      </c>
      <c r="AB675" s="3">
        <v>17992.54</v>
      </c>
      <c r="AC675" s="3">
        <v>3272.23</v>
      </c>
      <c r="AD675">
        <v>18307.650000000001</v>
      </c>
      <c r="AE675" s="5">
        <f>VLOOKUP(A675,[7]越南VN30指数历史数据!$A:$B,2,)</f>
        <v>971.2</v>
      </c>
      <c r="AF675">
        <v>66227.03</v>
      </c>
      <c r="AG675" s="9">
        <v>15047.9</v>
      </c>
      <c r="AH675">
        <v>10821.89</v>
      </c>
      <c r="AI675">
        <v>1608.33</v>
      </c>
      <c r="AJ675">
        <v>1870.06</v>
      </c>
    </row>
    <row r="676" spans="1:36" x14ac:dyDescent="0.3">
      <c r="A676" s="2">
        <v>44885</v>
      </c>
      <c r="B676" s="3">
        <v>163716.94</v>
      </c>
      <c r="C676" s="4">
        <v>108977</v>
      </c>
      <c r="D676" s="3">
        <v>7259.5</v>
      </c>
      <c r="E676" s="3">
        <v>34346.83</v>
      </c>
      <c r="F676" s="3">
        <v>20383.77</v>
      </c>
      <c r="G676" s="3">
        <v>1869.19</v>
      </c>
      <c r="H676" s="3">
        <v>4026.12</v>
      </c>
      <c r="I676" s="3">
        <v>11226.36</v>
      </c>
      <c r="J676" s="3">
        <v>51668.639999999999</v>
      </c>
      <c r="K676" s="3">
        <v>28144.53</v>
      </c>
      <c r="L676" s="3">
        <v>1755.69</v>
      </c>
      <c r="M676" s="3">
        <v>14541.38</v>
      </c>
      <c r="N676" s="6">
        <f>VLOOKUP(A676,'[1]俄罗斯交易系统市值加权指数历史数据 (1)'!$A:$B,2,)</f>
        <v>1141.07</v>
      </c>
      <c r="O676" s="3">
        <v>6712.48</v>
      </c>
      <c r="P676" s="1">
        <v>722.93</v>
      </c>
      <c r="Q676" s="3">
        <v>11168.03</v>
      </c>
      <c r="R676" s="3">
        <v>4874.34</v>
      </c>
      <c r="S676" s="3">
        <v>8416.6</v>
      </c>
      <c r="T676" s="3">
        <v>7486.67</v>
      </c>
      <c r="U676" s="3">
        <v>3962.41</v>
      </c>
      <c r="V676" s="6">
        <f>VLOOKUP(A676,[2]韩国KOSPI指数历史数据!$A:$B,2,)</f>
        <v>2437.86</v>
      </c>
      <c r="W676" s="6">
        <f>VLOOKUP(A676,[3]日经225指数历史数据!$A:$B,2,)</f>
        <v>28283.03</v>
      </c>
      <c r="X676" s="3">
        <v>1879.21</v>
      </c>
      <c r="Y676" s="6">
        <f>VLOOKUP(A676,[4]上证指数历史数据!$A:$B,2,)</f>
        <v>3101.69</v>
      </c>
      <c r="Z676" s="6">
        <f>VLOOKUP(A676,[5]深证成份指数历史数据!$A:$B,2,)</f>
        <v>10904.27</v>
      </c>
      <c r="AA676" s="6">
        <f>VLOOKUP(A676,[6]台湾加权指数历史数据!$A:$B,2,)</f>
        <v>14778.51</v>
      </c>
      <c r="AB676" s="3">
        <v>17573.580000000002</v>
      </c>
      <c r="AC676" s="3">
        <v>3244.55</v>
      </c>
      <c r="AD676">
        <v>18512.75</v>
      </c>
      <c r="AE676" s="5">
        <f>VLOOKUP(A676,[7]越南VN30指数历史数据!$A:$B,2,)</f>
        <v>967.49</v>
      </c>
      <c r="AF676">
        <v>66753.48</v>
      </c>
      <c r="AG676" s="9">
        <v>15387.87</v>
      </c>
      <c r="AH676">
        <v>10835.23</v>
      </c>
      <c r="AI676">
        <v>1714.39</v>
      </c>
      <c r="AJ676">
        <v>1869.14</v>
      </c>
    </row>
    <row r="677" spans="1:36" x14ac:dyDescent="0.3">
      <c r="A677" s="2">
        <v>44892</v>
      </c>
      <c r="B677" s="3">
        <v>169691.73</v>
      </c>
      <c r="C677" s="4">
        <v>111924</v>
      </c>
      <c r="D677" s="3">
        <v>7301.5</v>
      </c>
      <c r="E677" s="3">
        <v>34428.949999999997</v>
      </c>
      <c r="F677" s="3">
        <v>20485.66</v>
      </c>
      <c r="G677" s="3">
        <v>1892.84</v>
      </c>
      <c r="H677" s="3">
        <v>4071.7</v>
      </c>
      <c r="I677" s="3">
        <v>11461.5</v>
      </c>
      <c r="J677" s="3">
        <v>51234.37</v>
      </c>
      <c r="K677" s="3">
        <v>28411.68</v>
      </c>
      <c r="L677" s="3">
        <v>1733.46</v>
      </c>
      <c r="M677" s="3">
        <v>14529.39</v>
      </c>
      <c r="N677" s="6">
        <f>VLOOKUP(A677,'[1]俄罗斯交易系统市值加权指数历史数据 (1)'!$A:$B,2,)</f>
        <v>1107.55</v>
      </c>
      <c r="O677" s="3">
        <v>6742.25</v>
      </c>
      <c r="P677" s="1">
        <v>731.04</v>
      </c>
      <c r="Q677" s="3">
        <v>11198.13</v>
      </c>
      <c r="R677" s="3">
        <v>4962.97</v>
      </c>
      <c r="S677" s="3">
        <v>8382.6</v>
      </c>
      <c r="T677" s="3">
        <v>7556.23</v>
      </c>
      <c r="U677" s="3">
        <v>3977.9</v>
      </c>
      <c r="V677" s="6">
        <f>VLOOKUP(A677,[2]韩国KOSPI指数历史数据!$A:$B,2,)</f>
        <v>2434.33</v>
      </c>
      <c r="W677" s="6">
        <f>VLOOKUP(A677,[3]日经225指数历史数据!$A:$B,2,)</f>
        <v>27777.9</v>
      </c>
      <c r="X677" s="3">
        <v>1874.88</v>
      </c>
      <c r="Y677" s="6">
        <f>VLOOKUP(A677,[4]上证指数历史数据!$A:$B,2,)</f>
        <v>3156.14</v>
      </c>
      <c r="Z677" s="6">
        <f>VLOOKUP(A677,[5]深证成份指数历史数据!$A:$B,2,)</f>
        <v>11219.79</v>
      </c>
      <c r="AA677" s="6">
        <f>VLOOKUP(A677,[6]台湾加权指数历史数据!$A:$B,2,)</f>
        <v>14970.68</v>
      </c>
      <c r="AB677" s="3">
        <v>18675.349999999999</v>
      </c>
      <c r="AC677" s="3">
        <v>3259.14</v>
      </c>
      <c r="AD677">
        <v>18696.099999999999</v>
      </c>
      <c r="AE677" s="5">
        <f>VLOOKUP(A677,[7]越南VN30指数历史数据!$A:$B,2,)</f>
        <v>1092.99</v>
      </c>
      <c r="AF677">
        <v>68237.460000000006</v>
      </c>
      <c r="AG677" s="9">
        <v>16340.98</v>
      </c>
      <c r="AH677">
        <v>11028.15</v>
      </c>
      <c r="AI677">
        <v>1736.3</v>
      </c>
      <c r="AJ677">
        <v>1872.22</v>
      </c>
    </row>
    <row r="678" spans="1:36" x14ac:dyDescent="0.3">
      <c r="A678" s="2">
        <v>44899</v>
      </c>
      <c r="B678" s="3">
        <v>171177.89</v>
      </c>
      <c r="C678" s="4">
        <v>107520</v>
      </c>
      <c r="D678" s="3">
        <v>7213.2</v>
      </c>
      <c r="E678" s="3">
        <v>33475.599999999999</v>
      </c>
      <c r="F678" s="3">
        <v>19947.07</v>
      </c>
      <c r="G678" s="3">
        <v>1796.66</v>
      </c>
      <c r="H678" s="3">
        <v>3934.38</v>
      </c>
      <c r="I678" s="3">
        <v>11004.62</v>
      </c>
      <c r="J678" s="3">
        <v>50466.25</v>
      </c>
      <c r="K678" s="3">
        <v>27701.24</v>
      </c>
      <c r="L678" s="3">
        <v>1730.16</v>
      </c>
      <c r="M678" s="3">
        <v>14370.72</v>
      </c>
      <c r="N678" s="6">
        <f>VLOOKUP(A678,'[1]俄罗斯交易系统市值加权指数历史数据 (1)'!$A:$B,2,)</f>
        <v>1099.1199999999999</v>
      </c>
      <c r="O678" s="3">
        <v>6677.64</v>
      </c>
      <c r="P678" s="1">
        <v>724.17</v>
      </c>
      <c r="Q678" s="3">
        <v>11068.3</v>
      </c>
      <c r="R678" s="3">
        <v>5005.3</v>
      </c>
      <c r="S678" s="3">
        <v>8289.2000000000007</v>
      </c>
      <c r="T678" s="3">
        <v>7476.63</v>
      </c>
      <c r="U678" s="3">
        <v>3942.62</v>
      </c>
      <c r="V678" s="6">
        <f>VLOOKUP(A678,[2]韩国KOSPI指数历史数据!$A:$B,2,)</f>
        <v>2389.04</v>
      </c>
      <c r="W678" s="6">
        <f>VLOOKUP(A678,[3]日经225指数历史数据!$A:$B,2,)</f>
        <v>27901.01</v>
      </c>
      <c r="X678" s="3">
        <v>1847.23</v>
      </c>
      <c r="Y678" s="6">
        <f>VLOOKUP(A678,[4]上证指数历史数据!$A:$B,2,)</f>
        <v>3206.95</v>
      </c>
      <c r="Z678" s="6">
        <f>VLOOKUP(A678,[5]深证成份指数历史数据!$A:$B,2,)</f>
        <v>11501.58</v>
      </c>
      <c r="AA678" s="6">
        <f>VLOOKUP(A678,[6]台湾加权指数历史数据!$A:$B,2,)</f>
        <v>14705.43</v>
      </c>
      <c r="AB678" s="3">
        <v>19900.87</v>
      </c>
      <c r="AC678" s="3">
        <v>3245.97</v>
      </c>
      <c r="AD678">
        <v>18496.599999999999</v>
      </c>
      <c r="AE678" s="5">
        <f>VLOOKUP(A678,[7]越南VN30指数历史数据!$A:$B,2,)</f>
        <v>1065.08</v>
      </c>
      <c r="AF678">
        <v>68350.460000000006</v>
      </c>
      <c r="AG678" s="9">
        <v>17713.98</v>
      </c>
      <c r="AH678">
        <v>11257.38</v>
      </c>
      <c r="AI678">
        <v>1768.53</v>
      </c>
      <c r="AJ678">
        <v>1868.58</v>
      </c>
    </row>
    <row r="679" spans="1:36" x14ac:dyDescent="0.3">
      <c r="A679" s="2">
        <v>44906</v>
      </c>
      <c r="B679" s="3">
        <v>165109.56</v>
      </c>
      <c r="C679" s="4">
        <v>102856</v>
      </c>
      <c r="D679" s="3">
        <v>7148.7</v>
      </c>
      <c r="E679" s="3">
        <v>32920</v>
      </c>
      <c r="F679" s="3">
        <v>19443.28</v>
      </c>
      <c r="G679" s="3">
        <v>1763.42</v>
      </c>
      <c r="H679" s="3">
        <v>3852.36</v>
      </c>
      <c r="I679" s="3">
        <v>10705.41</v>
      </c>
      <c r="J679" s="3">
        <v>49630.15</v>
      </c>
      <c r="K679" s="3">
        <v>27371.07</v>
      </c>
      <c r="L679" s="3">
        <v>1741.3</v>
      </c>
      <c r="M679" s="3">
        <v>13893.07</v>
      </c>
      <c r="N679" s="6">
        <f>VLOOKUP(A679,'[1]俄罗斯交易系统市值加权指数历史数据 (1)'!$A:$B,2,)</f>
        <v>1038.6300000000001</v>
      </c>
      <c r="O679" s="3">
        <v>6452.63</v>
      </c>
      <c r="P679" s="1">
        <v>700</v>
      </c>
      <c r="Q679" s="3">
        <v>10770.38</v>
      </c>
      <c r="R679" s="3">
        <v>5214.29</v>
      </c>
      <c r="S679" s="3">
        <v>8112.5</v>
      </c>
      <c r="T679" s="3">
        <v>7332.12</v>
      </c>
      <c r="U679" s="3">
        <v>3804.02</v>
      </c>
      <c r="V679" s="6">
        <f>VLOOKUP(A679,[2]韩国KOSPI指数历史数据!$A:$B,2,)</f>
        <v>2360.02</v>
      </c>
      <c r="W679" s="6">
        <f>VLOOKUP(A679,[3]日经225指数历史数据!$A:$B,2,)</f>
        <v>27527.119999999999</v>
      </c>
      <c r="X679" s="3">
        <v>1820.54</v>
      </c>
      <c r="Y679" s="6">
        <f>VLOOKUP(A679,[4]上证指数历史数据!$A:$B,2,)</f>
        <v>3167.86</v>
      </c>
      <c r="Z679" s="6">
        <f>VLOOKUP(A679,[5]深证成份指数历史数据!$A:$B,2,)</f>
        <v>11295.03</v>
      </c>
      <c r="AA679" s="6">
        <f>VLOOKUP(A679,[6]台湾加权指数历史数据!$A:$B,2,)</f>
        <v>14528.55</v>
      </c>
      <c r="AB679" s="3">
        <v>19450.669999999998</v>
      </c>
      <c r="AC679" s="3">
        <v>3240.81</v>
      </c>
      <c r="AD679">
        <v>18269</v>
      </c>
      <c r="AE679" s="5">
        <f>VLOOKUP(A679,[7]越南VN30指数历史数据!$A:$B,2,)</f>
        <v>1064.07</v>
      </c>
      <c r="AF679">
        <v>66897.11</v>
      </c>
      <c r="AG679" s="9">
        <v>18178.099999999999</v>
      </c>
      <c r="AH679">
        <v>11049.64</v>
      </c>
      <c r="AI679">
        <v>1785.7</v>
      </c>
      <c r="AJ679">
        <v>1863.94</v>
      </c>
    </row>
    <row r="680" spans="1:36" x14ac:dyDescent="0.3">
      <c r="A680" s="2">
        <v>44913</v>
      </c>
      <c r="B680" s="3">
        <v>187784.05</v>
      </c>
      <c r="C680" s="4">
        <v>109698</v>
      </c>
      <c r="D680" s="3">
        <v>7107.7</v>
      </c>
      <c r="E680" s="3">
        <v>33204.26</v>
      </c>
      <c r="F680" s="3">
        <v>19506.650000000001</v>
      </c>
      <c r="G680" s="3">
        <v>1760.93</v>
      </c>
      <c r="H680" s="3">
        <v>3844.82</v>
      </c>
      <c r="I680" s="3">
        <v>10497.86</v>
      </c>
      <c r="J680" s="3">
        <v>50578.09</v>
      </c>
      <c r="K680" s="3">
        <v>27767.8</v>
      </c>
      <c r="L680" s="3">
        <v>1780.27</v>
      </c>
      <c r="M680" s="3">
        <v>13940.93</v>
      </c>
      <c r="N680" s="6">
        <f>VLOOKUP(A680,'[1]俄罗斯交易系统市值加权指数历史数据 (1)'!$A:$B,2,)</f>
        <v>963.51</v>
      </c>
      <c r="O680" s="3">
        <v>6504.9</v>
      </c>
      <c r="P680" s="1">
        <v>701.06</v>
      </c>
      <c r="Q680" s="3">
        <v>10804.68</v>
      </c>
      <c r="R680" s="3">
        <v>5454.79</v>
      </c>
      <c r="S680" s="3">
        <v>8269.1</v>
      </c>
      <c r="T680" s="3">
        <v>7473.01</v>
      </c>
      <c r="U680" s="3">
        <v>3817.01</v>
      </c>
      <c r="V680" s="6">
        <f>VLOOKUP(A680,[2]韩国KOSPI指数历史数据!$A:$B,2,)</f>
        <v>2313.69</v>
      </c>
      <c r="W680" s="6">
        <f>VLOOKUP(A680,[3]日经225指数历史数据!$A:$B,2,)</f>
        <v>26235.25</v>
      </c>
      <c r="X680" s="3">
        <v>1785.96</v>
      </c>
      <c r="Y680" s="6">
        <f>VLOOKUP(A680,[4]上证指数历史数据!$A:$B,2,)</f>
        <v>3045.87</v>
      </c>
      <c r="Z680" s="6">
        <f>VLOOKUP(A680,[5]深证成份指数历史数据!$A:$B,2,)</f>
        <v>10849.64</v>
      </c>
      <c r="AA680" s="6">
        <f>VLOOKUP(A680,[6]台湾加权指数历史数据!$A:$B,2,)</f>
        <v>14271.63</v>
      </c>
      <c r="AB680" s="3">
        <v>19593.060000000001</v>
      </c>
      <c r="AC680" s="3">
        <v>3257.7</v>
      </c>
      <c r="AD680">
        <v>17806.8</v>
      </c>
      <c r="AE680" s="5">
        <f>VLOOKUP(A680,[7]越南VN30指数历史数据!$A:$B,2,)</f>
        <v>1034.1300000000001</v>
      </c>
      <c r="AF680">
        <v>67323.759999999995</v>
      </c>
      <c r="AG680" s="9">
        <v>17513.07</v>
      </c>
      <c r="AH680">
        <v>10955.07</v>
      </c>
      <c r="AI680">
        <v>1796.77</v>
      </c>
      <c r="AJ680">
        <v>1874.06</v>
      </c>
    </row>
    <row r="681" spans="1:36" x14ac:dyDescent="0.3">
      <c r="A681" s="2">
        <v>44920</v>
      </c>
      <c r="B681" s="3">
        <v>202085.13</v>
      </c>
      <c r="C681" s="4">
        <v>109735</v>
      </c>
      <c r="D681" s="3">
        <v>7038.7</v>
      </c>
      <c r="E681" s="3">
        <v>33147.279999999999</v>
      </c>
      <c r="F681" s="3">
        <v>19384.919999999998</v>
      </c>
      <c r="G681" s="3">
        <v>1761.25</v>
      </c>
      <c r="H681" s="3">
        <v>3839.5</v>
      </c>
      <c r="I681" s="3">
        <v>10466.48</v>
      </c>
      <c r="J681" s="3">
        <v>48463.86</v>
      </c>
      <c r="K681" s="3">
        <v>27612.62</v>
      </c>
      <c r="L681" s="3">
        <v>1792.01</v>
      </c>
      <c r="M681" s="3">
        <v>13923.59</v>
      </c>
      <c r="N681" s="6">
        <f>VLOOKUP(A681,'[1]俄罗斯交易系统市值加权指数历史数据 (1)'!$A:$B,2,)</f>
        <v>970.6</v>
      </c>
      <c r="O681" s="3">
        <v>6473.76</v>
      </c>
      <c r="P681" s="1">
        <v>689.01</v>
      </c>
      <c r="Q681" s="3">
        <v>10729.4</v>
      </c>
      <c r="R681" s="3">
        <v>5509.16</v>
      </c>
      <c r="S681" s="3">
        <v>8229.1</v>
      </c>
      <c r="T681" s="3">
        <v>7451.74</v>
      </c>
      <c r="U681" s="3">
        <v>3793.62</v>
      </c>
      <c r="V681" s="6">
        <f>VLOOKUP(A681,[2]韩国KOSPI指数历史数据!$A:$B,2,)</f>
        <v>2236.4</v>
      </c>
      <c r="W681" s="6">
        <f>VLOOKUP(A681,[3]日经225指数历史数据!$A:$B,2,)</f>
        <v>26094.5</v>
      </c>
      <c r="X681" s="3">
        <v>1796.92</v>
      </c>
      <c r="Y681" s="6">
        <f>VLOOKUP(A681,[4]上证指数历史数据!$A:$B,2,)</f>
        <v>3089.26</v>
      </c>
      <c r="Z681" s="6">
        <f>VLOOKUP(A681,[5]深证成份指数历史数据!$A:$B,2,)</f>
        <v>11015.99</v>
      </c>
      <c r="AA681" s="6">
        <f>VLOOKUP(A681,[6]台湾加权指数历史数据!$A:$B,2,)</f>
        <v>14137.69</v>
      </c>
      <c r="AB681" s="3">
        <v>19781.41</v>
      </c>
      <c r="AC681" s="3">
        <v>3251.32</v>
      </c>
      <c r="AD681">
        <v>18105.3</v>
      </c>
      <c r="AE681" s="5">
        <f>VLOOKUP(A681,[7]越南VN30指数历史数据!$A:$B,2,)</f>
        <v>1005.19</v>
      </c>
      <c r="AF681">
        <v>66955.47</v>
      </c>
      <c r="AG681" s="9">
        <v>17723.52</v>
      </c>
      <c r="AH681">
        <v>10720.25</v>
      </c>
      <c r="AI681">
        <v>1842.5</v>
      </c>
      <c r="AJ681">
        <v>1881.99</v>
      </c>
    </row>
    <row r="682" spans="1:36" x14ac:dyDescent="0.3">
      <c r="A682" s="2">
        <v>44927</v>
      </c>
      <c r="B682" s="3">
        <v>213794.25</v>
      </c>
      <c r="C682" s="4">
        <v>108964</v>
      </c>
      <c r="D682" s="3">
        <v>7109.6</v>
      </c>
      <c r="E682" s="3">
        <v>33629.79</v>
      </c>
      <c r="F682" s="3">
        <v>19814.509999999998</v>
      </c>
      <c r="G682" s="3">
        <v>1792.8</v>
      </c>
      <c r="H682" s="3">
        <v>3895.08</v>
      </c>
      <c r="I682" s="3">
        <v>10569.29</v>
      </c>
      <c r="J682" s="3">
        <v>51730.5</v>
      </c>
      <c r="K682" s="3">
        <v>27016.71</v>
      </c>
      <c r="L682" s="3">
        <v>1856.05</v>
      </c>
      <c r="M682" s="3">
        <v>14610.02</v>
      </c>
      <c r="N682" s="6">
        <f>VLOOKUP(A682,'[1]俄罗斯交易系统市值加权指数历史数据 (1)'!$A:$B,2,)</f>
        <v>942.73</v>
      </c>
      <c r="O682" s="3">
        <v>6860.95</v>
      </c>
      <c r="P682" s="1">
        <v>724.26</v>
      </c>
      <c r="Q682" s="3">
        <v>11144.54</v>
      </c>
      <c r="R682" s="3">
        <v>5341.96</v>
      </c>
      <c r="S682" s="3">
        <v>8701.1</v>
      </c>
      <c r="T682" s="3">
        <v>7699.49</v>
      </c>
      <c r="U682" s="3">
        <v>4017.83</v>
      </c>
      <c r="V682" s="6">
        <f>VLOOKUP(A682,[2]韩国KOSPI指数历史数据!$A:$B,2,)</f>
        <v>2289.9699999999998</v>
      </c>
      <c r="W682" s="6">
        <f>VLOOKUP(A682,[3]日经225指数历史数据!$A:$B,2,)</f>
        <v>25973.85</v>
      </c>
      <c r="X682" s="3">
        <v>1790.04</v>
      </c>
      <c r="Y682" s="6">
        <f>VLOOKUP(A682,[4]上证指数历史数据!$A:$B,2,)</f>
        <v>3157.64</v>
      </c>
      <c r="Z682" s="6">
        <f>VLOOKUP(A682,[5]深证成份指数历史数据!$A:$B,2,)</f>
        <v>11367.73</v>
      </c>
      <c r="AA682" s="6">
        <f>VLOOKUP(A682,[6]台湾加权指数历史数据!$A:$B,2,)</f>
        <v>14373.34</v>
      </c>
      <c r="AB682" s="3">
        <v>20991.64</v>
      </c>
      <c r="AC682" s="3">
        <v>3276.72</v>
      </c>
      <c r="AD682">
        <v>17859.45</v>
      </c>
      <c r="AE682" s="5">
        <f>VLOOKUP(A682,[7]越南VN30指数历史数据!$A:$B,2,)</f>
        <v>1057.4000000000001</v>
      </c>
      <c r="AF682">
        <v>70810.320000000007</v>
      </c>
      <c r="AG682" s="9">
        <v>19416.759999999998</v>
      </c>
      <c r="AH682">
        <v>9717.99</v>
      </c>
      <c r="AI682">
        <v>1844.44</v>
      </c>
      <c r="AJ682">
        <v>1903.58</v>
      </c>
    </row>
    <row r="683" spans="1:36" x14ac:dyDescent="0.3">
      <c r="A683" s="2">
        <v>44934</v>
      </c>
      <c r="B683" s="3">
        <v>242154.5</v>
      </c>
      <c r="C683" s="4">
        <v>110916</v>
      </c>
      <c r="D683" s="3">
        <v>7328.1</v>
      </c>
      <c r="E683" s="3">
        <v>34302.81</v>
      </c>
      <c r="F683" s="3">
        <v>20360.099999999999</v>
      </c>
      <c r="G683" s="3">
        <v>1887.03</v>
      </c>
      <c r="H683" s="3">
        <v>3999.09</v>
      </c>
      <c r="I683" s="3">
        <v>11079.16</v>
      </c>
      <c r="J683" s="3">
        <v>53576.72</v>
      </c>
      <c r="K683" s="3">
        <v>27131.55</v>
      </c>
      <c r="L683" s="3">
        <v>1923.44</v>
      </c>
      <c r="M683" s="3">
        <v>15086.52</v>
      </c>
      <c r="N683" s="6">
        <f>VLOOKUP(A683,'[1]俄罗斯交易系统市值加权指数历史数据 (1)'!$A:$B,2,)</f>
        <v>1010.4</v>
      </c>
      <c r="O683" s="3">
        <v>7023.5</v>
      </c>
      <c r="P683" s="1">
        <v>748.04</v>
      </c>
      <c r="Q683" s="3">
        <v>11290.79</v>
      </c>
      <c r="R683" s="3">
        <v>4984.8599999999997</v>
      </c>
      <c r="S683" s="3">
        <v>8881.7000000000007</v>
      </c>
      <c r="T683" s="3">
        <v>7844.07</v>
      </c>
      <c r="U683" s="3">
        <v>4150.8</v>
      </c>
      <c r="V683" s="6">
        <f>VLOOKUP(A683,[2]韩国KOSPI指数历史数据!$A:$B,2,)</f>
        <v>2386.09</v>
      </c>
      <c r="W683" s="6">
        <f>VLOOKUP(A683,[3]日经225指数历史数据!$A:$B,2,)</f>
        <v>26119.52</v>
      </c>
      <c r="X683" s="3">
        <v>1820.38</v>
      </c>
      <c r="Y683" s="6">
        <f>VLOOKUP(A683,[4]上证指数历史数据!$A:$B,2,)</f>
        <v>3195.31</v>
      </c>
      <c r="Z683" s="6">
        <f>VLOOKUP(A683,[5]深证成份指数历史数据!$A:$B,2,)</f>
        <v>11602.3</v>
      </c>
      <c r="AA683" s="6">
        <f>VLOOKUP(A683,[6]台湾加权指数历史数据!$A:$B,2,)</f>
        <v>14824.13</v>
      </c>
      <c r="AB683" s="3">
        <v>21738.66</v>
      </c>
      <c r="AC683" s="3">
        <v>3293.75</v>
      </c>
      <c r="AD683">
        <v>17956.599999999999</v>
      </c>
      <c r="AE683" s="5">
        <f>VLOOKUP(A683,[7]越南VN30指数历史数据!$A:$B,2,)</f>
        <v>1069.8599999999999</v>
      </c>
      <c r="AF683">
        <v>73193.279999999999</v>
      </c>
      <c r="AG683" s="9">
        <v>19086.919999999998</v>
      </c>
      <c r="AH683">
        <v>10324.620000000001</v>
      </c>
      <c r="AI683">
        <v>1895.52</v>
      </c>
      <c r="AJ683">
        <v>1894.31</v>
      </c>
    </row>
    <row r="684" spans="1:36" x14ac:dyDescent="0.3">
      <c r="A684" s="2">
        <v>44941</v>
      </c>
      <c r="B684" s="3">
        <v>247679.98</v>
      </c>
      <c r="C684" s="4">
        <v>112041</v>
      </c>
      <c r="D684" s="3">
        <v>7452.2</v>
      </c>
      <c r="E684" s="3">
        <v>33374.370000000003</v>
      </c>
      <c r="F684" s="3">
        <v>20503.21</v>
      </c>
      <c r="G684" s="3">
        <v>1867.34</v>
      </c>
      <c r="H684" s="3">
        <v>3972.61</v>
      </c>
      <c r="I684" s="3">
        <v>11140.43</v>
      </c>
      <c r="J684" s="3">
        <v>53947.040000000001</v>
      </c>
      <c r="K684" s="3">
        <v>27560.89</v>
      </c>
      <c r="L684" s="3">
        <v>1892.32</v>
      </c>
      <c r="M684" s="3">
        <v>15033.56</v>
      </c>
      <c r="N684" s="6">
        <f>VLOOKUP(A684,'[1]俄罗斯交易系统市值加权指数历史数据 (1)'!$A:$B,2,)</f>
        <v>991.88</v>
      </c>
      <c r="O684" s="3">
        <v>6995.99</v>
      </c>
      <c r="P684" s="1">
        <v>738.64</v>
      </c>
      <c r="Q684" s="3">
        <v>11295.02</v>
      </c>
      <c r="R684" s="3">
        <v>5490.34</v>
      </c>
      <c r="S684" s="3">
        <v>8918.2000000000007</v>
      </c>
      <c r="T684" s="3">
        <v>7770.59</v>
      </c>
      <c r="U684" s="3">
        <v>4119.8999999999996</v>
      </c>
      <c r="V684" s="6">
        <f>VLOOKUP(A684,[2]韩国KOSPI指数历史数据!$A:$B,2,)</f>
        <v>2395.2600000000002</v>
      </c>
      <c r="W684" s="6">
        <f>VLOOKUP(A684,[3]日经225指数历史数据!$A:$B,2,)</f>
        <v>26553.53</v>
      </c>
      <c r="X684" s="3">
        <v>1830.67</v>
      </c>
      <c r="Y684" s="6">
        <f>VLOOKUP(A684,[4]上证指数历史数据!$A:$B,2,)</f>
        <v>3264.81</v>
      </c>
      <c r="Z684" s="6">
        <f>VLOOKUP(A684,[5]深证成份指数历史数据!$A:$B,2,)</f>
        <v>11980.62</v>
      </c>
      <c r="AA684" s="6">
        <f>VLOOKUP(A684,[6]台湾加权指数历史数据!$A:$B,2,)</f>
        <v>14932.93</v>
      </c>
      <c r="AB684" s="3">
        <v>22044.65</v>
      </c>
      <c r="AC684" s="3">
        <v>3293.71</v>
      </c>
      <c r="AD684">
        <v>18027.650000000001</v>
      </c>
      <c r="AE684" s="5">
        <f>VLOOKUP(A684,[7]越南VN30指数历史数据!$A:$B,2,)</f>
        <v>1121.92</v>
      </c>
      <c r="AF684">
        <v>73192.92</v>
      </c>
      <c r="AG684" s="9">
        <v>19504.990000000002</v>
      </c>
      <c r="AH684">
        <v>10212.84</v>
      </c>
      <c r="AI684">
        <v>1898.91</v>
      </c>
      <c r="AJ684">
        <v>1877.05</v>
      </c>
    </row>
    <row r="685" spans="1:36" x14ac:dyDescent="0.3">
      <c r="A685" s="2">
        <v>44948</v>
      </c>
      <c r="B685" s="3">
        <v>254295.44</v>
      </c>
      <c r="C685" s="4">
        <v>112316</v>
      </c>
      <c r="D685" s="3">
        <v>7493.8</v>
      </c>
      <c r="E685" s="3">
        <v>33977.550000000003</v>
      </c>
      <c r="F685" s="3">
        <v>20714.48</v>
      </c>
      <c r="G685" s="3">
        <v>1911.46</v>
      </c>
      <c r="H685" s="3">
        <v>4070.56</v>
      </c>
      <c r="I685" s="3">
        <v>11621.71</v>
      </c>
      <c r="J685" s="3">
        <v>54774.91</v>
      </c>
      <c r="K685" s="3">
        <v>28356.41</v>
      </c>
      <c r="L685" s="3">
        <v>1911.5</v>
      </c>
      <c r="M685" s="3">
        <v>15150.03</v>
      </c>
      <c r="N685" s="6">
        <f>VLOOKUP(A685,'[1]俄罗斯交易系统市值加权指数历史数据 (1)'!$A:$B,2,)</f>
        <v>992.37</v>
      </c>
      <c r="O685" s="3">
        <v>7097.21</v>
      </c>
      <c r="P685" s="1">
        <v>750.67</v>
      </c>
      <c r="Q685" s="3">
        <v>11332.3</v>
      </c>
      <c r="R685" s="3">
        <v>5191.83</v>
      </c>
      <c r="S685" s="3">
        <v>9060.2000000000007</v>
      </c>
      <c r="T685" s="3">
        <v>7765.15</v>
      </c>
      <c r="U685" s="3">
        <v>4178.01</v>
      </c>
      <c r="V685" s="6">
        <f>VLOOKUP(A685,[2]韩国KOSPI指数历史数据!$A:$B,2,)</f>
        <v>2484.02</v>
      </c>
      <c r="W685" s="6">
        <f>VLOOKUP(A685,[3]日经225指数历史数据!$A:$B,2,)</f>
        <v>27382.560000000001</v>
      </c>
      <c r="X685" s="3">
        <v>1782.24</v>
      </c>
      <c r="Y685" s="6" t="e">
        <f>VLOOKUP(A685,[4]上证指数历史数据!$A:$B,2,)</f>
        <v>#N/A</v>
      </c>
      <c r="Z685" s="6" t="e">
        <f>VLOOKUP(A685,[5]深证成份指数历史数据!$A:$B,2,)</f>
        <v>#N/A</v>
      </c>
      <c r="AA685" s="6" t="e">
        <f>VLOOKUP(A685,[6]台湾加权指数历史数据!$A:$B,2,)</f>
        <v>#N/A</v>
      </c>
      <c r="AB685" s="3">
        <v>22688.9</v>
      </c>
      <c r="AC685" s="3">
        <v>3394.21</v>
      </c>
      <c r="AD685">
        <v>17604.349999999999</v>
      </c>
      <c r="AE685" s="5">
        <f>VLOOKUP(A685,[7]越南VN30指数历史数据!$A:$B,2,)</f>
        <v>1130.6500000000001</v>
      </c>
      <c r="AF685">
        <v>74766.05</v>
      </c>
      <c r="AG685" s="9">
        <v>20120.509999999998</v>
      </c>
      <c r="AH685">
        <v>10070.120000000001</v>
      </c>
      <c r="AI685">
        <v>1897.57</v>
      </c>
      <c r="AJ685">
        <v>1889.13</v>
      </c>
    </row>
    <row r="686" spans="1:36" x14ac:dyDescent="0.3">
      <c r="A686" s="2">
        <v>44955</v>
      </c>
      <c r="B686" s="3">
        <v>239369.95</v>
      </c>
      <c r="C686" s="4">
        <v>108523</v>
      </c>
      <c r="D686" s="3">
        <v>7558.1</v>
      </c>
      <c r="E686" s="3">
        <v>33925.06</v>
      </c>
      <c r="F686" s="3">
        <v>20758.34</v>
      </c>
      <c r="G686" s="3">
        <v>1985.53</v>
      </c>
      <c r="H686" s="3">
        <v>4136.4799999999996</v>
      </c>
      <c r="I686" s="3">
        <v>12006.96</v>
      </c>
      <c r="J686" s="3">
        <v>54049.05</v>
      </c>
      <c r="K686" s="3">
        <v>28296.639999999999</v>
      </c>
      <c r="L686" s="3">
        <v>1906.13</v>
      </c>
      <c r="M686" s="3">
        <v>15476.43</v>
      </c>
      <c r="N686" s="6">
        <f>VLOOKUP(A686,'[1]俄罗斯交易系统市值加权指数历史数据 (1)'!$A:$B,2,)</f>
        <v>1002.52</v>
      </c>
      <c r="O686" s="3">
        <v>7233.94</v>
      </c>
      <c r="P686" s="1">
        <v>763.86</v>
      </c>
      <c r="Q686" s="3">
        <v>11349.39</v>
      </c>
      <c r="R686" s="3">
        <v>4997.63</v>
      </c>
      <c r="S686" s="3">
        <v>9225.6</v>
      </c>
      <c r="T686" s="3">
        <v>7901.8</v>
      </c>
      <c r="U686" s="3">
        <v>4257.9799999999996</v>
      </c>
      <c r="V686" s="6">
        <f>VLOOKUP(A686,[2]韩国KOSPI指数历史数据!$A:$B,2,)</f>
        <v>2480.4</v>
      </c>
      <c r="W686" s="6">
        <f>VLOOKUP(A686,[3]日经225指数历史数据!$A:$B,2,)</f>
        <v>27509.46</v>
      </c>
      <c r="X686" s="3">
        <v>1833.96</v>
      </c>
      <c r="Y686" s="6">
        <f>VLOOKUP(A686,[4]上证指数历史数据!$A:$B,2,)</f>
        <v>3263.41</v>
      </c>
      <c r="Z686" s="6">
        <f>VLOOKUP(A686,[5]深证成份指数历史数据!$A:$B,2,)</f>
        <v>12054.29</v>
      </c>
      <c r="AA686" s="6">
        <f>VLOOKUP(A686,[6]台湾加权指数历史数据!$A:$B,2,)</f>
        <v>15602.66</v>
      </c>
      <c r="AB686" s="3">
        <v>21660.47</v>
      </c>
      <c r="AC686" s="3">
        <v>3384.29</v>
      </c>
      <c r="AD686">
        <v>17854.05</v>
      </c>
      <c r="AE686" s="5">
        <f>VLOOKUP(A686,[7]越南VN30指数历史数据!$A:$B,2,)</f>
        <v>1085.7</v>
      </c>
      <c r="AF686">
        <v>74082.09</v>
      </c>
      <c r="AG686" s="9">
        <v>19343.22</v>
      </c>
      <c r="AH686">
        <v>10335.31</v>
      </c>
      <c r="AI686">
        <v>1946.01</v>
      </c>
      <c r="AJ686">
        <v>1924.71</v>
      </c>
    </row>
    <row r="687" spans="1:36" x14ac:dyDescent="0.3">
      <c r="A687" s="2">
        <v>44962</v>
      </c>
      <c r="B687" s="3">
        <v>249897.5</v>
      </c>
      <c r="C687" s="4">
        <v>108078</v>
      </c>
      <c r="D687" s="3">
        <v>7433.7</v>
      </c>
      <c r="E687" s="3">
        <v>33869.4</v>
      </c>
      <c r="F687" s="3">
        <v>20612.12</v>
      </c>
      <c r="G687" s="3">
        <v>1918.81</v>
      </c>
      <c r="H687" s="3">
        <v>4090.46</v>
      </c>
      <c r="I687" s="3">
        <v>11718.12</v>
      </c>
      <c r="J687" s="3">
        <v>52482.02</v>
      </c>
      <c r="K687" s="3">
        <v>28445.89</v>
      </c>
      <c r="L687" s="3">
        <v>1848.04</v>
      </c>
      <c r="M687" s="3">
        <v>15307.98</v>
      </c>
      <c r="N687" s="6">
        <f>VLOOKUP(A687,'[1]俄罗斯交易系统市值加权指数历史数据 (1)'!$A:$B,2,)</f>
        <v>971.95</v>
      </c>
      <c r="O687" s="3">
        <v>7129.73</v>
      </c>
      <c r="P687" s="1">
        <v>752.22</v>
      </c>
      <c r="Q687" s="3">
        <v>11130.46</v>
      </c>
      <c r="R687" s="3">
        <v>4505.34</v>
      </c>
      <c r="S687" s="3">
        <v>9117.4</v>
      </c>
      <c r="T687" s="3">
        <v>7882.45</v>
      </c>
      <c r="U687" s="3">
        <v>4197.9399999999996</v>
      </c>
      <c r="V687" s="6">
        <f>VLOOKUP(A687,[2]韩国KOSPI指数历史数据!$A:$B,2,)</f>
        <v>2469.73</v>
      </c>
      <c r="W687" s="6">
        <f>VLOOKUP(A687,[3]日经225指数历史数据!$A:$B,2,)</f>
        <v>27670.98</v>
      </c>
      <c r="X687" s="3">
        <v>1781.4</v>
      </c>
      <c r="Y687" s="6">
        <f>VLOOKUP(A687,[4]上证指数历史数据!$A:$B,2,)</f>
        <v>3260.67</v>
      </c>
      <c r="Z687" s="6">
        <f>VLOOKUP(A687,[5]深证成份指数历史数据!$A:$B,2,)</f>
        <v>11976.85</v>
      </c>
      <c r="AA687" s="6">
        <f>VLOOKUP(A687,[6]台湾加权指数历史数据!$A:$B,2,)</f>
        <v>15586.65</v>
      </c>
      <c r="AB687" s="3">
        <v>21190.42</v>
      </c>
      <c r="AC687" s="3">
        <v>3360.69</v>
      </c>
      <c r="AD687">
        <v>17856.5</v>
      </c>
      <c r="AE687" s="5">
        <f>VLOOKUP(A687,[7]越南VN30指数历史数据!$A:$B,2,)</f>
        <v>1048.74</v>
      </c>
      <c r="AF687">
        <v>73017.05</v>
      </c>
      <c r="AG687" s="9">
        <v>20548.759999999998</v>
      </c>
      <c r="AH687">
        <v>10728.31</v>
      </c>
      <c r="AI687">
        <v>1952.62</v>
      </c>
      <c r="AJ687">
        <v>1932.21</v>
      </c>
    </row>
    <row r="688" spans="1:36" x14ac:dyDescent="0.3">
      <c r="A688" s="2">
        <v>44969</v>
      </c>
      <c r="B688" s="3">
        <v>248979.38</v>
      </c>
      <c r="C688" s="4">
        <v>109177</v>
      </c>
      <c r="D688" s="3">
        <v>7346.8</v>
      </c>
      <c r="E688" s="3">
        <v>33826.92</v>
      </c>
      <c r="F688" s="3">
        <v>20515.240000000002</v>
      </c>
      <c r="G688" s="3">
        <v>1946.36</v>
      </c>
      <c r="H688" s="3">
        <v>4079.09</v>
      </c>
      <c r="I688" s="3">
        <v>11787.27</v>
      </c>
      <c r="J688" s="3">
        <v>53789.64</v>
      </c>
      <c r="K688" s="3">
        <v>27975.65</v>
      </c>
      <c r="L688" s="3">
        <v>1859.26</v>
      </c>
      <c r="M688" s="3">
        <v>15482</v>
      </c>
      <c r="N688" s="6">
        <f>VLOOKUP(A688,'[1]俄罗斯交易系统市值加权指数历史数据 (1)'!$A:$B,2,)</f>
        <v>920.19</v>
      </c>
      <c r="O688" s="3">
        <v>7347.72</v>
      </c>
      <c r="P688" s="1">
        <v>765.04</v>
      </c>
      <c r="Q688" s="3">
        <v>11256.29</v>
      </c>
      <c r="R688" s="3">
        <v>5026.83</v>
      </c>
      <c r="S688" s="3">
        <v>9333</v>
      </c>
      <c r="T688" s="3">
        <v>8004.36</v>
      </c>
      <c r="U688" s="3">
        <v>4274.92</v>
      </c>
      <c r="V688" s="6">
        <f>VLOOKUP(A688,[2]韩国KOSPI指数历史数据!$A:$B,2,)</f>
        <v>2451.21</v>
      </c>
      <c r="W688" s="6">
        <f>VLOOKUP(A688,[3]日经225指数历史数据!$A:$B,2,)</f>
        <v>27513.13</v>
      </c>
      <c r="X688" s="3">
        <v>1802.4</v>
      </c>
      <c r="Y688" s="6">
        <f>VLOOKUP(A688,[4]上证指数历史数据!$A:$B,2,)</f>
        <v>3224.02</v>
      </c>
      <c r="Z688" s="6">
        <f>VLOOKUP(A688,[5]深证成份指数历史数据!$A:$B,2,)</f>
        <v>11715.77</v>
      </c>
      <c r="AA688" s="6">
        <f>VLOOKUP(A688,[6]台湾加权指数历史数据!$A:$B,2,)</f>
        <v>15479.7</v>
      </c>
      <c r="AB688" s="3">
        <v>20719.810000000001</v>
      </c>
      <c r="AC688" s="3">
        <v>3328.37</v>
      </c>
      <c r="AD688">
        <v>17944.2</v>
      </c>
      <c r="AE688" s="5">
        <f>VLOOKUP(A688,[7]越南VN30指数历史数据!$A:$B,2,)</f>
        <v>1053.72</v>
      </c>
      <c r="AF688">
        <v>73231.61</v>
      </c>
      <c r="AG688" s="9">
        <v>20749.28</v>
      </c>
      <c r="AH688">
        <v>10684.6</v>
      </c>
      <c r="AI688">
        <v>1932.08</v>
      </c>
      <c r="AJ688">
        <v>1936.19</v>
      </c>
    </row>
    <row r="689" spans="1:36" x14ac:dyDescent="0.3">
      <c r="A689" s="2">
        <v>44976</v>
      </c>
      <c r="B689" s="3">
        <v>248324.69</v>
      </c>
      <c r="C689" s="4">
        <v>105798</v>
      </c>
      <c r="D689" s="3">
        <v>7307</v>
      </c>
      <c r="E689" s="3">
        <v>32817.050000000003</v>
      </c>
      <c r="F689" s="3">
        <v>20219.189999999999</v>
      </c>
      <c r="G689" s="3">
        <v>1890.49</v>
      </c>
      <c r="H689" s="3">
        <v>3970.04</v>
      </c>
      <c r="I689" s="3">
        <v>11394.94</v>
      </c>
      <c r="J689" s="3">
        <v>52686.239999999998</v>
      </c>
      <c r="K689" s="3">
        <v>28063.05</v>
      </c>
      <c r="L689" s="3">
        <v>1807.31</v>
      </c>
      <c r="M689" s="3">
        <v>15209.74</v>
      </c>
      <c r="N689" s="6">
        <f>VLOOKUP(A689,'[1]俄罗斯交易系统市值加权指数历史数据 (1)'!$A:$B,2,)</f>
        <v>914.16</v>
      </c>
      <c r="O689" s="3">
        <v>7187.27</v>
      </c>
      <c r="P689" s="1">
        <v>746.41</v>
      </c>
      <c r="Q689" s="3">
        <v>11181.77</v>
      </c>
      <c r="R689" s="3">
        <v>5058.75</v>
      </c>
      <c r="S689" s="3">
        <v>9201.5</v>
      </c>
      <c r="T689" s="3">
        <v>7878.66</v>
      </c>
      <c r="U689" s="3">
        <v>4178.82</v>
      </c>
      <c r="V689" s="6">
        <f>VLOOKUP(A689,[2]韩国KOSPI指数历史数据!$A:$B,2,)</f>
        <v>2423.61</v>
      </c>
      <c r="W689" s="6">
        <f>VLOOKUP(A689,[3]日经225指数历史数据!$A:$B,2,)</f>
        <v>27453.48</v>
      </c>
      <c r="X689" s="3">
        <v>1747.43</v>
      </c>
      <c r="Y689" s="6">
        <f>VLOOKUP(A689,[4]上证指数历史数据!$A:$B,2,)</f>
        <v>3267.16</v>
      </c>
      <c r="Z689" s="6">
        <f>VLOOKUP(A689,[5]深证成份指数历史数据!$A:$B,2,)</f>
        <v>11787.45</v>
      </c>
      <c r="AA689" s="6">
        <f>VLOOKUP(A689,[6]台湾加权指数历史数据!$A:$B,2,)</f>
        <v>15503.79</v>
      </c>
      <c r="AB689" s="3">
        <v>20010.04</v>
      </c>
      <c r="AC689" s="3">
        <v>3282.3</v>
      </c>
      <c r="AD689">
        <v>17465.8</v>
      </c>
      <c r="AE689" s="5">
        <f>VLOOKUP(A689,[7]越南VN30指数历史数据!$A:$B,2,)</f>
        <v>1030.42</v>
      </c>
      <c r="AF689">
        <v>70884.679999999993</v>
      </c>
      <c r="AG689" s="9">
        <v>20049.990000000002</v>
      </c>
      <c r="AH689">
        <v>10844.54</v>
      </c>
      <c r="AI689">
        <v>1969.08</v>
      </c>
      <c r="AJ689">
        <v>1933.28</v>
      </c>
    </row>
    <row r="690" spans="1:36" x14ac:dyDescent="0.3">
      <c r="A690" s="2">
        <v>44983</v>
      </c>
      <c r="B690" s="3">
        <v>245865.17</v>
      </c>
      <c r="C690" s="4">
        <v>103866</v>
      </c>
      <c r="D690" s="3">
        <v>7283.6</v>
      </c>
      <c r="E690" s="3">
        <v>33390.35</v>
      </c>
      <c r="F690" s="3">
        <v>20581.580000000002</v>
      </c>
      <c r="G690" s="3">
        <v>1928.26</v>
      </c>
      <c r="H690" s="3">
        <v>4045.64</v>
      </c>
      <c r="I690" s="3">
        <v>11689.01</v>
      </c>
      <c r="J690" s="3">
        <v>54182.27</v>
      </c>
      <c r="K690" s="3">
        <v>28583.89</v>
      </c>
      <c r="L690" s="3">
        <v>1841.85</v>
      </c>
      <c r="M690" s="3">
        <v>15578.39</v>
      </c>
      <c r="N690" s="6">
        <f>VLOOKUP(A690,'[1]俄罗斯交易系统市值加权指数历史数据 (1)'!$A:$B,2,)</f>
        <v>945.41</v>
      </c>
      <c r="O690" s="3">
        <v>7348.12</v>
      </c>
      <c r="P690" s="1">
        <v>760.57</v>
      </c>
      <c r="Q690" s="3">
        <v>11190.09</v>
      </c>
      <c r="R690" s="3">
        <v>5212.38</v>
      </c>
      <c r="S690" s="3">
        <v>9464.2000000000007</v>
      </c>
      <c r="T690" s="3">
        <v>7947.11</v>
      </c>
      <c r="U690" s="3">
        <v>4294.8</v>
      </c>
      <c r="V690" s="6">
        <f>VLOOKUP(A690,[2]韩国KOSPI指数历史数据!$A:$B,2,)</f>
        <v>2432.0700000000002</v>
      </c>
      <c r="W690" s="6">
        <f>VLOOKUP(A690,[3]日经225指数历史数据!$A:$B,2,)</f>
        <v>27927.47</v>
      </c>
      <c r="X690" s="3">
        <v>1742.62</v>
      </c>
      <c r="Y690" s="6">
        <f>VLOOKUP(A690,[4]上证指数历史数据!$A:$B,2,)</f>
        <v>3328.39</v>
      </c>
      <c r="Z690" s="6">
        <f>VLOOKUP(A690,[5]深证成份指数历史数据!$A:$B,2,)</f>
        <v>11851.92</v>
      </c>
      <c r="AA690" s="6">
        <f>VLOOKUP(A690,[6]台湾加权指数历史数据!$A:$B,2,)</f>
        <v>15608.42</v>
      </c>
      <c r="AB690" s="3">
        <v>20567.54</v>
      </c>
      <c r="AC690" s="3">
        <v>3232.02</v>
      </c>
      <c r="AD690">
        <v>17594.349999999999</v>
      </c>
      <c r="AE690" s="5">
        <f>VLOOKUP(A690,[7]越南VN30指数历史数据!$A:$B,2,)</f>
        <v>1013.35</v>
      </c>
      <c r="AF690">
        <v>72318.710000000006</v>
      </c>
      <c r="AG690" s="9">
        <v>20008.060000000001</v>
      </c>
      <c r="AH690">
        <v>10712.89</v>
      </c>
      <c r="AI690">
        <v>1979.7</v>
      </c>
      <c r="AJ690">
        <v>1923.02</v>
      </c>
    </row>
    <row r="691" spans="1:36" x14ac:dyDescent="0.3">
      <c r="A691" s="2">
        <v>44990</v>
      </c>
      <c r="B691" s="3">
        <v>236419.44</v>
      </c>
      <c r="C691" s="4">
        <v>103618</v>
      </c>
      <c r="D691" s="3">
        <v>7144.7</v>
      </c>
      <c r="E691" s="3">
        <v>31909.96</v>
      </c>
      <c r="F691" s="3">
        <v>19774.919999999998</v>
      </c>
      <c r="G691" s="3">
        <v>1772.7</v>
      </c>
      <c r="H691" s="3">
        <v>3861.59</v>
      </c>
      <c r="I691" s="3">
        <v>11138.89</v>
      </c>
      <c r="J691" s="3">
        <v>52794.53</v>
      </c>
      <c r="K691" s="3">
        <v>27891.05</v>
      </c>
      <c r="L691" s="3">
        <v>1799.58</v>
      </c>
      <c r="M691" s="3">
        <v>15427.97</v>
      </c>
      <c r="N691" s="6">
        <f>VLOOKUP(A691,'[1]俄罗斯交易系统市值加权指数历史数据 (1)'!$A:$B,2,)</f>
        <v>942.75</v>
      </c>
      <c r="O691" s="3">
        <v>7220.67</v>
      </c>
      <c r="P691" s="1">
        <v>743.03</v>
      </c>
      <c r="Q691" s="3">
        <v>10765.26</v>
      </c>
      <c r="R691" s="3">
        <v>5384.56</v>
      </c>
      <c r="S691" s="3">
        <v>9285</v>
      </c>
      <c r="T691" s="3">
        <v>7748.35</v>
      </c>
      <c r="U691" s="3">
        <v>4229.53</v>
      </c>
      <c r="V691" s="6">
        <f>VLOOKUP(A691,[2]韩国KOSPI指数历史数据!$A:$B,2,)</f>
        <v>2394.59</v>
      </c>
      <c r="W691" s="6">
        <f>VLOOKUP(A691,[3]日经225指数历史数据!$A:$B,2,)</f>
        <v>28143.97</v>
      </c>
      <c r="X691" s="3">
        <v>1799.32</v>
      </c>
      <c r="Y691" s="6">
        <f>VLOOKUP(A691,[4]上证指数历史数据!$A:$B,2,)</f>
        <v>3230.08</v>
      </c>
      <c r="Z691" s="6">
        <f>VLOOKUP(A691,[5]深证成份指数历史数据!$A:$B,2,)</f>
        <v>11442.54</v>
      </c>
      <c r="AA691" s="6">
        <f>VLOOKUP(A691,[6]台湾加权指数历史数据!$A:$B,2,)</f>
        <v>15526.2</v>
      </c>
      <c r="AB691" s="3">
        <v>19319.919999999998</v>
      </c>
      <c r="AC691" s="3">
        <v>3177.43</v>
      </c>
      <c r="AD691">
        <v>17412.900000000001</v>
      </c>
      <c r="AE691" s="5">
        <f>VLOOKUP(A691,[7]越南VN30指数历史数据!$A:$B,2,)</f>
        <v>1047.2</v>
      </c>
      <c r="AF691">
        <v>70692.59</v>
      </c>
      <c r="AG691" s="9">
        <v>19401.849999999999</v>
      </c>
      <c r="AH691">
        <v>10557.71</v>
      </c>
      <c r="AI691">
        <v>1991.88</v>
      </c>
      <c r="AJ691">
        <v>1891.87</v>
      </c>
    </row>
    <row r="692" spans="1:36" x14ac:dyDescent="0.3">
      <c r="A692" s="2">
        <v>44997</v>
      </c>
      <c r="B692" s="3">
        <v>221740.27</v>
      </c>
      <c r="C692" s="4">
        <v>101982</v>
      </c>
      <c r="D692" s="3">
        <v>6994.8</v>
      </c>
      <c r="E692" s="3">
        <v>31858.89</v>
      </c>
      <c r="F692" s="3">
        <v>19387.72</v>
      </c>
      <c r="G692" s="3">
        <v>1725.89</v>
      </c>
      <c r="H692" s="3">
        <v>3916.64</v>
      </c>
      <c r="I692" s="3">
        <v>11630.51</v>
      </c>
      <c r="J692" s="3">
        <v>51925.61</v>
      </c>
      <c r="K692" s="3">
        <v>26622.9</v>
      </c>
      <c r="L692" s="3">
        <v>1678.16</v>
      </c>
      <c r="M692" s="3">
        <v>14768.2</v>
      </c>
      <c r="N692" s="6">
        <f>VLOOKUP(A692,'[1]俄罗斯交易系统市值加权指数历史数据 (1)'!$A:$B,2,)</f>
        <v>948.97</v>
      </c>
      <c r="O692" s="3">
        <v>6925.4</v>
      </c>
      <c r="P692" s="1">
        <v>722.43</v>
      </c>
      <c r="Q692" s="3">
        <v>10613.55</v>
      </c>
      <c r="R692" s="3">
        <v>5136.4399999999996</v>
      </c>
      <c r="S692" s="3">
        <v>8719.2999999999993</v>
      </c>
      <c r="T692" s="3">
        <v>7335.4</v>
      </c>
      <c r="U692" s="3">
        <v>4064.99</v>
      </c>
      <c r="V692" s="6">
        <f>VLOOKUP(A692,[2]韩国KOSPI指数历史数据!$A:$B,2,)</f>
        <v>2395.69</v>
      </c>
      <c r="W692" s="6">
        <f>VLOOKUP(A692,[3]日经225指数历史数据!$A:$B,2,)</f>
        <v>27333.79</v>
      </c>
      <c r="X692" s="3">
        <v>1725.5</v>
      </c>
      <c r="Y692" s="6">
        <f>VLOOKUP(A692,[4]上证指数历史数据!$A:$B,2,)</f>
        <v>3250.55</v>
      </c>
      <c r="Z692" s="6">
        <f>VLOOKUP(A692,[5]深证成份指数历史数据!$A:$B,2,)</f>
        <v>11278.05</v>
      </c>
      <c r="AA692" s="6">
        <f>VLOOKUP(A692,[6]台湾加权指数历史数据!$A:$B,2,)</f>
        <v>15452.96</v>
      </c>
      <c r="AB692" s="3">
        <v>19518.59</v>
      </c>
      <c r="AC692" s="3">
        <v>3183.28</v>
      </c>
      <c r="AD692">
        <v>17100.05</v>
      </c>
      <c r="AE692" s="5">
        <f>VLOOKUP(A692,[7]越南VN30指数历史数据!$A:$B,2,)</f>
        <v>1047.71</v>
      </c>
      <c r="AF692">
        <v>67001.16</v>
      </c>
      <c r="AG692" s="9">
        <v>17277.14</v>
      </c>
      <c r="AH692">
        <v>10415.5</v>
      </c>
      <c r="AI692">
        <v>1961.55</v>
      </c>
      <c r="AJ692">
        <v>1853.13</v>
      </c>
    </row>
    <row r="693" spans="1:36" x14ac:dyDescent="0.3">
      <c r="A693" s="2">
        <v>45004</v>
      </c>
      <c r="B693" s="3">
        <v>219276.73</v>
      </c>
      <c r="C693" s="4">
        <v>98829</v>
      </c>
      <c r="D693" s="3">
        <v>6955.2</v>
      </c>
      <c r="E693" s="3">
        <v>32238.15</v>
      </c>
      <c r="F693" s="3">
        <v>19501.490000000002</v>
      </c>
      <c r="G693" s="3">
        <v>1734.92</v>
      </c>
      <c r="H693" s="3">
        <v>3970.99</v>
      </c>
      <c r="I693" s="3">
        <v>11823.96</v>
      </c>
      <c r="J693" s="3">
        <v>52771.12</v>
      </c>
      <c r="K693" s="3">
        <v>27359.21</v>
      </c>
      <c r="L693" s="3">
        <v>1670.18</v>
      </c>
      <c r="M693" s="3">
        <v>14957.23</v>
      </c>
      <c r="N693" s="6">
        <f>VLOOKUP(A693,'[1]俄罗斯交易系统市值加权指数历史数据 (1)'!$A:$B,2,)</f>
        <v>977.75</v>
      </c>
      <c r="O693" s="3">
        <v>7015.1</v>
      </c>
      <c r="P693" s="1">
        <v>731.81</v>
      </c>
      <c r="Q693" s="3">
        <v>10634.04</v>
      </c>
      <c r="R693" s="3">
        <v>5031.9799999999996</v>
      </c>
      <c r="S693" s="3">
        <v>8792.5</v>
      </c>
      <c r="T693" s="3">
        <v>7405.45</v>
      </c>
      <c r="U693" s="3">
        <v>4130.62</v>
      </c>
      <c r="V693" s="6">
        <f>VLOOKUP(A693,[2]韩国KOSPI指数历史数据!$A:$B,2,)</f>
        <v>2414.96</v>
      </c>
      <c r="W693" s="6">
        <f>VLOOKUP(A693,[3]日经225指数历史数据!$A:$B,2,)</f>
        <v>27385.25</v>
      </c>
      <c r="X693" s="3">
        <v>1779.43</v>
      </c>
      <c r="Y693" s="6">
        <f>VLOOKUP(A693,[4]上证指数历史数据!$A:$B,2,)</f>
        <v>3265.65</v>
      </c>
      <c r="Z693" s="6">
        <f>VLOOKUP(A693,[5]深证成份指数历史数据!$A:$B,2,)</f>
        <v>11634.22</v>
      </c>
      <c r="AA693" s="6">
        <f>VLOOKUP(A693,[6]台湾加权指数历史数据!$A:$B,2,)</f>
        <v>15914.7</v>
      </c>
      <c r="AB693" s="3">
        <v>19915.68</v>
      </c>
      <c r="AC693" s="3">
        <v>3212.64</v>
      </c>
      <c r="AD693">
        <v>16945.05</v>
      </c>
      <c r="AE693" s="5">
        <f>VLOOKUP(A693,[7]越南VN30指数历史数据!$A:$B,2,)</f>
        <v>1051.42</v>
      </c>
      <c r="AF693">
        <v>69180.7</v>
      </c>
      <c r="AG693" s="9">
        <v>18360.77</v>
      </c>
      <c r="AH693">
        <v>10404.52</v>
      </c>
      <c r="AI693">
        <v>1957.63</v>
      </c>
      <c r="AJ693">
        <v>1892.98</v>
      </c>
    </row>
    <row r="694" spans="1:36" x14ac:dyDescent="0.3">
      <c r="A694" s="2">
        <v>45011</v>
      </c>
      <c r="B694" s="3">
        <v>245716.17</v>
      </c>
      <c r="C694" s="4">
        <v>101882</v>
      </c>
      <c r="D694" s="3">
        <v>7177.8</v>
      </c>
      <c r="E694" s="3">
        <v>33273.1</v>
      </c>
      <c r="F694" s="3">
        <v>20099.89</v>
      </c>
      <c r="G694" s="3">
        <v>1802.48</v>
      </c>
      <c r="H694" s="3">
        <v>4109.3100000000004</v>
      </c>
      <c r="I694" s="3">
        <v>12221.91</v>
      </c>
      <c r="J694" s="3">
        <v>53904</v>
      </c>
      <c r="K694" s="3">
        <v>27565.43</v>
      </c>
      <c r="L694" s="3">
        <v>1758.56</v>
      </c>
      <c r="M694" s="3">
        <v>15628.84</v>
      </c>
      <c r="N694" s="6">
        <f>VLOOKUP(A694,'[1]俄罗斯交易系统市值加权指数历史数据 (1)'!$A:$B,2,)</f>
        <v>996.76</v>
      </c>
      <c r="O694" s="3">
        <v>7322.39</v>
      </c>
      <c r="P694" s="1">
        <v>756.18</v>
      </c>
      <c r="Q694" s="3">
        <v>11106.24</v>
      </c>
      <c r="R694" s="3">
        <v>4812.93</v>
      </c>
      <c r="S694" s="3">
        <v>9232.5</v>
      </c>
      <c r="T694" s="3">
        <v>7631.74</v>
      </c>
      <c r="U694" s="3">
        <v>4315.05</v>
      </c>
      <c r="V694" s="6">
        <f>VLOOKUP(A694,[2]韩国KOSPI指数历史数据!$A:$B,2,)</f>
        <v>2476.86</v>
      </c>
      <c r="W694" s="6">
        <f>VLOOKUP(A694,[3]日经225指数历史数据!$A:$B,2,)</f>
        <v>28041.48</v>
      </c>
      <c r="X694" s="3">
        <v>1739.11</v>
      </c>
      <c r="Y694" s="6">
        <f>VLOOKUP(A694,[4]上证指数历史数据!$A:$B,2,)</f>
        <v>3272.86</v>
      </c>
      <c r="Z694" s="6">
        <f>VLOOKUP(A694,[5]深证成份指数历史数据!$A:$B,2,)</f>
        <v>11726.4</v>
      </c>
      <c r="AA694" s="6">
        <f>VLOOKUP(A694,[6]台湾加权指数历史数据!$A:$B,2,)</f>
        <v>15868.06</v>
      </c>
      <c r="AB694" s="3">
        <v>20400.11</v>
      </c>
      <c r="AC694" s="3">
        <v>3258.9</v>
      </c>
      <c r="AD694">
        <v>17359.75</v>
      </c>
      <c r="AE694" s="5">
        <f>VLOOKUP(A694,[7]越南VN30指数历史数据!$A:$B,2,)</f>
        <v>1073.68</v>
      </c>
      <c r="AF694">
        <v>70497.7</v>
      </c>
      <c r="AG694" s="9">
        <v>19546.45</v>
      </c>
      <c r="AH694">
        <v>10391.39</v>
      </c>
      <c r="AI694">
        <v>1957.5</v>
      </c>
      <c r="AJ694">
        <v>1864.42</v>
      </c>
    </row>
    <row r="695" spans="1:36" x14ac:dyDescent="0.3">
      <c r="A695" s="2">
        <v>45018</v>
      </c>
      <c r="B695" s="3">
        <v>252848.72</v>
      </c>
      <c r="C695" s="4">
        <v>100822</v>
      </c>
      <c r="D695" s="3">
        <v>7219</v>
      </c>
      <c r="E695" s="3">
        <v>33485.35</v>
      </c>
      <c r="F695" s="3">
        <v>20196.689999999999</v>
      </c>
      <c r="G695" s="3">
        <v>1754.46</v>
      </c>
      <c r="H695" s="3">
        <v>4105.0200000000004</v>
      </c>
      <c r="I695" s="3">
        <v>12087.96</v>
      </c>
      <c r="J695" s="3">
        <v>53498.39</v>
      </c>
      <c r="K695" s="3">
        <v>27189.35</v>
      </c>
      <c r="L695" s="3">
        <v>1754.24</v>
      </c>
      <c r="M695" s="3">
        <v>15597.89</v>
      </c>
      <c r="N695" s="6">
        <f>VLOOKUP(A695,'[1]俄罗斯交易系统市值加权指数历史数据 (1)'!$A:$B,2,)</f>
        <v>974.52</v>
      </c>
      <c r="O695" s="3">
        <v>7324.75</v>
      </c>
      <c r="P695" s="1">
        <v>759.84</v>
      </c>
      <c r="Q695" s="3">
        <v>11230.07</v>
      </c>
      <c r="R695" s="3">
        <v>4924.6400000000003</v>
      </c>
      <c r="S695" s="3">
        <v>9312.2999999999993</v>
      </c>
      <c r="T695" s="3">
        <v>7741.56</v>
      </c>
      <c r="U695" s="3">
        <v>4309.45</v>
      </c>
      <c r="V695" s="6">
        <f>VLOOKUP(A695,[2]韩国KOSPI指数历史数据!$A:$B,2,)</f>
        <v>2490.41</v>
      </c>
      <c r="W695" s="6">
        <f>VLOOKUP(A695,[3]日经225指数历史数据!$A:$B,2,)</f>
        <v>27518.31</v>
      </c>
      <c r="X695" s="3">
        <v>1741.91</v>
      </c>
      <c r="Y695" s="6">
        <f>VLOOKUP(A695,[4]上证指数历史数据!$A:$B,2,)</f>
        <v>3327.65</v>
      </c>
      <c r="Z695" s="6">
        <f>VLOOKUP(A695,[5]深证成份指数历史数据!$A:$B,2,)</f>
        <v>11967.74</v>
      </c>
      <c r="AA695" s="6">
        <f>VLOOKUP(A695,[6]台湾加权指数历史数据!$A:$B,2,)</f>
        <v>15836.5</v>
      </c>
      <c r="AB695" s="3">
        <v>20331.2</v>
      </c>
      <c r="AC695" s="3">
        <v>3300.48</v>
      </c>
      <c r="AD695">
        <v>17599.150000000001</v>
      </c>
      <c r="AE695" s="5">
        <f>VLOOKUP(A695,[7]越南VN30指数历史数据!$A:$B,2,)</f>
        <v>1078.8800000000001</v>
      </c>
      <c r="AF695">
        <v>71378.91</v>
      </c>
      <c r="AG695" s="9">
        <v>19923.490000000002</v>
      </c>
      <c r="AH695">
        <v>10461.41</v>
      </c>
      <c r="AI695">
        <v>1890.64</v>
      </c>
      <c r="AJ695">
        <v>1892.16</v>
      </c>
    </row>
    <row r="696" spans="1:36" x14ac:dyDescent="0.3">
      <c r="A696" s="2">
        <v>45025</v>
      </c>
      <c r="B696" s="3">
        <v>275717.40999999997</v>
      </c>
      <c r="C696" s="4">
        <v>106279</v>
      </c>
      <c r="D696" s="3">
        <v>7361.6</v>
      </c>
      <c r="E696" s="3">
        <v>33885.31</v>
      </c>
      <c r="F696" s="3">
        <v>20579.91</v>
      </c>
      <c r="G696" s="3">
        <v>1781.15</v>
      </c>
      <c r="H696" s="3">
        <v>4137.6400000000003</v>
      </c>
      <c r="I696" s="3">
        <v>12123.46</v>
      </c>
      <c r="J696" s="3">
        <v>54460.06</v>
      </c>
      <c r="K696" s="3">
        <v>27914.13</v>
      </c>
      <c r="L696" s="3">
        <v>1854.27</v>
      </c>
      <c r="M696" s="3">
        <v>15807.5</v>
      </c>
      <c r="N696" s="6">
        <f>VLOOKUP(A696,'[1]俄罗斯交易系统市值加权指数历史数据 (1)'!$A:$B,2,)</f>
        <v>982.94</v>
      </c>
      <c r="O696" s="3">
        <v>7519.61</v>
      </c>
      <c r="P696" s="1">
        <v>761.4</v>
      </c>
      <c r="Q696" s="3">
        <v>11342.86</v>
      </c>
      <c r="R696" s="3">
        <v>5092.88</v>
      </c>
      <c r="S696" s="3">
        <v>9362.9</v>
      </c>
      <c r="T696" s="3">
        <v>7871.91</v>
      </c>
      <c r="U696" s="3">
        <v>4390.75</v>
      </c>
      <c r="V696" s="6">
        <f>VLOOKUP(A696,[2]韩国KOSPI指数历史数据!$A:$B,2,)</f>
        <v>2571.4899999999998</v>
      </c>
      <c r="W696" s="6">
        <f>VLOOKUP(A696,[3]日经225指数历史数据!$A:$B,2,)</f>
        <v>28493.47</v>
      </c>
      <c r="X696" s="3">
        <v>1740.01</v>
      </c>
      <c r="Y696" s="6">
        <f>VLOOKUP(A696,[4]上证指数历史数据!$A:$B,2,)</f>
        <v>3338.15</v>
      </c>
      <c r="Z696" s="6">
        <f>VLOOKUP(A696,[5]深证成份指数历史数据!$A:$B,2,)</f>
        <v>11800.09</v>
      </c>
      <c r="AA696" s="6">
        <f>VLOOKUP(A696,[6]台湾加权指数历史数据!$A:$B,2,)</f>
        <v>15929.43</v>
      </c>
      <c r="AB696" s="3">
        <v>20438.810000000001</v>
      </c>
      <c r="AC696" s="3">
        <v>3302.66</v>
      </c>
      <c r="AD696">
        <v>17828</v>
      </c>
      <c r="AE696" s="5">
        <f>VLOOKUP(A696,[7]越南VN30指数历史数据!$A:$B,2,)</f>
        <v>1063.43</v>
      </c>
      <c r="AF696">
        <v>73133.740000000005</v>
      </c>
      <c r="AG696" s="9">
        <v>20683.12</v>
      </c>
      <c r="AH696">
        <v>10470.49</v>
      </c>
      <c r="AI696">
        <v>1859.73</v>
      </c>
      <c r="AJ696">
        <v>1872.84</v>
      </c>
    </row>
    <row r="697" spans="1:36" x14ac:dyDescent="0.3">
      <c r="A697" s="2">
        <v>45032</v>
      </c>
      <c r="B697" s="3">
        <v>290890.53000000003</v>
      </c>
      <c r="C697" s="4">
        <v>104367</v>
      </c>
      <c r="D697" s="3">
        <v>7330.4</v>
      </c>
      <c r="E697" s="3">
        <v>33809.03</v>
      </c>
      <c r="F697" s="3">
        <v>20693.150000000001</v>
      </c>
      <c r="G697" s="3">
        <v>1791.51</v>
      </c>
      <c r="H697" s="3">
        <v>4133.5200000000004</v>
      </c>
      <c r="I697" s="3">
        <v>12072.46</v>
      </c>
      <c r="J697" s="3">
        <v>54175.28</v>
      </c>
      <c r="K697" s="3">
        <v>26599.1</v>
      </c>
      <c r="L697" s="3">
        <v>1900.63</v>
      </c>
      <c r="M697" s="3">
        <v>15881.66</v>
      </c>
      <c r="N697" s="6">
        <f>VLOOKUP(A697,'[1]俄罗斯交易系统市值加权指数历史数据 (1)'!$A:$B,2,)</f>
        <v>1019.2</v>
      </c>
      <c r="O697" s="3">
        <v>7577</v>
      </c>
      <c r="P697" s="1">
        <v>762.19</v>
      </c>
      <c r="Q697" s="3">
        <v>11460.58</v>
      </c>
      <c r="R697" s="3">
        <v>5012.34</v>
      </c>
      <c r="S697" s="3">
        <v>9415.6</v>
      </c>
      <c r="T697" s="3">
        <v>7914.13</v>
      </c>
      <c r="U697" s="3">
        <v>4408.59</v>
      </c>
      <c r="V697" s="6">
        <f>VLOOKUP(A697,[2]韩国KOSPI指数历史数据!$A:$B,2,)</f>
        <v>2544.4</v>
      </c>
      <c r="W697" s="6">
        <f>VLOOKUP(A697,[3]日经225指数历史数据!$A:$B,2,)</f>
        <v>28564.37</v>
      </c>
      <c r="X697" s="3">
        <v>1712.47</v>
      </c>
      <c r="Y697" s="6">
        <f>VLOOKUP(A697,[4]上证指数历史数据!$A:$B,2,)</f>
        <v>3301.26</v>
      </c>
      <c r="Z697" s="6">
        <f>VLOOKUP(A697,[5]深证成份指数历史数据!$A:$B,2,)</f>
        <v>11450.43</v>
      </c>
      <c r="AA697" s="6">
        <f>VLOOKUP(A697,[6]台湾加权指数历史数据!$A:$B,2,)</f>
        <v>15602.99</v>
      </c>
      <c r="AB697" s="3">
        <v>20075.73</v>
      </c>
      <c r="AC697" s="3">
        <v>3321.82</v>
      </c>
      <c r="AD697">
        <v>17624.05</v>
      </c>
      <c r="AE697" s="5">
        <f>VLOOKUP(A697,[7]越南VN30指数历史数据!$A:$B,2,)</f>
        <v>1046.18</v>
      </c>
      <c r="AF697">
        <v>72344.55</v>
      </c>
      <c r="AG697" s="9">
        <v>20933.88</v>
      </c>
      <c r="AH697">
        <v>10494.69</v>
      </c>
      <c r="AI697">
        <v>1848.93</v>
      </c>
      <c r="AJ697">
        <v>1866.61</v>
      </c>
    </row>
    <row r="698" spans="1:36" x14ac:dyDescent="0.3">
      <c r="A698" s="2">
        <v>45039</v>
      </c>
      <c r="B698" s="3">
        <v>297960</v>
      </c>
      <c r="C698" s="4">
        <v>104432</v>
      </c>
      <c r="D698" s="3">
        <v>7309.2</v>
      </c>
      <c r="E698" s="3">
        <v>34098.949999999997</v>
      </c>
      <c r="F698" s="3">
        <v>20636.54</v>
      </c>
      <c r="G698" s="3">
        <v>1768.99</v>
      </c>
      <c r="H698" s="3">
        <v>4169.4799999999996</v>
      </c>
      <c r="I698" s="3">
        <v>12226.58</v>
      </c>
      <c r="J698" s="3">
        <v>55121.22</v>
      </c>
      <c r="K698" s="3">
        <v>27461.56</v>
      </c>
      <c r="L698" s="3">
        <v>1923.09</v>
      </c>
      <c r="M698" s="3">
        <v>15922.38</v>
      </c>
      <c r="N698" s="6">
        <f>VLOOKUP(A698,'[1]俄罗斯交易系统市值加权指数历史数据 (1)'!$A:$B,2,)</f>
        <v>1033.57</v>
      </c>
      <c r="O698" s="3">
        <v>7491.5</v>
      </c>
      <c r="P698" s="1">
        <v>758.49</v>
      </c>
      <c r="Q698" s="3">
        <v>11437.14</v>
      </c>
      <c r="R698" s="3">
        <v>4617.93</v>
      </c>
      <c r="S698" s="3">
        <v>9241</v>
      </c>
      <c r="T698" s="3">
        <v>7870.57</v>
      </c>
      <c r="U698" s="3">
        <v>4359.3100000000004</v>
      </c>
      <c r="V698" s="6">
        <f>VLOOKUP(A698,[2]韩国KOSPI指数历史数据!$A:$B,2,)</f>
        <v>2501.5300000000002</v>
      </c>
      <c r="W698" s="6">
        <f>VLOOKUP(A698,[3]日经225指数历史数据!$A:$B,2,)</f>
        <v>28856.44</v>
      </c>
      <c r="X698" s="3">
        <v>1751.19</v>
      </c>
      <c r="Y698" s="6">
        <f>VLOOKUP(A698,[4]上证指数历史数据!$A:$B,2,)</f>
        <v>3323.27</v>
      </c>
      <c r="Z698" s="6">
        <f>VLOOKUP(A698,[5]深证成份指数历史数据!$A:$B,2,)</f>
        <v>11338.67</v>
      </c>
      <c r="AA698" s="6">
        <f>VLOOKUP(A698,[6]台湾加权指数历史数据!$A:$B,2,)</f>
        <v>15579.18</v>
      </c>
      <c r="AB698" s="3">
        <v>19894.57</v>
      </c>
      <c r="AC698" s="3">
        <v>3270.51</v>
      </c>
      <c r="AD698">
        <v>18065</v>
      </c>
      <c r="AE698" s="5">
        <f>VLOOKUP(A698,[7]越南VN30指数历史数据!$A:$B,2,)</f>
        <v>1051.43</v>
      </c>
      <c r="AF698">
        <v>72582.820000000007</v>
      </c>
      <c r="AG698" s="9">
        <v>21374.02</v>
      </c>
      <c r="AH698">
        <v>10525.22</v>
      </c>
      <c r="AI698">
        <v>1890.85</v>
      </c>
      <c r="AJ698">
        <v>1867.18</v>
      </c>
    </row>
    <row r="699" spans="1:36" x14ac:dyDescent="0.3">
      <c r="A699" s="2">
        <v>45046</v>
      </c>
      <c r="B699" s="3">
        <v>297140.13</v>
      </c>
      <c r="C699" s="4">
        <v>105148</v>
      </c>
      <c r="D699" s="3">
        <v>7220</v>
      </c>
      <c r="E699" s="3">
        <v>33674.31</v>
      </c>
      <c r="F699" s="3">
        <v>20542.03</v>
      </c>
      <c r="G699" s="3">
        <v>1759.88</v>
      </c>
      <c r="H699" s="3">
        <v>4136.25</v>
      </c>
      <c r="I699" s="3">
        <v>12235.41</v>
      </c>
      <c r="J699" s="3">
        <v>54937.39</v>
      </c>
      <c r="K699" s="3">
        <v>27733.99</v>
      </c>
      <c r="L699" s="3">
        <v>1912.37</v>
      </c>
      <c r="M699" s="3">
        <v>15961.02</v>
      </c>
      <c r="N699" s="6">
        <f>VLOOKUP(A699,'[1]俄罗斯交易系统市值加权指数历史数据 (1)'!$A:$B,2,)</f>
        <v>1033.68</v>
      </c>
      <c r="O699" s="3">
        <v>7432.93</v>
      </c>
      <c r="P699" s="1">
        <v>750.48</v>
      </c>
      <c r="Q699" s="3">
        <v>11554.24</v>
      </c>
      <c r="R699" s="3">
        <v>4400.76</v>
      </c>
      <c r="S699" s="3">
        <v>9147.2999999999993</v>
      </c>
      <c r="T699" s="3">
        <v>7778.38</v>
      </c>
      <c r="U699" s="3">
        <v>4340.43</v>
      </c>
      <c r="V699" s="6">
        <f>VLOOKUP(A699,[2]韩国KOSPI指数历史数据!$A:$B,2,)</f>
        <v>2500.94</v>
      </c>
      <c r="W699" s="6">
        <f>VLOOKUP(A699,[3]日经225指数历史数据!$A:$B,2,)</f>
        <v>29157.95</v>
      </c>
      <c r="X699" s="3">
        <v>1784.38</v>
      </c>
      <c r="Y699" s="6">
        <f>VLOOKUP(A699,[4]上证指数历史数据!$A:$B,2,)</f>
        <v>3334.5</v>
      </c>
      <c r="Z699" s="6">
        <f>VLOOKUP(A699,[5]深证成份指数历史数据!$A:$B,2,)</f>
        <v>11180.87</v>
      </c>
      <c r="AA699" s="6">
        <f>VLOOKUP(A699,[6]台湾加权指数历史数据!$A:$B,2,)</f>
        <v>15626.07</v>
      </c>
      <c r="AB699" s="3">
        <v>20049.310000000001</v>
      </c>
      <c r="AC699" s="3">
        <v>3266.63</v>
      </c>
      <c r="AD699">
        <v>18069</v>
      </c>
      <c r="AE699" s="5">
        <f>VLOOKUP(A699,[7]越南VN30指数历史数据!$A:$B,2,)</f>
        <v>1038.46</v>
      </c>
      <c r="AF699">
        <v>72510.48</v>
      </c>
      <c r="AG699" s="9">
        <v>20651.169999999998</v>
      </c>
      <c r="AH699">
        <v>10390.66</v>
      </c>
      <c r="AI699">
        <v>1884.85</v>
      </c>
      <c r="AJ699">
        <v>1826.34</v>
      </c>
    </row>
    <row r="700" spans="1:36" x14ac:dyDescent="0.3">
      <c r="A700" s="2">
        <v>45053</v>
      </c>
      <c r="B700" s="3">
        <v>321529.56</v>
      </c>
      <c r="C700" s="4">
        <v>108464</v>
      </c>
      <c r="D700" s="3">
        <v>7256.7</v>
      </c>
      <c r="E700" s="3">
        <v>33300.620000000003</v>
      </c>
      <c r="F700" s="3">
        <v>20419.62</v>
      </c>
      <c r="G700" s="3">
        <v>1740.85</v>
      </c>
      <c r="H700" s="3">
        <v>4124.08</v>
      </c>
      <c r="I700" s="3">
        <v>12284.74</v>
      </c>
      <c r="J700" s="3">
        <v>54948.34</v>
      </c>
      <c r="K700" s="3">
        <v>28503.15</v>
      </c>
      <c r="L700" s="3">
        <v>1939.03</v>
      </c>
      <c r="M700" s="3">
        <v>15913.82</v>
      </c>
      <c r="N700" s="6">
        <f>VLOOKUP(A700,'[1]俄罗斯交易系统市值加权指数历史数据 (1)'!$A:$B,2,)</f>
        <v>1038.32</v>
      </c>
      <c r="O700" s="3">
        <v>7414.85</v>
      </c>
      <c r="P700" s="1">
        <v>752.99</v>
      </c>
      <c r="Q700" s="3">
        <v>11564.73</v>
      </c>
      <c r="R700" s="3">
        <v>4795.6099999999997</v>
      </c>
      <c r="S700" s="3">
        <v>9234.1</v>
      </c>
      <c r="T700" s="3">
        <v>7754.62</v>
      </c>
      <c r="U700" s="3">
        <v>4317.88</v>
      </c>
      <c r="V700" s="6">
        <f>VLOOKUP(A700,[2]韩国KOSPI指数历史数据!$A:$B,2,)</f>
        <v>2475.42</v>
      </c>
      <c r="W700" s="6">
        <f>VLOOKUP(A700,[3]日经225指数历史数据!$A:$B,2,)</f>
        <v>29388.3</v>
      </c>
      <c r="X700" s="3">
        <v>1802.68</v>
      </c>
      <c r="Y700" s="6">
        <f>VLOOKUP(A700,[4]上证指数历史数据!$A:$B,2,)</f>
        <v>3272.36</v>
      </c>
      <c r="Z700" s="6">
        <f>VLOOKUP(A700,[5]深证成份指数历史数据!$A:$B,2,)</f>
        <v>11005.64</v>
      </c>
      <c r="AA700" s="6">
        <f>VLOOKUP(A700,[6]台湾加权指数历史数据!$A:$B,2,)</f>
        <v>15502.36</v>
      </c>
      <c r="AB700" s="3">
        <v>19627.240000000002</v>
      </c>
      <c r="AC700" s="3">
        <v>3208.55</v>
      </c>
      <c r="AD700">
        <v>18314.8</v>
      </c>
      <c r="AE700" s="5">
        <f>VLOOKUP(A700,[7]越南VN30指数历史数据!$A:$B,2,)</f>
        <v>1066.44</v>
      </c>
      <c r="AF700">
        <v>72961.36</v>
      </c>
      <c r="AG700" s="9">
        <v>20744.13</v>
      </c>
      <c r="AH700">
        <v>10733.63</v>
      </c>
      <c r="AI700">
        <v>1882.51</v>
      </c>
      <c r="AJ700">
        <v>1779.26</v>
      </c>
    </row>
    <row r="701" spans="1:36" x14ac:dyDescent="0.3">
      <c r="A701" s="2">
        <v>45060</v>
      </c>
      <c r="B701" s="3">
        <v>338677.63</v>
      </c>
      <c r="C701" s="4">
        <v>110745</v>
      </c>
      <c r="D701" s="3">
        <v>7279.5</v>
      </c>
      <c r="E701" s="3">
        <v>33426.43</v>
      </c>
      <c r="F701" s="3">
        <v>20351.060000000001</v>
      </c>
      <c r="G701" s="3">
        <v>1773.72</v>
      </c>
      <c r="H701" s="3">
        <v>4191.9799999999996</v>
      </c>
      <c r="I701" s="3">
        <v>12657.9</v>
      </c>
      <c r="J701" s="3">
        <v>54296.05</v>
      </c>
      <c r="K701" s="3">
        <v>28869.3</v>
      </c>
      <c r="L701" s="3">
        <v>1992.31</v>
      </c>
      <c r="M701" s="3">
        <v>16275.38</v>
      </c>
      <c r="N701" s="6">
        <f>VLOOKUP(A701,'[1]俄罗斯交易系统市值加权指数历史数据 (1)'!$A:$B,2,)</f>
        <v>1036.5999999999999</v>
      </c>
      <c r="O701" s="3">
        <v>7491.96</v>
      </c>
      <c r="P701" s="1">
        <v>767.1</v>
      </c>
      <c r="Q701" s="3">
        <v>11571.16</v>
      </c>
      <c r="R701" s="3">
        <v>4501.7299999999996</v>
      </c>
      <c r="S701" s="3">
        <v>9251.5</v>
      </c>
      <c r="T701" s="3">
        <v>7756.87</v>
      </c>
      <c r="U701" s="3">
        <v>4395.3</v>
      </c>
      <c r="V701" s="6">
        <f>VLOOKUP(A701,[2]韩国KOSPI指数历史数据!$A:$B,2,)</f>
        <v>2537.79</v>
      </c>
      <c r="W701" s="6">
        <f>VLOOKUP(A701,[3]日经225指数历史数据!$A:$B,2,)</f>
        <v>30808.35</v>
      </c>
      <c r="X701" s="3">
        <v>1825.5</v>
      </c>
      <c r="Y701" s="6">
        <f>VLOOKUP(A701,[4]上证指数历史数据!$A:$B,2,)</f>
        <v>3283.54</v>
      </c>
      <c r="Z701" s="6">
        <f>VLOOKUP(A701,[5]深证成份指数历史数据!$A:$B,2,)</f>
        <v>11091.36</v>
      </c>
      <c r="AA701" s="6">
        <f>VLOOKUP(A701,[6]台湾加权指数历史数据!$A:$B,2,)</f>
        <v>16174.92</v>
      </c>
      <c r="AB701" s="3">
        <v>19450.57</v>
      </c>
      <c r="AC701" s="3">
        <v>3202.59</v>
      </c>
      <c r="AD701">
        <v>18203.400000000001</v>
      </c>
      <c r="AE701" s="5">
        <f>VLOOKUP(A701,[7]越南VN30指数历史数据!$A:$B,2,)</f>
        <v>1068.8399999999999</v>
      </c>
      <c r="AF701">
        <v>72985.41</v>
      </c>
      <c r="AG701" s="9">
        <v>20026.919999999998</v>
      </c>
      <c r="AH701">
        <v>10764.97</v>
      </c>
      <c r="AI701">
        <v>1880.79</v>
      </c>
      <c r="AJ701">
        <v>1816.97</v>
      </c>
    </row>
    <row r="702" spans="1:36" x14ac:dyDescent="0.3">
      <c r="A702" s="2">
        <v>45067</v>
      </c>
      <c r="B702" s="3">
        <v>341669.31</v>
      </c>
      <c r="C702" s="4">
        <v>110906</v>
      </c>
      <c r="D702" s="3">
        <v>7154.8</v>
      </c>
      <c r="E702" s="3">
        <v>33093.339999999997</v>
      </c>
      <c r="F702" s="3">
        <v>19920.310000000001</v>
      </c>
      <c r="G702" s="3">
        <v>1773.02</v>
      </c>
      <c r="H702" s="3">
        <v>4205.45</v>
      </c>
      <c r="I702" s="3">
        <v>12975.69</v>
      </c>
      <c r="J702" s="3">
        <v>54025.45</v>
      </c>
      <c r="K702" s="3">
        <v>28559.98</v>
      </c>
      <c r="L702" s="3">
        <v>1984.12</v>
      </c>
      <c r="M702" s="3">
        <v>15983.97</v>
      </c>
      <c r="N702" s="6">
        <f>VLOOKUP(A702,'[1]俄罗斯交易系统市值加权指数历史数据 (1)'!$A:$B,2,)</f>
        <v>1055.6300000000001</v>
      </c>
      <c r="O702" s="3">
        <v>7319.18</v>
      </c>
      <c r="P702" s="1">
        <v>767.86</v>
      </c>
      <c r="Q702" s="3">
        <v>11434.24</v>
      </c>
      <c r="R702" s="3">
        <v>4580.67</v>
      </c>
      <c r="S702" s="3">
        <v>9191.1</v>
      </c>
      <c r="T702" s="3">
        <v>7627.2</v>
      </c>
      <c r="U702" s="3">
        <v>4337.5</v>
      </c>
      <c r="V702" s="6">
        <f>VLOOKUP(A702,[2]韩国KOSPI指数历史数据!$A:$B,2,)</f>
        <v>2558.81</v>
      </c>
      <c r="W702" s="6">
        <f>VLOOKUP(A702,[3]日经225指数历史数据!$A:$B,2,)</f>
        <v>30916.31</v>
      </c>
      <c r="X702" s="3">
        <v>1768.31</v>
      </c>
      <c r="Y702" s="6">
        <f>VLOOKUP(A702,[4]上证指数历史数据!$A:$B,2,)</f>
        <v>3212.5</v>
      </c>
      <c r="Z702" s="6">
        <f>VLOOKUP(A702,[5]深证成份指数历史数据!$A:$B,2,)</f>
        <v>10909.65</v>
      </c>
      <c r="AA702" s="6">
        <f>VLOOKUP(A702,[6]台湾加权指数历史数据!$A:$B,2,)</f>
        <v>16505.05</v>
      </c>
      <c r="AB702" s="3">
        <v>18746.919999999998</v>
      </c>
      <c r="AC702" s="3">
        <v>3207.39</v>
      </c>
      <c r="AD702">
        <v>18499.349999999999</v>
      </c>
      <c r="AE702" s="5">
        <f>VLOOKUP(A702,[7]越南VN30指数历史数据!$A:$B,2,)</f>
        <v>1060.81</v>
      </c>
      <c r="AF702">
        <v>71404.27</v>
      </c>
      <c r="AG702" s="9">
        <v>20354.41</v>
      </c>
      <c r="AH702">
        <v>10943.66</v>
      </c>
      <c r="AI702">
        <v>1915.5</v>
      </c>
      <c r="AJ702">
        <v>1819.11</v>
      </c>
    </row>
    <row r="703" spans="1:36" x14ac:dyDescent="0.3">
      <c r="A703" s="2">
        <v>45074</v>
      </c>
      <c r="B703" s="3">
        <v>352936.84</v>
      </c>
      <c r="C703" s="4">
        <v>112558</v>
      </c>
      <c r="D703" s="3">
        <v>7145.1</v>
      </c>
      <c r="E703" s="3">
        <v>33762.76</v>
      </c>
      <c r="F703" s="3">
        <v>20024.63</v>
      </c>
      <c r="G703" s="3">
        <v>1830.91</v>
      </c>
      <c r="H703" s="3">
        <v>4282.37</v>
      </c>
      <c r="I703" s="3">
        <v>13240.77</v>
      </c>
      <c r="J703" s="3">
        <v>53232.71</v>
      </c>
      <c r="K703" s="1">
        <v>28874.59</v>
      </c>
      <c r="L703" s="3">
        <v>2018.09</v>
      </c>
      <c r="M703" s="3">
        <v>16051.23</v>
      </c>
      <c r="N703" s="6">
        <f>VLOOKUP(A703,'[1]俄罗斯交易系统市值加权指数历史数据 (1)'!$A:$B,2,)</f>
        <v>1051.53</v>
      </c>
      <c r="O703" s="3">
        <v>7270.69</v>
      </c>
      <c r="P703" s="1">
        <v>764.92</v>
      </c>
      <c r="Q703" s="3">
        <v>11443.35</v>
      </c>
      <c r="R703" s="3">
        <v>5114.97</v>
      </c>
      <c r="S703" s="3">
        <v>9317.2999999999993</v>
      </c>
      <c r="T703" s="3">
        <v>7607.28</v>
      </c>
      <c r="U703" s="3">
        <v>4323.5200000000004</v>
      </c>
      <c r="V703" s="6">
        <f>VLOOKUP(A703,[2]韩国KOSPI指数历史数据!$A:$B,2,)</f>
        <v>2601.36</v>
      </c>
      <c r="W703" s="6">
        <f>VLOOKUP(A703,[3]日经225指数历史数据!$A:$B,2,)</f>
        <v>31524.22</v>
      </c>
      <c r="X703" s="3">
        <v>1729.35</v>
      </c>
      <c r="Y703" s="6">
        <f>VLOOKUP(A703,[4]上证指数历史数据!$A:$B,2,)</f>
        <v>3230.07</v>
      </c>
      <c r="Z703" s="6">
        <f>VLOOKUP(A703,[5]深证成份指数历史数据!$A:$B,2,)</f>
        <v>10998.08</v>
      </c>
      <c r="AA703" s="6">
        <f>VLOOKUP(A703,[6]台湾加权指数历史数据!$A:$B,2,)</f>
        <v>16706.91</v>
      </c>
      <c r="AB703" s="3">
        <v>18949.939999999999</v>
      </c>
      <c r="AC703" s="3">
        <v>3166.3</v>
      </c>
      <c r="AD703">
        <v>18534.099999999999</v>
      </c>
      <c r="AE703" s="5">
        <f>VLOOKUP(A703,[7]越南VN30指数历史数据!$A:$B,2,)</f>
        <v>1086.96</v>
      </c>
      <c r="AF703">
        <v>71993.27</v>
      </c>
      <c r="AG703" s="9">
        <v>21059.47</v>
      </c>
      <c r="AH703">
        <v>11150.78</v>
      </c>
      <c r="AI703">
        <v>2019.83</v>
      </c>
      <c r="AJ703">
        <v>1841.91</v>
      </c>
    </row>
    <row r="704" spans="1:36" x14ac:dyDescent="0.3">
      <c r="A704" s="2">
        <v>45081</v>
      </c>
      <c r="B704" s="3">
        <v>381763.88</v>
      </c>
      <c r="C704" s="4">
        <v>117019</v>
      </c>
      <c r="D704" s="3">
        <v>7122.5</v>
      </c>
      <c r="E704" s="3">
        <v>33877.24</v>
      </c>
      <c r="F704" s="3">
        <v>19892.060000000001</v>
      </c>
      <c r="G704" s="3">
        <v>1865.71</v>
      </c>
      <c r="H704" s="3">
        <v>4298.8599999999997</v>
      </c>
      <c r="I704" s="3">
        <v>13259.14</v>
      </c>
      <c r="J704" s="3">
        <v>54512.14</v>
      </c>
      <c r="K704" s="1">
        <v>29092.66</v>
      </c>
      <c r="L704" s="3">
        <v>2050.9899999999998</v>
      </c>
      <c r="M704" s="3">
        <v>15949.84</v>
      </c>
      <c r="N704" s="6">
        <f>VLOOKUP(A704,'[1]俄罗斯交易系统市值加权指数历史数据 (1)'!$A:$B,2,)</f>
        <v>1032.29</v>
      </c>
      <c r="O704" s="3">
        <v>7213.14</v>
      </c>
      <c r="P704" s="1">
        <v>759.32</v>
      </c>
      <c r="Q704" s="3">
        <v>11254.42</v>
      </c>
      <c r="R704" s="3">
        <v>5626.49</v>
      </c>
      <c r="S704" s="3">
        <v>9309.7000000000007</v>
      </c>
      <c r="T704" s="3">
        <v>7562.36</v>
      </c>
      <c r="U704" s="3">
        <v>4289.79</v>
      </c>
      <c r="V704" s="6">
        <f>VLOOKUP(A704,[2]韩国KOSPI指数历史数据!$A:$B,2,)</f>
        <v>2641.16</v>
      </c>
      <c r="W704" s="6">
        <f>VLOOKUP(A704,[3]日经225指数历史数据!$A:$B,2,)</f>
        <v>32265.17</v>
      </c>
      <c r="X704" s="3">
        <v>1794.25</v>
      </c>
      <c r="Y704" s="6">
        <f>VLOOKUP(A704,[4]上证指数历史数据!$A:$B,2,)</f>
        <v>3231.41</v>
      </c>
      <c r="Z704" s="6">
        <f>VLOOKUP(A704,[5]深证成份指数历史数据!$A:$B,2,)</f>
        <v>10793.93</v>
      </c>
      <c r="AA704" s="6">
        <f>VLOOKUP(A704,[6]台湾加权指数历史数据!$A:$B,2,)</f>
        <v>16886.400000000001</v>
      </c>
      <c r="AB704" s="3">
        <v>19389.95</v>
      </c>
      <c r="AC704" s="3">
        <v>3186.97</v>
      </c>
      <c r="AD704">
        <v>18563.400000000001</v>
      </c>
      <c r="AE704" s="5">
        <f>VLOOKUP(A704,[7]越南VN30指数历史数据!$A:$B,2,)</f>
        <v>1100.8499999999999</v>
      </c>
      <c r="AF704">
        <v>71602.070000000007</v>
      </c>
      <c r="AG704" s="9">
        <v>21001.52</v>
      </c>
      <c r="AH704">
        <v>11060.42</v>
      </c>
      <c r="AI704">
        <v>2022</v>
      </c>
      <c r="AJ704">
        <v>1839.75</v>
      </c>
    </row>
    <row r="705" spans="1:36" x14ac:dyDescent="0.3">
      <c r="A705" s="2">
        <v>45088</v>
      </c>
      <c r="B705" s="3">
        <v>409416.5</v>
      </c>
      <c r="C705" s="4">
        <v>118758</v>
      </c>
      <c r="D705" s="3">
        <v>7251.2</v>
      </c>
      <c r="E705" s="3">
        <v>34300.76</v>
      </c>
      <c r="F705" s="3">
        <v>19975.37</v>
      </c>
      <c r="G705" s="3">
        <v>1875.47</v>
      </c>
      <c r="H705" s="3">
        <v>4409.59</v>
      </c>
      <c r="I705" s="3">
        <v>13689.57</v>
      </c>
      <c r="J705" s="3">
        <v>54842.51</v>
      </c>
      <c r="K705" s="1">
        <v>29425.4</v>
      </c>
      <c r="L705" s="3">
        <v>2108.0500000000002</v>
      </c>
      <c r="M705" s="3">
        <v>16357.63</v>
      </c>
      <c r="N705" s="6">
        <f>VLOOKUP(A705,'[1]俄罗斯交易系统市值加权指数历史数据 (1)'!$A:$B,2,)</f>
        <v>1047.47</v>
      </c>
      <c r="O705" s="3">
        <v>7388.65</v>
      </c>
      <c r="P705" s="1">
        <v>772.72</v>
      </c>
      <c r="Q705" s="3">
        <v>11386.26</v>
      </c>
      <c r="R705" s="3">
        <v>5475.48</v>
      </c>
      <c r="S705" s="3">
        <v>9495</v>
      </c>
      <c r="T705" s="3">
        <v>7642.72</v>
      </c>
      <c r="U705" s="3">
        <v>4394.82</v>
      </c>
      <c r="V705" s="6">
        <f>VLOOKUP(A705,[2]韩国KOSPI指数历史数据!$A:$B,2,)</f>
        <v>2625.79</v>
      </c>
      <c r="W705" s="6">
        <f>VLOOKUP(A705,[3]日经225指数历史数据!$A:$B,2,)</f>
        <v>33706.080000000002</v>
      </c>
      <c r="X705" s="3">
        <v>1820.1</v>
      </c>
      <c r="Y705" s="6">
        <f>VLOOKUP(A705,[4]上证指数历史数据!$A:$B,2,)</f>
        <v>3273.33</v>
      </c>
      <c r="Z705" s="6">
        <f>VLOOKUP(A705,[5]深证成份指数历史数据!$A:$B,2,)</f>
        <v>11306.53</v>
      </c>
      <c r="AA705" s="6">
        <f>VLOOKUP(A705,[6]台湾加权指数历史数据!$A:$B,2,)</f>
        <v>17288.91</v>
      </c>
      <c r="AB705" s="3">
        <v>20040.37</v>
      </c>
      <c r="AC705" s="3">
        <v>3260.03</v>
      </c>
      <c r="AD705">
        <v>18826</v>
      </c>
      <c r="AE705" s="5">
        <f>VLOOKUP(A705,[7]越南VN30指数历史数据!$A:$B,2,)</f>
        <v>1109.06</v>
      </c>
      <c r="AF705">
        <v>73035.28</v>
      </c>
      <c r="AG705" s="9">
        <v>21542.81</v>
      </c>
      <c r="AH705">
        <v>11452.87</v>
      </c>
      <c r="AI705">
        <v>2137.35</v>
      </c>
      <c r="AJ705">
        <v>1834.31</v>
      </c>
    </row>
    <row r="706" spans="1:36" x14ac:dyDescent="0.3">
      <c r="A706" s="2">
        <v>45095</v>
      </c>
      <c r="B706" s="3">
        <v>420736.69</v>
      </c>
      <c r="C706" s="4">
        <v>118977</v>
      </c>
      <c r="D706" s="3">
        <v>7099.2</v>
      </c>
      <c r="E706" s="3">
        <v>33728.69</v>
      </c>
      <c r="F706" s="3">
        <v>19418.23</v>
      </c>
      <c r="G706" s="3">
        <v>1821.63</v>
      </c>
      <c r="H706" s="3">
        <v>4348.33</v>
      </c>
      <c r="I706" s="3">
        <v>13492.52</v>
      </c>
      <c r="J706" s="3">
        <v>53341.91</v>
      </c>
      <c r="K706" s="1">
        <v>29150.2</v>
      </c>
      <c r="L706" s="3">
        <v>2035</v>
      </c>
      <c r="M706" s="3">
        <v>15829.94</v>
      </c>
      <c r="N706" s="6">
        <f>VLOOKUP(A706,'[1]俄罗斯交易系统市值加权指数历史数据 (1)'!$A:$B,2,)</f>
        <v>1039.99</v>
      </c>
      <c r="O706" s="3">
        <v>7163.42</v>
      </c>
      <c r="P706" s="1">
        <v>756.6</v>
      </c>
      <c r="Q706" s="3">
        <v>11221.22</v>
      </c>
      <c r="R706" s="3">
        <v>5582.75</v>
      </c>
      <c r="S706" s="3">
        <v>9265.7999999999993</v>
      </c>
      <c r="T706" s="3">
        <v>7461.87</v>
      </c>
      <c r="U706" s="3">
        <v>4271.6099999999997</v>
      </c>
      <c r="V706" s="6">
        <f>VLOOKUP(A706,[2]韩国KOSPI指数历史数据!$A:$B,2,)</f>
        <v>2570.1</v>
      </c>
      <c r="W706" s="6">
        <f>VLOOKUP(A706,[3]日经225指数历史数据!$A:$B,2,)</f>
        <v>32781.54</v>
      </c>
      <c r="X706" s="3">
        <v>1787.57</v>
      </c>
      <c r="Y706" s="6">
        <f>VLOOKUP(A706,[4]上证指数历史数据!$A:$B,2,)</f>
        <v>3197.9</v>
      </c>
      <c r="Z706" s="6">
        <f>VLOOKUP(A706,[5]深证成份指数历史数据!$A:$B,2,)</f>
        <v>11058.63</v>
      </c>
      <c r="AA706" s="6">
        <f>VLOOKUP(A706,[6]台湾加权指数历史数据!$A:$B,2,)</f>
        <v>17202.400000000001</v>
      </c>
      <c r="AB706" s="3">
        <v>18889.97</v>
      </c>
      <c r="AC706" s="3">
        <v>3191.6</v>
      </c>
      <c r="AD706">
        <v>18665.5</v>
      </c>
      <c r="AE706" s="5">
        <f>VLOOKUP(A706,[7]越南VN30指数历史数据!$A:$B,2,)</f>
        <v>1126.76</v>
      </c>
      <c r="AF706">
        <v>69130.75</v>
      </c>
      <c r="AG706" s="9">
        <v>21459.43</v>
      </c>
      <c r="AH706">
        <v>11537.23</v>
      </c>
      <c r="AI706">
        <v>2141.0100000000002</v>
      </c>
      <c r="AJ706">
        <v>1808.38</v>
      </c>
    </row>
    <row r="707" spans="1:36" x14ac:dyDescent="0.3">
      <c r="A707" s="2">
        <v>45102</v>
      </c>
      <c r="B707" s="3">
        <v>426280.97</v>
      </c>
      <c r="C707" s="4">
        <v>118087</v>
      </c>
      <c r="D707" s="3">
        <v>7203.3</v>
      </c>
      <c r="E707" s="3">
        <v>34405.99</v>
      </c>
      <c r="F707" s="3">
        <v>20155.29</v>
      </c>
      <c r="G707" s="3">
        <v>1888.73</v>
      </c>
      <c r="H707" s="3">
        <v>4450.38</v>
      </c>
      <c r="I707" s="3">
        <v>13787.92</v>
      </c>
      <c r="J707" s="3">
        <v>53526.1</v>
      </c>
      <c r="K707" s="1">
        <v>29662.83</v>
      </c>
      <c r="L707" s="3">
        <v>2060.38</v>
      </c>
      <c r="M707" s="3">
        <v>16147.9</v>
      </c>
      <c r="N707" s="6">
        <f>VLOOKUP(A707,'[1]俄罗斯交易系统市值加权指数历史数据 (1)'!$A:$B,2,)</f>
        <v>982.94</v>
      </c>
      <c r="O707" s="3">
        <v>7400.06</v>
      </c>
      <c r="P707" s="1">
        <v>773.94</v>
      </c>
      <c r="Q707" s="3">
        <v>11280.29</v>
      </c>
      <c r="R707" s="3">
        <v>5759.11</v>
      </c>
      <c r="S707" s="3">
        <v>9593</v>
      </c>
      <c r="T707" s="3">
        <v>7531.53</v>
      </c>
      <c r="U707" s="3">
        <v>4399.09</v>
      </c>
      <c r="V707" s="6">
        <f>VLOOKUP(A707,[2]韩国KOSPI指数历史数据!$A:$B,2,)</f>
        <v>2564.2800000000002</v>
      </c>
      <c r="W707" s="6">
        <f>VLOOKUP(A707,[3]日经225指数历史数据!$A:$B,2,)</f>
        <v>33189.040000000001</v>
      </c>
      <c r="X707" s="3">
        <v>1749.22</v>
      </c>
      <c r="Y707" s="6">
        <f>VLOOKUP(A707,[4]上证指数历史数据!$A:$B,2,)</f>
        <v>3202.06</v>
      </c>
      <c r="Z707" s="6">
        <f>VLOOKUP(A707,[5]深证成份指数历史数据!$A:$B,2,)</f>
        <v>11026.59</v>
      </c>
      <c r="AA707" s="6">
        <f>VLOOKUP(A707,[6]台湾加权指数历史数据!$A:$B,2,)</f>
        <v>16915.54</v>
      </c>
      <c r="AB707" s="3">
        <v>18916.43</v>
      </c>
      <c r="AC707" s="3">
        <v>3205.91</v>
      </c>
      <c r="AD707">
        <v>19189.05</v>
      </c>
      <c r="AE707" s="5">
        <f>VLOOKUP(A707,[7]越南VN30指数历史数据!$A:$B,2,)</f>
        <v>1123.1300000000001</v>
      </c>
      <c r="AF707">
        <v>70705.47</v>
      </c>
      <c r="AG707" s="9">
        <v>21419.03</v>
      </c>
      <c r="AH707">
        <v>11579.76</v>
      </c>
      <c r="AI707">
        <v>2201.23</v>
      </c>
      <c r="AJ707">
        <v>1800.04</v>
      </c>
    </row>
    <row r="708" spans="1:36" x14ac:dyDescent="0.3">
      <c r="A708" s="2">
        <v>45109</v>
      </c>
      <c r="B708" s="3">
        <v>436732.59</v>
      </c>
      <c r="C708" s="4">
        <v>118782</v>
      </c>
      <c r="D708" s="3">
        <v>7156.3</v>
      </c>
      <c r="E708" s="3">
        <v>34289.43</v>
      </c>
      <c r="F708" s="3">
        <v>20103.89</v>
      </c>
      <c r="G708" s="3">
        <v>1874.16</v>
      </c>
      <c r="H708" s="3">
        <v>4446.82</v>
      </c>
      <c r="I708" s="3">
        <v>13791.65</v>
      </c>
      <c r="J708" s="3">
        <v>54039.66</v>
      </c>
      <c r="K708" s="1">
        <v>29747.86</v>
      </c>
      <c r="L708" s="3">
        <v>2015.11</v>
      </c>
      <c r="M708" s="3">
        <v>15937.58</v>
      </c>
      <c r="N708" s="6">
        <f>VLOOKUP(A708,'[1]俄罗斯交易系统市值加权指数历史数据 (1)'!$A:$B,2,)</f>
        <v>969.33</v>
      </c>
      <c r="O708" s="3">
        <v>7310.81</v>
      </c>
      <c r="P708" s="1">
        <v>769.89</v>
      </c>
      <c r="Q708" s="3">
        <v>11193.92</v>
      </c>
      <c r="R708" s="3">
        <v>6106.76</v>
      </c>
      <c r="S708" s="3">
        <v>9486.2999999999993</v>
      </c>
      <c r="T708" s="3">
        <v>7442.1</v>
      </c>
      <c r="U708" s="3">
        <v>4355</v>
      </c>
      <c r="V708" s="6">
        <f>VLOOKUP(A708,[2]韩国KOSPI指数历史数据!$A:$B,2,)</f>
        <v>2558.42</v>
      </c>
      <c r="W708" s="6">
        <f>VLOOKUP(A708,[3]日经225指数历史数据!$A:$B,2,)</f>
        <v>32764.5</v>
      </c>
      <c r="X708" s="3">
        <v>1779.07</v>
      </c>
      <c r="Y708" s="6">
        <f>VLOOKUP(A708,[4]上证指数历史数据!$A:$B,2,)</f>
        <v>3205.27</v>
      </c>
      <c r="Z708" s="6">
        <f>VLOOKUP(A708,[5]深证成份指数历史数据!$A:$B,2,)</f>
        <v>10968.12</v>
      </c>
      <c r="AA708" s="6">
        <f>VLOOKUP(A708,[6]台湾加权指数历史数据!$A:$B,2,)</f>
        <v>16762.169999999998</v>
      </c>
      <c r="AB708" s="3">
        <v>18506</v>
      </c>
      <c r="AC708" s="3">
        <v>3185.38</v>
      </c>
      <c r="AD708">
        <v>19452.8</v>
      </c>
      <c r="AE708" s="5">
        <f>VLOOKUP(A708,[7]越南VN30指数历史数据!$A:$B,2,)</f>
        <v>1125.69</v>
      </c>
      <c r="AF708">
        <v>69509.98</v>
      </c>
      <c r="AG708" s="9">
        <v>20849.54</v>
      </c>
      <c r="AH708">
        <v>11575.81</v>
      </c>
      <c r="AI708">
        <v>2288.19</v>
      </c>
      <c r="AJ708">
        <v>1809.88</v>
      </c>
    </row>
  </sheetData>
  <autoFilter ref="N1:N70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2024-03-10T18:18:42Z</dcterms:modified>
</cp:coreProperties>
</file>