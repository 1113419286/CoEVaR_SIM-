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CoEVaR_SIFIs\"/>
    </mc:Choice>
  </mc:AlternateContent>
  <xr:revisionPtr revIDLastSave="0" documentId="13_ncr:1_{EC2ADC77-D429-4530-AB01-EC16B15F30A0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Sheet2" sheetId="2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2" i="4"/>
</calcChain>
</file>

<file path=xl/sharedStrings.xml><?xml version="1.0" encoding="utf-8"?>
<sst xmlns="http://schemas.openxmlformats.org/spreadsheetml/2006/main" count="98" uniqueCount="62">
  <si>
    <t>风险接受（排名）</t>
  </si>
  <si>
    <t>平均连接强度</t>
  </si>
  <si>
    <t>加拿大TSX指数</t>
  </si>
  <si>
    <t>美国罗素2000指数</t>
  </si>
  <si>
    <t>美国标普500指数</t>
  </si>
  <si>
    <t>美国纳斯达克工业指数</t>
  </si>
  <si>
    <t>墨西哥BMV指数</t>
  </si>
  <si>
    <t>智利SPCLXIGPA指数</t>
  </si>
  <si>
    <t>德国DAX30指数</t>
  </si>
  <si>
    <t>俄罗斯IRS指数</t>
  </si>
  <si>
    <t>法国CAC40指数</t>
  </si>
  <si>
    <t>荷兰AEX指数</t>
  </si>
  <si>
    <t>以色列TA35指数</t>
  </si>
  <si>
    <t>土耳其XU100指数</t>
  </si>
  <si>
    <t>西班牙IBEX35指数</t>
  </si>
  <si>
    <t>英国富时100指数</t>
  </si>
  <si>
    <t>欧洲STOXX指数</t>
  </si>
  <si>
    <t>韩国KOSPI指数</t>
  </si>
  <si>
    <t>日经225指数</t>
  </si>
  <si>
    <t>瑞士SWI20指数</t>
  </si>
  <si>
    <t>上证指数</t>
  </si>
  <si>
    <t>深证成指</t>
  </si>
  <si>
    <t>台湾加权指数</t>
  </si>
  <si>
    <t>香港恒生指数</t>
  </si>
  <si>
    <t>新加坡海峡时报指数</t>
  </si>
  <si>
    <t>印度NIFTY指数</t>
  </si>
  <si>
    <t>越南VN30指数</t>
  </si>
  <si>
    <t>美国道琼斯指数</t>
  </si>
  <si>
    <t>亚洲</t>
  </si>
  <si>
    <t>欧洲</t>
  </si>
  <si>
    <t>美洲</t>
  </si>
  <si>
    <t>总体排名</t>
    <phoneticPr fontId="1" type="noConversion"/>
  </si>
  <si>
    <t>风险溢出（排名）</t>
    <phoneticPr fontId="1" type="noConversion"/>
  </si>
  <si>
    <t>日经225指数（1）</t>
    <phoneticPr fontId="1" type="noConversion"/>
  </si>
  <si>
    <t>深证成指（3）</t>
    <phoneticPr fontId="1" type="noConversion"/>
  </si>
  <si>
    <t>波兰WIG20指数（3）</t>
    <phoneticPr fontId="1" type="noConversion"/>
  </si>
  <si>
    <t>巴西IBOVESPA指数（2）</t>
    <phoneticPr fontId="1" type="noConversion"/>
  </si>
  <si>
    <t>美国罗素2000指数（1）</t>
    <phoneticPr fontId="1" type="noConversion"/>
  </si>
  <si>
    <t>美国纳斯达克工业指数（3）</t>
    <phoneticPr fontId="1" type="noConversion"/>
  </si>
  <si>
    <t>区域</t>
    <phoneticPr fontId="1" type="noConversion"/>
  </si>
  <si>
    <t>阿根廷Merval指数</t>
  </si>
  <si>
    <t>巴西IBOVESPA指数</t>
  </si>
  <si>
    <t xml:space="preserve">澳大利亚ASX200指数 </t>
  </si>
  <si>
    <t>波兰WIG20指数</t>
  </si>
  <si>
    <t>风险接收（排名）</t>
    <phoneticPr fontId="1" type="noConversion"/>
  </si>
  <si>
    <t>指数</t>
    <phoneticPr fontId="1" type="noConversion"/>
  </si>
  <si>
    <t>香港恒生指数（1）</t>
    <phoneticPr fontId="1" type="noConversion"/>
  </si>
  <si>
    <t>台湾加权指数（2）</t>
    <phoneticPr fontId="1" type="noConversion"/>
  </si>
  <si>
    <t>日经225指数（2）</t>
    <phoneticPr fontId="1" type="noConversion"/>
  </si>
  <si>
    <t>韩国KOSPI指数（3）</t>
    <phoneticPr fontId="1" type="noConversion"/>
  </si>
  <si>
    <t>荷兰AEX指数（1）</t>
    <phoneticPr fontId="1" type="noConversion"/>
  </si>
  <si>
    <t>西班牙IBEX35指数（1）</t>
    <phoneticPr fontId="1" type="noConversion"/>
  </si>
  <si>
    <t>英国富时100指数（2）</t>
    <phoneticPr fontId="1" type="noConversion"/>
  </si>
  <si>
    <t>欧洲STOXX指数（2）</t>
    <phoneticPr fontId="1" type="noConversion"/>
  </si>
  <si>
    <t>瑞士SWI20指数（3）</t>
    <phoneticPr fontId="1" type="noConversion"/>
  </si>
  <si>
    <t>加拿大TSX指数（1）</t>
    <phoneticPr fontId="1" type="noConversion"/>
  </si>
  <si>
    <t>美国罗素2000指数（2）</t>
    <phoneticPr fontId="1" type="noConversion"/>
  </si>
  <si>
    <t>美国道琼斯指数（3）</t>
    <phoneticPr fontId="1" type="noConversion"/>
  </si>
  <si>
    <t>净溢出排名</t>
    <phoneticPr fontId="1" type="noConversion"/>
  </si>
  <si>
    <t>平均净溢出强度</t>
    <phoneticPr fontId="1" type="noConversion"/>
  </si>
  <si>
    <t>风险接收(排名)</t>
    <phoneticPr fontId="1" type="noConversion"/>
  </si>
  <si>
    <t>风险溢出(排名)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</si>
</sst>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176" fontId="0" fillId="0" borderId="3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55A2-41C7-4215-AC56-B6182C4DDB65}">
  <dimension ref="A1:L32"/>
  <sheetViews>
    <sheetView workbookViewId="0">
      <selection activeCell="F12" sqref="F12"/>
    </sheetView>
  </sheetViews>
  <sheetFormatPr defaultRowHeight="14" x14ac:dyDescent="0.3"/>
  <cols>
    <col min="2" max="2" width="19.25" customWidth="1"/>
    <col min="3" max="3" width="15.33203125" style="2" customWidth="1"/>
    <col min="4" max="4" width="14.9140625" style="2" customWidth="1"/>
    <col min="5" max="5" width="14.33203125" style="2" customWidth="1"/>
    <col min="6" max="6" width="12.33203125" style="3" customWidth="1"/>
    <col min="8" max="8" width="9.83203125" customWidth="1"/>
    <col min="9" max="9" width="20.33203125" style="2" customWidth="1"/>
    <col min="10" max="10" width="13.25" customWidth="1"/>
    <col min="11" max="11" width="23" style="2" customWidth="1"/>
    <col min="12" max="12" width="15.33203125" customWidth="1"/>
  </cols>
  <sheetData>
    <row r="1" spans="1:12" ht="14.5" thickBot="1" x14ac:dyDescent="0.35"/>
    <row r="2" spans="1:12" x14ac:dyDescent="0.3">
      <c r="A2">
        <v>0</v>
      </c>
      <c r="B2" s="6" t="s">
        <v>45</v>
      </c>
      <c r="C2" s="7" t="s">
        <v>44</v>
      </c>
      <c r="D2" s="7" t="s">
        <v>1</v>
      </c>
      <c r="E2" s="7" t="s">
        <v>32</v>
      </c>
      <c r="F2" s="7" t="s">
        <v>1</v>
      </c>
      <c r="H2" s="7" t="s">
        <v>39</v>
      </c>
      <c r="I2" s="7" t="s">
        <v>0</v>
      </c>
      <c r="J2" s="7" t="s">
        <v>31</v>
      </c>
      <c r="K2" s="7" t="s">
        <v>32</v>
      </c>
      <c r="L2" s="7" t="s">
        <v>31</v>
      </c>
    </row>
    <row r="3" spans="1:12" x14ac:dyDescent="0.3">
      <c r="A3">
        <v>1</v>
      </c>
      <c r="B3" s="1" t="s">
        <v>40</v>
      </c>
      <c r="C3" s="2">
        <v>27</v>
      </c>
      <c r="D3" s="1">
        <v>34.010033836397099</v>
      </c>
      <c r="E3" s="2">
        <v>29</v>
      </c>
      <c r="F3" s="1">
        <v>32.742920670008303</v>
      </c>
      <c r="H3" s="12" t="s">
        <v>28</v>
      </c>
      <c r="I3" s="3" t="s">
        <v>33</v>
      </c>
      <c r="J3" s="2">
        <v>7</v>
      </c>
      <c r="K3" s="3" t="s">
        <v>46</v>
      </c>
      <c r="L3" s="2">
        <v>5</v>
      </c>
    </row>
    <row r="4" spans="1:12" x14ac:dyDescent="0.3">
      <c r="A4">
        <v>2</v>
      </c>
      <c r="B4" s="1" t="s">
        <v>41</v>
      </c>
      <c r="C4" s="2">
        <v>22</v>
      </c>
      <c r="D4" s="1">
        <v>39.645551435608603</v>
      </c>
      <c r="E4" s="2">
        <v>7</v>
      </c>
      <c r="F4" s="1">
        <v>45.321554216547597</v>
      </c>
      <c r="H4" s="12"/>
      <c r="I4" s="3" t="s">
        <v>47</v>
      </c>
      <c r="J4" s="2">
        <v>9</v>
      </c>
      <c r="K4" s="3" t="s">
        <v>48</v>
      </c>
      <c r="L4" s="2">
        <v>11</v>
      </c>
    </row>
    <row r="5" spans="1:12" x14ac:dyDescent="0.3">
      <c r="A5">
        <v>3</v>
      </c>
      <c r="B5" s="1" t="s">
        <v>42</v>
      </c>
      <c r="C5" s="2">
        <v>17</v>
      </c>
      <c r="D5" s="1">
        <v>42.502441417288502</v>
      </c>
      <c r="E5" s="2">
        <v>20</v>
      </c>
      <c r="F5" s="1">
        <v>39.307084838383297</v>
      </c>
      <c r="H5" s="12"/>
      <c r="I5" s="3" t="s">
        <v>49</v>
      </c>
      <c r="J5" s="2">
        <v>12</v>
      </c>
      <c r="K5" s="3" t="s">
        <v>34</v>
      </c>
      <c r="L5" s="2">
        <v>12</v>
      </c>
    </row>
    <row r="6" spans="1:12" x14ac:dyDescent="0.3">
      <c r="A6">
        <v>4</v>
      </c>
      <c r="B6" s="1" t="s">
        <v>27</v>
      </c>
      <c r="C6" s="2">
        <v>6</v>
      </c>
      <c r="D6" s="1">
        <v>45.945780900849698</v>
      </c>
      <c r="E6" s="2">
        <v>22</v>
      </c>
      <c r="F6" s="1">
        <v>37.318560346553099</v>
      </c>
      <c r="H6" s="12" t="s">
        <v>29</v>
      </c>
      <c r="I6" s="3" t="s">
        <v>50</v>
      </c>
      <c r="J6" s="2">
        <v>1</v>
      </c>
      <c r="K6" s="3" t="s">
        <v>51</v>
      </c>
      <c r="L6" s="2">
        <v>2</v>
      </c>
    </row>
    <row r="7" spans="1:12" x14ac:dyDescent="0.3">
      <c r="A7">
        <v>5</v>
      </c>
      <c r="B7" s="1" t="s">
        <v>2</v>
      </c>
      <c r="C7" s="2">
        <v>3</v>
      </c>
      <c r="D7" s="1">
        <v>46.847519631286602</v>
      </c>
      <c r="E7" s="2">
        <v>30</v>
      </c>
      <c r="F7" s="1">
        <v>32.381904593026199</v>
      </c>
      <c r="H7" s="12"/>
      <c r="I7" s="3" t="s">
        <v>52</v>
      </c>
      <c r="J7" s="2">
        <v>2</v>
      </c>
      <c r="K7" s="3" t="s">
        <v>53</v>
      </c>
      <c r="L7" s="2">
        <v>3</v>
      </c>
    </row>
    <row r="8" spans="1:12" x14ac:dyDescent="0.3">
      <c r="A8">
        <v>6</v>
      </c>
      <c r="B8" s="1" t="s">
        <v>3</v>
      </c>
      <c r="C8" s="2">
        <v>4</v>
      </c>
      <c r="D8" s="1">
        <v>46.789096868428302</v>
      </c>
      <c r="E8" s="2">
        <v>1</v>
      </c>
      <c r="F8" s="1">
        <v>52.869737549514603</v>
      </c>
      <c r="H8" s="12"/>
      <c r="I8" s="3" t="s">
        <v>54</v>
      </c>
      <c r="J8" s="2">
        <v>5</v>
      </c>
      <c r="K8" s="3" t="s">
        <v>35</v>
      </c>
      <c r="L8" s="2">
        <v>4</v>
      </c>
    </row>
    <row r="9" spans="1:12" x14ac:dyDescent="0.3">
      <c r="A9">
        <v>7</v>
      </c>
      <c r="B9" s="1" t="s">
        <v>4</v>
      </c>
      <c r="C9" s="2">
        <v>18</v>
      </c>
      <c r="D9" s="1">
        <v>41.695576020814102</v>
      </c>
      <c r="E9" s="2">
        <v>25</v>
      </c>
      <c r="F9" s="1">
        <v>36.177632201352203</v>
      </c>
      <c r="H9" s="12" t="s">
        <v>30</v>
      </c>
      <c r="I9" s="3" t="s">
        <v>55</v>
      </c>
      <c r="J9" s="2">
        <v>3</v>
      </c>
      <c r="K9" s="3" t="s">
        <v>37</v>
      </c>
      <c r="L9" s="2">
        <v>1</v>
      </c>
    </row>
    <row r="10" spans="1:12" x14ac:dyDescent="0.3">
      <c r="A10">
        <v>8</v>
      </c>
      <c r="B10" s="1" t="s">
        <v>5</v>
      </c>
      <c r="C10" s="2">
        <v>11</v>
      </c>
      <c r="D10" s="1">
        <v>44.548698344963398</v>
      </c>
      <c r="E10" s="2">
        <v>8</v>
      </c>
      <c r="F10" s="1">
        <v>45.255740203735797</v>
      </c>
      <c r="H10" s="12"/>
      <c r="I10" s="3" t="s">
        <v>56</v>
      </c>
      <c r="J10" s="2">
        <v>4</v>
      </c>
      <c r="K10" s="3" t="s">
        <v>36</v>
      </c>
      <c r="L10" s="2">
        <v>7</v>
      </c>
    </row>
    <row r="11" spans="1:12" ht="14.5" thickBot="1" x14ac:dyDescent="0.35">
      <c r="A11">
        <v>9</v>
      </c>
      <c r="B11" s="1" t="s">
        <v>6</v>
      </c>
      <c r="C11" s="2">
        <v>19</v>
      </c>
      <c r="D11" s="1">
        <v>41.169816511159802</v>
      </c>
      <c r="E11" s="2">
        <v>21</v>
      </c>
      <c r="F11" s="1">
        <v>37.622591737691103</v>
      </c>
      <c r="H11" s="13"/>
      <c r="I11" s="4" t="s">
        <v>57</v>
      </c>
      <c r="J11" s="5">
        <v>6</v>
      </c>
      <c r="K11" s="4" t="s">
        <v>38</v>
      </c>
      <c r="L11" s="5">
        <v>8</v>
      </c>
    </row>
    <row r="12" spans="1:12" x14ac:dyDescent="0.3">
      <c r="A12">
        <v>10</v>
      </c>
      <c r="B12" s="1" t="s">
        <v>7</v>
      </c>
      <c r="C12" s="2">
        <v>26</v>
      </c>
      <c r="D12" s="1">
        <v>36.410013604718799</v>
      </c>
      <c r="E12" s="2">
        <v>24</v>
      </c>
      <c r="F12" s="1">
        <v>36.471060221402396</v>
      </c>
    </row>
    <row r="13" spans="1:12" x14ac:dyDescent="0.3">
      <c r="A13">
        <v>11</v>
      </c>
      <c r="B13" s="1" t="s">
        <v>43</v>
      </c>
      <c r="C13" s="2">
        <v>13</v>
      </c>
      <c r="D13" s="1">
        <v>44.3116097663899</v>
      </c>
      <c r="E13" s="2">
        <v>4</v>
      </c>
      <c r="F13" s="1">
        <v>48.640592380243902</v>
      </c>
    </row>
    <row r="14" spans="1:12" x14ac:dyDescent="0.3">
      <c r="A14">
        <v>12</v>
      </c>
      <c r="B14" s="1" t="s">
        <v>8</v>
      </c>
      <c r="C14" s="2">
        <v>10</v>
      </c>
      <c r="D14" s="1">
        <v>44.5933166386708</v>
      </c>
      <c r="E14" s="2">
        <v>9</v>
      </c>
      <c r="F14" s="1">
        <v>45.238370533701001</v>
      </c>
    </row>
    <row r="15" spans="1:12" x14ac:dyDescent="0.3">
      <c r="A15">
        <v>13</v>
      </c>
      <c r="B15" s="1" t="s">
        <v>9</v>
      </c>
      <c r="C15" s="2">
        <v>21</v>
      </c>
      <c r="D15" s="1">
        <v>39.703300354648597</v>
      </c>
      <c r="E15" s="2">
        <v>10</v>
      </c>
      <c r="F15" s="1">
        <v>43.303916326021202</v>
      </c>
    </row>
    <row r="16" spans="1:12" x14ac:dyDescent="0.3">
      <c r="A16">
        <v>14</v>
      </c>
      <c r="B16" s="1" t="s">
        <v>10</v>
      </c>
      <c r="C16" s="2">
        <v>8</v>
      </c>
      <c r="D16" s="1">
        <v>44.7910993404587</v>
      </c>
      <c r="E16" s="2">
        <v>6</v>
      </c>
      <c r="F16" s="1">
        <v>46.381161298749603</v>
      </c>
    </row>
    <row r="17" spans="1:6" x14ac:dyDescent="0.3">
      <c r="A17">
        <v>15</v>
      </c>
      <c r="B17" s="1" t="s">
        <v>11</v>
      </c>
      <c r="C17" s="2">
        <v>1</v>
      </c>
      <c r="D17" s="1">
        <v>49.234473203860901</v>
      </c>
      <c r="E17" s="2">
        <v>16</v>
      </c>
      <c r="F17" s="1">
        <v>42.191145237322402</v>
      </c>
    </row>
    <row r="18" spans="1:6" x14ac:dyDescent="0.3">
      <c r="A18">
        <v>16</v>
      </c>
      <c r="B18" s="1" t="s">
        <v>19</v>
      </c>
      <c r="C18" s="2">
        <v>5</v>
      </c>
      <c r="D18" s="1">
        <v>46.432482440660202</v>
      </c>
      <c r="E18" s="2">
        <v>18</v>
      </c>
      <c r="F18" s="1">
        <v>40.9401880515017</v>
      </c>
    </row>
    <row r="19" spans="1:6" x14ac:dyDescent="0.3">
      <c r="A19">
        <v>17</v>
      </c>
      <c r="B19" s="1" t="s">
        <v>13</v>
      </c>
      <c r="C19" s="2">
        <v>23</v>
      </c>
      <c r="D19" s="1">
        <v>38.601398810115299</v>
      </c>
      <c r="E19" s="2">
        <v>28</v>
      </c>
      <c r="F19" s="1">
        <v>33.383418332584199</v>
      </c>
    </row>
    <row r="20" spans="1:6" x14ac:dyDescent="0.3">
      <c r="A20">
        <v>18</v>
      </c>
      <c r="B20" s="1" t="s">
        <v>14</v>
      </c>
      <c r="C20" s="2">
        <v>20</v>
      </c>
      <c r="D20" s="1">
        <v>41.146391357657301</v>
      </c>
      <c r="E20" s="2">
        <v>2</v>
      </c>
      <c r="F20" s="1">
        <v>52.617156428624298</v>
      </c>
    </row>
    <row r="21" spans="1:6" x14ac:dyDescent="0.3">
      <c r="A21">
        <v>19</v>
      </c>
      <c r="B21" s="1" t="s">
        <v>15</v>
      </c>
      <c r="C21" s="2">
        <v>2</v>
      </c>
      <c r="D21" s="1">
        <v>48.884228070332902</v>
      </c>
      <c r="E21" s="2">
        <v>14</v>
      </c>
      <c r="F21" s="1">
        <v>42.408274777185703</v>
      </c>
    </row>
    <row r="22" spans="1:6" x14ac:dyDescent="0.3">
      <c r="A22">
        <v>20</v>
      </c>
      <c r="B22" s="1" t="s">
        <v>16</v>
      </c>
      <c r="C22" s="2">
        <v>24</v>
      </c>
      <c r="D22" s="1">
        <v>38.386249875976802</v>
      </c>
      <c r="E22" s="2">
        <v>3</v>
      </c>
      <c r="F22" s="1">
        <v>49.1387876940166</v>
      </c>
    </row>
    <row r="23" spans="1:6" x14ac:dyDescent="0.3">
      <c r="A23">
        <v>21</v>
      </c>
      <c r="B23" s="1" t="s">
        <v>17</v>
      </c>
      <c r="C23" s="2">
        <v>12</v>
      </c>
      <c r="D23" s="1">
        <v>44.536773970016299</v>
      </c>
      <c r="E23" s="2">
        <v>17</v>
      </c>
      <c r="F23" s="1">
        <v>42.0680792694289</v>
      </c>
    </row>
    <row r="24" spans="1:6" x14ac:dyDescent="0.3">
      <c r="A24">
        <v>22</v>
      </c>
      <c r="B24" s="1" t="s">
        <v>18</v>
      </c>
      <c r="C24" s="2">
        <v>7</v>
      </c>
      <c r="D24" s="1">
        <v>45.070086324992197</v>
      </c>
      <c r="E24" s="2">
        <v>11</v>
      </c>
      <c r="F24" s="1">
        <v>42.932505083905802</v>
      </c>
    </row>
    <row r="25" spans="1:6" x14ac:dyDescent="0.3">
      <c r="A25">
        <v>23</v>
      </c>
      <c r="B25" s="1" t="s">
        <v>12</v>
      </c>
      <c r="C25" s="2">
        <v>25</v>
      </c>
      <c r="D25" s="1">
        <v>36.888258135662497</v>
      </c>
      <c r="E25" s="2">
        <v>23</v>
      </c>
      <c r="F25" s="1">
        <v>36.7603313313735</v>
      </c>
    </row>
    <row r="26" spans="1:6" x14ac:dyDescent="0.3">
      <c r="A26">
        <v>24</v>
      </c>
      <c r="B26" s="1" t="s">
        <v>20</v>
      </c>
      <c r="C26" s="2">
        <v>28</v>
      </c>
      <c r="D26" s="1">
        <v>30.787920482156999</v>
      </c>
      <c r="E26" s="2">
        <v>15</v>
      </c>
      <c r="F26" s="1">
        <v>42.274187071639602</v>
      </c>
    </row>
    <row r="27" spans="1:6" x14ac:dyDescent="0.3">
      <c r="A27">
        <v>25</v>
      </c>
      <c r="B27" s="1" t="s">
        <v>21</v>
      </c>
      <c r="C27" s="2">
        <v>29</v>
      </c>
      <c r="D27" s="1">
        <v>29.894047680806501</v>
      </c>
      <c r="E27" s="2">
        <v>12</v>
      </c>
      <c r="F27" s="1">
        <v>42.877247179792299</v>
      </c>
    </row>
    <row r="28" spans="1:6" x14ac:dyDescent="0.3">
      <c r="A28">
        <v>26</v>
      </c>
      <c r="B28" s="1" t="s">
        <v>22</v>
      </c>
      <c r="C28" s="2">
        <v>9</v>
      </c>
      <c r="D28" s="1">
        <v>44.788187010673397</v>
      </c>
      <c r="E28" s="2">
        <v>13</v>
      </c>
      <c r="F28" s="1">
        <v>42.474307463484003</v>
      </c>
    </row>
    <row r="29" spans="1:6" x14ac:dyDescent="0.3">
      <c r="A29">
        <v>27</v>
      </c>
      <c r="B29" s="1" t="s">
        <v>23</v>
      </c>
      <c r="C29" s="2">
        <v>14</v>
      </c>
      <c r="D29" s="1">
        <v>44.208734629252397</v>
      </c>
      <c r="E29" s="2">
        <v>5</v>
      </c>
      <c r="F29" s="1">
        <v>48.244367029754301</v>
      </c>
    </row>
    <row r="30" spans="1:6" x14ac:dyDescent="0.3">
      <c r="A30">
        <v>28</v>
      </c>
      <c r="B30" s="1" t="s">
        <v>24</v>
      </c>
      <c r="C30" s="2">
        <v>16</v>
      </c>
      <c r="D30" s="1">
        <v>42.777174040856501</v>
      </c>
      <c r="E30" s="2">
        <v>19</v>
      </c>
      <c r="F30" s="1">
        <v>39.444332137891699</v>
      </c>
    </row>
    <row r="31" spans="1:6" x14ac:dyDescent="0.3">
      <c r="A31">
        <v>29</v>
      </c>
      <c r="B31" s="1" t="s">
        <v>25</v>
      </c>
      <c r="C31" s="2">
        <v>15</v>
      </c>
      <c r="D31" s="1">
        <v>42.983692930727599</v>
      </c>
      <c r="E31" s="2">
        <v>26</v>
      </c>
      <c r="F31" s="1">
        <v>35.7337352299798</v>
      </c>
    </row>
    <row r="32" spans="1:6" ht="14.5" thickBot="1" x14ac:dyDescent="0.35">
      <c r="A32">
        <v>30</v>
      </c>
      <c r="B32" s="8" t="s">
        <v>26</v>
      </c>
      <c r="C32" s="5">
        <v>30</v>
      </c>
      <c r="D32" s="8">
        <v>29.809861242932602</v>
      </c>
      <c r="E32" s="5">
        <v>27</v>
      </c>
      <c r="F32" s="8">
        <v>34.872925442948102</v>
      </c>
    </row>
  </sheetData>
  <sortState xmlns:xlrd2="http://schemas.microsoft.com/office/spreadsheetml/2017/richdata2" ref="A1:F33">
    <sortCondition ref="A1:A33"/>
  </sortState>
  <mergeCells count="3">
    <mergeCell ref="H3:H5"/>
    <mergeCell ref="H6:H8"/>
    <mergeCell ref="H9:H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FFC7-EB4A-428A-A2C7-51E4C0416760}">
  <dimension ref="A1:H31"/>
  <sheetViews>
    <sheetView tabSelected="1" workbookViewId="0">
      <selection activeCell="G17" sqref="G17"/>
    </sheetView>
  </sheetViews>
  <sheetFormatPr defaultRowHeight="14" x14ac:dyDescent="0.3"/>
  <cols>
    <col min="2" max="2" width="9.25" customWidth="1"/>
    <col min="6" max="6" width="11.75" customWidth="1"/>
  </cols>
  <sheetData>
    <row r="1" spans="1:8" x14ac:dyDescent="0.3">
      <c r="A1">
        <v>0</v>
      </c>
      <c r="B1" s="6" t="s">
        <v>45</v>
      </c>
      <c r="C1" s="7" t="s">
        <v>60</v>
      </c>
      <c r="D1" s="7" t="s">
        <v>1</v>
      </c>
      <c r="E1" s="7" t="s">
        <v>61</v>
      </c>
      <c r="F1" s="7" t="s">
        <v>1</v>
      </c>
      <c r="G1" s="14" t="s">
        <v>58</v>
      </c>
      <c r="H1" s="14" t="s">
        <v>59</v>
      </c>
    </row>
    <row r="2" spans="1:8" x14ac:dyDescent="0.3">
      <c r="A2">
        <v>1</v>
      </c>
      <c r="B2" s="1" t="s">
        <v>40</v>
      </c>
      <c r="C2" s="2">
        <v>27</v>
      </c>
      <c r="D2" s="9">
        <v>2.3727930583532801</v>
      </c>
      <c r="E2" s="2">
        <v>29</v>
      </c>
      <c r="F2" s="9">
        <v>2.2843898141866199</v>
      </c>
      <c r="G2" s="1">
        <v>16</v>
      </c>
      <c r="H2" s="11">
        <f t="shared" ref="H2:H31" si="0">F2-D2</f>
        <v>-8.8403244166660233E-2</v>
      </c>
    </row>
    <row r="3" spans="1:8" x14ac:dyDescent="0.3">
      <c r="A3">
        <v>2</v>
      </c>
      <c r="B3" s="1" t="s">
        <v>41</v>
      </c>
      <c r="C3" s="2">
        <v>22</v>
      </c>
      <c r="D3" s="9">
        <v>2.7659687048099002</v>
      </c>
      <c r="E3" s="2">
        <v>7</v>
      </c>
      <c r="F3" s="9">
        <v>3.1619688988289001</v>
      </c>
      <c r="G3" s="1">
        <v>6</v>
      </c>
      <c r="H3" s="11">
        <f t="shared" si="0"/>
        <v>0.39600019401899988</v>
      </c>
    </row>
    <row r="4" spans="1:8" x14ac:dyDescent="0.3">
      <c r="A4">
        <v>3</v>
      </c>
      <c r="B4" s="1" t="s">
        <v>42</v>
      </c>
      <c r="C4" s="2">
        <v>17</v>
      </c>
      <c r="D4" s="9">
        <v>2.9652866105085001</v>
      </c>
      <c r="E4" s="2">
        <v>20</v>
      </c>
      <c r="F4" s="9">
        <v>2.74235475616628</v>
      </c>
      <c r="G4" s="1">
        <v>20</v>
      </c>
      <c r="H4" s="11">
        <f t="shared" si="0"/>
        <v>-0.22293185434222007</v>
      </c>
    </row>
    <row r="5" spans="1:8" x14ac:dyDescent="0.3">
      <c r="A5">
        <v>4</v>
      </c>
      <c r="B5" s="1" t="s">
        <v>27</v>
      </c>
      <c r="C5" s="2">
        <v>6</v>
      </c>
      <c r="D5" s="9">
        <v>3.2055195977337001</v>
      </c>
      <c r="E5" s="2">
        <v>22</v>
      </c>
      <c r="F5" s="9">
        <v>2.6036204892943999</v>
      </c>
      <c r="G5" s="1">
        <v>29</v>
      </c>
      <c r="H5" s="11">
        <f t="shared" si="0"/>
        <v>-0.60189910843930017</v>
      </c>
    </row>
    <row r="6" spans="1:8" x14ac:dyDescent="0.3">
      <c r="A6">
        <v>5</v>
      </c>
      <c r="B6" s="1" t="s">
        <v>2</v>
      </c>
      <c r="C6" s="2">
        <v>3</v>
      </c>
      <c r="D6" s="9">
        <v>3.2684316021827899</v>
      </c>
      <c r="E6" s="2">
        <v>30</v>
      </c>
      <c r="F6" s="9">
        <v>2.25920264602509</v>
      </c>
      <c r="G6" s="1">
        <v>30</v>
      </c>
      <c r="H6" s="11">
        <f t="shared" si="0"/>
        <v>-1.0092289561576999</v>
      </c>
    </row>
    <row r="7" spans="1:8" x14ac:dyDescent="0.3">
      <c r="A7">
        <v>6</v>
      </c>
      <c r="B7" s="1" t="s">
        <v>3</v>
      </c>
      <c r="C7" s="2">
        <v>4</v>
      </c>
      <c r="D7" s="9">
        <v>3.26435559547174</v>
      </c>
      <c r="E7" s="2">
        <v>1</v>
      </c>
      <c r="F7" s="9">
        <v>3.68858634066381</v>
      </c>
      <c r="G7" s="1">
        <v>5</v>
      </c>
      <c r="H7" s="11">
        <f t="shared" si="0"/>
        <v>0.42423074519206994</v>
      </c>
    </row>
    <row r="8" spans="1:8" x14ac:dyDescent="0.3">
      <c r="A8">
        <v>7</v>
      </c>
      <c r="B8" s="1" t="s">
        <v>4</v>
      </c>
      <c r="C8" s="2">
        <v>18</v>
      </c>
      <c r="D8" s="9">
        <v>2.9089936758707502</v>
      </c>
      <c r="E8" s="2">
        <v>25</v>
      </c>
      <c r="F8" s="9">
        <v>2.5240208512571298</v>
      </c>
      <c r="G8" s="1">
        <v>25</v>
      </c>
      <c r="H8" s="11">
        <f t="shared" si="0"/>
        <v>-0.38497282461362037</v>
      </c>
    </row>
    <row r="9" spans="1:8" x14ac:dyDescent="0.3">
      <c r="A9">
        <v>8</v>
      </c>
      <c r="B9" s="1" t="s">
        <v>5</v>
      </c>
      <c r="C9" s="2">
        <v>11</v>
      </c>
      <c r="D9" s="9">
        <v>3.1080487217416399</v>
      </c>
      <c r="E9" s="2">
        <v>8</v>
      </c>
      <c r="F9" s="9">
        <v>3.1573772235164501</v>
      </c>
      <c r="G9" s="1">
        <v>12</v>
      </c>
      <c r="H9" s="11">
        <f t="shared" si="0"/>
        <v>4.9328501774810185E-2</v>
      </c>
    </row>
    <row r="10" spans="1:8" x14ac:dyDescent="0.3">
      <c r="A10">
        <v>9</v>
      </c>
      <c r="B10" s="1" t="s">
        <v>6</v>
      </c>
      <c r="C10" s="2">
        <v>19</v>
      </c>
      <c r="D10" s="9">
        <v>2.8723127798483601</v>
      </c>
      <c r="E10" s="2">
        <v>21</v>
      </c>
      <c r="F10" s="9">
        <v>2.6248319816993799</v>
      </c>
      <c r="G10" s="1">
        <v>22</v>
      </c>
      <c r="H10" s="11">
        <f t="shared" si="0"/>
        <v>-0.24748079814898016</v>
      </c>
    </row>
    <row r="11" spans="1:8" x14ac:dyDescent="0.3">
      <c r="A11">
        <v>10</v>
      </c>
      <c r="B11" s="1" t="s">
        <v>7</v>
      </c>
      <c r="C11" s="2">
        <v>26</v>
      </c>
      <c r="D11" s="9">
        <v>2.5402335073059699</v>
      </c>
      <c r="E11" s="2">
        <v>24</v>
      </c>
      <c r="F11" s="9">
        <v>2.5444925735862101</v>
      </c>
      <c r="G11" s="1">
        <v>14</v>
      </c>
      <c r="H11" s="11">
        <f t="shared" si="0"/>
        <v>4.259066280240198E-3</v>
      </c>
    </row>
    <row r="12" spans="1:8" x14ac:dyDescent="0.3">
      <c r="A12">
        <v>11</v>
      </c>
      <c r="B12" s="1" t="s">
        <v>43</v>
      </c>
      <c r="C12" s="2">
        <v>13</v>
      </c>
      <c r="D12" s="9">
        <v>3.0915076581202299</v>
      </c>
      <c r="E12" s="2">
        <v>4</v>
      </c>
      <c r="F12" s="9">
        <v>3.39352970094725</v>
      </c>
      <c r="G12" s="1">
        <v>8</v>
      </c>
      <c r="H12" s="11">
        <f t="shared" si="0"/>
        <v>0.30202204282702017</v>
      </c>
    </row>
    <row r="13" spans="1:8" x14ac:dyDescent="0.3">
      <c r="A13">
        <v>12</v>
      </c>
      <c r="B13" s="1" t="s">
        <v>8</v>
      </c>
      <c r="C13" s="2">
        <v>10</v>
      </c>
      <c r="D13" s="9">
        <v>3.11116162595378</v>
      </c>
      <c r="E13" s="2">
        <v>9</v>
      </c>
      <c r="F13" s="9">
        <v>3.1561653860721601</v>
      </c>
      <c r="G13" s="1">
        <v>13</v>
      </c>
      <c r="H13" s="11">
        <f t="shared" si="0"/>
        <v>4.5003760118380143E-2</v>
      </c>
    </row>
    <row r="14" spans="1:8" x14ac:dyDescent="0.3">
      <c r="A14">
        <v>13</v>
      </c>
      <c r="B14" s="1" t="s">
        <v>9</v>
      </c>
      <c r="C14" s="2">
        <v>21</v>
      </c>
      <c r="D14" s="9">
        <v>2.76999769916153</v>
      </c>
      <c r="E14" s="2">
        <v>10</v>
      </c>
      <c r="F14" s="9">
        <v>3.0212034646061299</v>
      </c>
      <c r="G14" s="1">
        <v>10</v>
      </c>
      <c r="H14" s="11">
        <f t="shared" si="0"/>
        <v>0.25120576544459983</v>
      </c>
    </row>
    <row r="15" spans="1:8" x14ac:dyDescent="0.3">
      <c r="A15">
        <v>14</v>
      </c>
      <c r="B15" s="1" t="s">
        <v>10</v>
      </c>
      <c r="C15" s="2">
        <v>8</v>
      </c>
      <c r="D15" s="9">
        <v>3.1249604191017699</v>
      </c>
      <c r="E15" s="2">
        <v>6</v>
      </c>
      <c r="F15" s="9">
        <v>3.2358949743313699</v>
      </c>
      <c r="G15" s="1">
        <v>11</v>
      </c>
      <c r="H15" s="11">
        <f t="shared" si="0"/>
        <v>0.11093455522959994</v>
      </c>
    </row>
    <row r="16" spans="1:8" x14ac:dyDescent="0.3">
      <c r="A16">
        <v>15</v>
      </c>
      <c r="B16" s="1" t="s">
        <v>11</v>
      </c>
      <c r="C16" s="2">
        <v>1</v>
      </c>
      <c r="D16" s="9">
        <v>3.4349632467809901</v>
      </c>
      <c r="E16" s="2">
        <v>16</v>
      </c>
      <c r="F16" s="9">
        <v>2.9435682723713299</v>
      </c>
      <c r="G16" s="1">
        <v>27</v>
      </c>
      <c r="H16" s="11">
        <f t="shared" si="0"/>
        <v>-0.49139497440966018</v>
      </c>
    </row>
    <row r="17" spans="1:8" x14ac:dyDescent="0.3">
      <c r="A17">
        <v>16</v>
      </c>
      <c r="B17" s="1" t="s">
        <v>19</v>
      </c>
      <c r="C17" s="2">
        <v>5</v>
      </c>
      <c r="D17" s="9">
        <v>3.23947551911583</v>
      </c>
      <c r="E17" s="2">
        <v>18</v>
      </c>
      <c r="F17" s="9">
        <v>2.85629218963965</v>
      </c>
      <c r="G17" s="1">
        <v>24</v>
      </c>
      <c r="H17" s="11">
        <f t="shared" si="0"/>
        <v>-0.38318332947617995</v>
      </c>
    </row>
    <row r="18" spans="1:8" x14ac:dyDescent="0.3">
      <c r="A18">
        <v>17</v>
      </c>
      <c r="B18" s="1" t="s">
        <v>13</v>
      </c>
      <c r="C18" s="2">
        <v>23</v>
      </c>
      <c r="D18" s="9">
        <v>2.69312084721735</v>
      </c>
      <c r="E18" s="2">
        <v>28</v>
      </c>
      <c r="F18" s="9">
        <v>2.3290756976221498</v>
      </c>
      <c r="G18" s="1">
        <v>23</v>
      </c>
      <c r="H18" s="11">
        <f t="shared" si="0"/>
        <v>-0.36404514959520018</v>
      </c>
    </row>
    <row r="19" spans="1:8" x14ac:dyDescent="0.3">
      <c r="A19">
        <v>18</v>
      </c>
      <c r="B19" s="1" t="s">
        <v>14</v>
      </c>
      <c r="C19" s="2">
        <v>20</v>
      </c>
      <c r="D19" s="9">
        <v>2.8706784668132999</v>
      </c>
      <c r="E19" s="2">
        <v>2</v>
      </c>
      <c r="F19" s="9">
        <v>3.6709644019970402</v>
      </c>
      <c r="G19" s="1">
        <v>3</v>
      </c>
      <c r="H19" s="11">
        <f t="shared" si="0"/>
        <v>0.80028593518374036</v>
      </c>
    </row>
    <row r="20" spans="1:8" x14ac:dyDescent="0.3">
      <c r="A20">
        <v>19</v>
      </c>
      <c r="B20" s="1" t="s">
        <v>15</v>
      </c>
      <c r="C20" s="2">
        <v>2</v>
      </c>
      <c r="D20" s="9">
        <v>3.41052753979067</v>
      </c>
      <c r="E20" s="2">
        <v>14</v>
      </c>
      <c r="F20" s="9">
        <v>2.9587168449199299</v>
      </c>
      <c r="G20" s="1">
        <v>26</v>
      </c>
      <c r="H20" s="11">
        <f t="shared" si="0"/>
        <v>-0.4518106948707401</v>
      </c>
    </row>
    <row r="21" spans="1:8" x14ac:dyDescent="0.3">
      <c r="A21">
        <v>20</v>
      </c>
      <c r="B21" s="1" t="s">
        <v>16</v>
      </c>
      <c r="C21" s="2">
        <v>24</v>
      </c>
      <c r="D21" s="9">
        <v>2.6781104564635001</v>
      </c>
      <c r="E21" s="2">
        <v>3</v>
      </c>
      <c r="F21" s="9">
        <v>3.42828751353604</v>
      </c>
      <c r="G21" s="1">
        <v>4</v>
      </c>
      <c r="H21" s="11">
        <f t="shared" si="0"/>
        <v>0.7501770570725399</v>
      </c>
    </row>
    <row r="22" spans="1:8" x14ac:dyDescent="0.3">
      <c r="A22">
        <v>21</v>
      </c>
      <c r="B22" s="1" t="s">
        <v>17</v>
      </c>
      <c r="C22" s="2">
        <v>12</v>
      </c>
      <c r="D22" s="9">
        <v>3.1072167886057902</v>
      </c>
      <c r="E22" s="2">
        <v>17</v>
      </c>
      <c r="F22" s="9">
        <v>2.9349822746113201</v>
      </c>
      <c r="G22" s="1">
        <v>19</v>
      </c>
      <c r="H22" s="11">
        <f t="shared" si="0"/>
        <v>-0.1722345139944701</v>
      </c>
    </row>
    <row r="23" spans="1:8" x14ac:dyDescent="0.3">
      <c r="A23">
        <v>22</v>
      </c>
      <c r="B23" s="1" t="s">
        <v>18</v>
      </c>
      <c r="C23" s="2">
        <v>7</v>
      </c>
      <c r="D23" s="9">
        <v>3.1444246273250398</v>
      </c>
      <c r="E23" s="2">
        <v>11</v>
      </c>
      <c r="F23" s="9">
        <v>2.9952910523655198</v>
      </c>
      <c r="G23" s="1">
        <v>17</v>
      </c>
      <c r="H23" s="11">
        <f t="shared" si="0"/>
        <v>-0.14913357495951995</v>
      </c>
    </row>
    <row r="24" spans="1:8" x14ac:dyDescent="0.3">
      <c r="A24">
        <v>23</v>
      </c>
      <c r="B24" s="1" t="s">
        <v>12</v>
      </c>
      <c r="C24" s="2">
        <v>25</v>
      </c>
      <c r="D24" s="9">
        <v>2.5735994048136601</v>
      </c>
      <c r="E24" s="2">
        <v>23</v>
      </c>
      <c r="F24" s="9">
        <v>2.5646742789330301</v>
      </c>
      <c r="G24" s="1">
        <v>15</v>
      </c>
      <c r="H24" s="11">
        <f t="shared" si="0"/>
        <v>-8.9251258806299916E-3</v>
      </c>
    </row>
    <row r="25" spans="1:8" x14ac:dyDescent="0.3">
      <c r="A25">
        <v>24</v>
      </c>
      <c r="B25" s="1" t="s">
        <v>20</v>
      </c>
      <c r="C25" s="2">
        <v>28</v>
      </c>
      <c r="D25" s="9">
        <v>2.1479944522435099</v>
      </c>
      <c r="E25" s="2">
        <v>15</v>
      </c>
      <c r="F25" s="9">
        <v>2.9493618887190398</v>
      </c>
      <c r="G25" s="1">
        <v>2</v>
      </c>
      <c r="H25" s="11">
        <f t="shared" si="0"/>
        <v>0.80136743647552988</v>
      </c>
    </row>
    <row r="26" spans="1:8" x14ac:dyDescent="0.3">
      <c r="A26">
        <v>25</v>
      </c>
      <c r="B26" s="1" t="s">
        <v>21</v>
      </c>
      <c r="C26" s="2">
        <v>29</v>
      </c>
      <c r="D26" s="9">
        <v>2.0856312335446399</v>
      </c>
      <c r="E26" s="2">
        <v>12</v>
      </c>
      <c r="F26" s="9">
        <v>2.9914358497529498</v>
      </c>
      <c r="G26" s="1">
        <v>1</v>
      </c>
      <c r="H26" s="11">
        <f t="shared" si="0"/>
        <v>0.90580461620830999</v>
      </c>
    </row>
    <row r="27" spans="1:8" x14ac:dyDescent="0.3">
      <c r="A27">
        <v>26</v>
      </c>
      <c r="B27" s="1" t="s">
        <v>22</v>
      </c>
      <c r="C27" s="2">
        <v>9</v>
      </c>
      <c r="D27" s="9">
        <v>3.1247572333027902</v>
      </c>
      <c r="E27" s="2">
        <v>13</v>
      </c>
      <c r="F27" s="9">
        <v>2.9633237765221399</v>
      </c>
      <c r="G27" s="1">
        <v>18</v>
      </c>
      <c r="H27" s="11">
        <f t="shared" si="0"/>
        <v>-0.16143345678065035</v>
      </c>
    </row>
    <row r="28" spans="1:8" x14ac:dyDescent="0.3">
      <c r="A28">
        <v>27</v>
      </c>
      <c r="B28" s="1" t="s">
        <v>23</v>
      </c>
      <c r="C28" s="2">
        <v>14</v>
      </c>
      <c r="D28" s="9">
        <v>3.0843303229711001</v>
      </c>
      <c r="E28" s="2">
        <v>5</v>
      </c>
      <c r="F28" s="9">
        <v>3.3658860718433199</v>
      </c>
      <c r="G28" s="1">
        <v>9</v>
      </c>
      <c r="H28" s="11">
        <f t="shared" si="0"/>
        <v>0.28155574887221979</v>
      </c>
    </row>
    <row r="29" spans="1:8" x14ac:dyDescent="0.3">
      <c r="A29">
        <v>28</v>
      </c>
      <c r="B29" s="1" t="s">
        <v>24</v>
      </c>
      <c r="C29" s="2">
        <v>16</v>
      </c>
      <c r="D29" s="9">
        <v>2.98445400285045</v>
      </c>
      <c r="E29" s="2">
        <v>19</v>
      </c>
      <c r="F29" s="9">
        <v>2.7519301491552399</v>
      </c>
      <c r="G29" s="1">
        <v>21</v>
      </c>
      <c r="H29" s="11">
        <f t="shared" si="0"/>
        <v>-0.23252385369521011</v>
      </c>
    </row>
    <row r="30" spans="1:8" x14ac:dyDescent="0.3">
      <c r="A30">
        <v>29</v>
      </c>
      <c r="B30" s="1" t="s">
        <v>25</v>
      </c>
      <c r="C30" s="2">
        <v>15</v>
      </c>
      <c r="D30" s="9">
        <v>2.9988622974926198</v>
      </c>
      <c r="E30" s="2">
        <v>26</v>
      </c>
      <c r="F30" s="9">
        <v>2.4930512951148698</v>
      </c>
      <c r="G30" s="1">
        <v>28</v>
      </c>
      <c r="H30" s="11">
        <f t="shared" si="0"/>
        <v>-0.50581100237775001</v>
      </c>
    </row>
    <row r="31" spans="1:8" ht="14.5" thickBot="1" x14ac:dyDescent="0.35">
      <c r="A31">
        <v>30</v>
      </c>
      <c r="B31" s="8" t="s">
        <v>26</v>
      </c>
      <c r="C31" s="5">
        <v>30</v>
      </c>
      <c r="D31" s="10">
        <v>2.0797577611348301</v>
      </c>
      <c r="E31" s="5">
        <v>27</v>
      </c>
      <c r="F31" s="10">
        <v>2.43299479834522</v>
      </c>
      <c r="G31" s="15">
        <v>7</v>
      </c>
      <c r="H31" s="16">
        <f t="shared" si="0"/>
        <v>0.3532370372103899</v>
      </c>
    </row>
  </sheetData>
  <sortState xmlns:xlrd2="http://schemas.microsoft.com/office/spreadsheetml/2017/richdata2" ref="A2:H32">
    <sortCondition ref="A1:A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2024-04-24T10:08:55Z</dcterms:modified>
</cp:coreProperties>
</file>